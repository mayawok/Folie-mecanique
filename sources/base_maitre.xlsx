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tifications v1.0" sheetId="1" state="visible" r:id="rId1"/>
    <sheet xmlns:r="http://schemas.openxmlformats.org/officeDocument/2006/relationships" name="Regles simplifiees v1.0" sheetId="2" state="visible" r:id="rId2"/>
    <sheet xmlns:r="http://schemas.openxmlformats.org/officeDocument/2006/relationships" name="Lisez-moi" sheetId="3" state="visible" r:id="rId3"/>
    <sheet xmlns:r="http://schemas.openxmlformats.org/officeDocument/2006/relationships" name="Base maître véhicules" sheetId="4" state="visible" r:id="rId4"/>
    <sheet xmlns:r="http://schemas.openxmlformats.org/officeDocument/2006/relationships" name="Audit 275" sheetId="5" state="visible" r:id="rId5"/>
    <sheet xmlns:r="http://schemas.openxmlformats.org/officeDocument/2006/relationships" name="Sources prioritaires v1.1" sheetId="6" state="visible" r:id="rId6"/>
    <sheet xmlns:r="http://schemas.openxmlformats.org/officeDocument/2006/relationships" name="Sources véhicules prioritaires" sheetId="7" state="visible" r:id="rId7"/>
    <sheet xmlns:r="http://schemas.openxmlformats.org/officeDocument/2006/relationships" name="Boucle et progression" sheetId="8" state="visible" r:id="rId8"/>
    <sheet xmlns:r="http://schemas.openxmlformats.org/officeDocument/2006/relationships" name="Plans et déblocages" sheetId="9" state="visible" r:id="rId9"/>
    <sheet xmlns:r="http://schemas.openxmlformats.org/officeDocument/2006/relationships" name="Catalogue composants" sheetId="10" state="visible" r:id="rId10"/>
    <sheet xmlns:r="http://schemas.openxmlformats.org/officeDocument/2006/relationships" name="Échelle et grille" sheetId="11" state="visible" r:id="rId11"/>
    <sheet xmlns:r="http://schemas.openxmlformats.org/officeDocument/2006/relationships" name="Inventaire initial" sheetId="12" state="visible" r:id="rId12"/>
    <sheet xmlns:r="http://schemas.openxmlformats.org/officeDocument/2006/relationships" name="Exclusions provisoires" sheetId="13" state="visible" r:id="rId13"/>
    <sheet xmlns:r="http://schemas.openxmlformats.org/officeDocument/2006/relationships" name="Familles moteurs v0.1" sheetId="14" state="visible" r:id="rId14"/>
    <sheet xmlns:r="http://schemas.openxmlformats.org/officeDocument/2006/relationships" name="Chars et blindés élargis" sheetId="15" state="visible" r:id="rId15"/>
    <sheet xmlns:r="http://schemas.openxmlformats.org/officeDocument/2006/relationships" name="Familles moteurs blindés" sheetId="16" state="visible" r:id="rId16"/>
    <sheet xmlns:r="http://schemas.openxmlformats.org/officeDocument/2006/relationships" name="Bibliographie" sheetId="17" state="visible" r:id="rId17"/>
    <sheet xmlns:r="http://schemas.openxmlformats.org/officeDocument/2006/relationships" name="Catalogue armements" sheetId="18" state="visible" r:id="rId18"/>
    <sheet xmlns:r="http://schemas.openxmlformats.org/officeDocument/2006/relationships" name="Règles épaves" sheetId="19" state="visible" r:id="rId19"/>
    <sheet xmlns:r="http://schemas.openxmlformats.org/officeDocument/2006/relationships" name="Production ressources" sheetId="20" state="visible" r:id="rId20"/>
    <sheet xmlns:r="http://schemas.openxmlformats.org/officeDocument/2006/relationships" name="Sources gabarits" sheetId="21" state="visible" r:id="rId21"/>
    <sheet xmlns:r="http://schemas.openxmlformats.org/officeDocument/2006/relationships" name="Grille et chevauchements" sheetId="22" state="visible" r:id="rId22"/>
    <sheet xmlns:r="http://schemas.openxmlformats.org/officeDocument/2006/relationships" name="Consommation carburant" sheetId="23" state="visible" r:id="rId23"/>
    <sheet xmlns:r="http://schemas.openxmlformats.org/officeDocument/2006/relationships" name="Générateurs" sheetId="24" state="visible" r:id="rId24"/>
    <sheet xmlns:r="http://schemas.openxmlformats.org/officeDocument/2006/relationships" name="Cuves et réservoirs" sheetId="25" state="visible" r:id="rId25"/>
    <sheet xmlns:r="http://schemas.openxmlformats.org/officeDocument/2006/relationships" name="Catalogue bâtiments" sheetId="26" state="visible" r:id="rId26"/>
    <sheet xmlns:r="http://schemas.openxmlformats.org/officeDocument/2006/relationships" name="Niveaux de base" sheetId="27" state="visible" r:id="rId27"/>
    <sheet xmlns:r="http://schemas.openxmlformats.org/officeDocument/2006/relationships" name="Ascenseur vertical" sheetId="28" state="visible" r:id="rId28"/>
    <sheet xmlns:r="http://schemas.openxmlformats.org/officeDocument/2006/relationships" name="Transport de troupes" sheetId="29" state="visible" r:id="rId29"/>
    <sheet xmlns:r="http://schemas.openxmlformats.org/officeDocument/2006/relationships" name="Interface ressources" sheetId="30" state="visible" r:id="rId30"/>
    <sheet xmlns:r="http://schemas.openxmlformats.org/officeDocument/2006/relationships" name="Niveaux et coûts bâtiments" sheetId="31" state="visible" r:id="rId31"/>
    <sheet xmlns:r="http://schemas.openxmlformats.org/officeDocument/2006/relationships" name="Tableau de bord base" sheetId="32" state="visible" r:id="rId32"/>
    <sheet xmlns:r="http://schemas.openxmlformats.org/officeDocument/2006/relationships" name="Élevage et nourriture" sheetId="33" state="visible" r:id="rId33"/>
    <sheet xmlns:r="http://schemas.openxmlformats.org/officeDocument/2006/relationships" name="Règles économie et HUD" sheetId="34" state="visible" r:id="rId34"/>
    <sheet xmlns:r="http://schemas.openxmlformats.org/officeDocument/2006/relationships" name="Paramètres simulation" sheetId="35" state="visible" r:id="rId35"/>
    <sheet xmlns:r="http://schemas.openxmlformats.org/officeDocument/2006/relationships" name="Simulation 30 jours" sheetId="36" state="visible" r:id="rId36"/>
    <sheet xmlns:r="http://schemas.openxmlformats.org/officeDocument/2006/relationships" name="Fiche récupération véhicule" sheetId="37" state="visible" r:id="rId37"/>
    <sheet xmlns:r="http://schemas.openxmlformats.org/officeDocument/2006/relationships" name="Événements et incidents" sheetId="38" state="visible" r:id="rId38"/>
    <sheet xmlns:r="http://schemas.openxmlformats.org/officeDocument/2006/relationships" name="Pénuries progressives" sheetId="39" state="visible" r:id="rId39"/>
    <sheet xmlns:r="http://schemas.openxmlformats.org/officeDocument/2006/relationships" name="Scénario test 30 jours" sheetId="40" state="visible" r:id="rId40"/>
    <sheet xmlns:r="http://schemas.openxmlformats.org/officeDocument/2006/relationships" name="Phases expédition" sheetId="41" state="visible" r:id="rId41"/>
    <sheet xmlns:r="http://schemas.openxmlformats.org/officeDocument/2006/relationships" name="Facteurs de risque" sheetId="42" state="visible" r:id="rId42"/>
    <sheet xmlns:r="http://schemas.openxmlformats.org/officeDocument/2006/relationships" name="Événements expédition" sheetId="43" state="visible" r:id="rId43"/>
    <sheet xmlns:r="http://schemas.openxmlformats.org/officeDocument/2006/relationships" name="Récupération épaves" sheetId="44" state="visible" r:id="rId44"/>
    <sheet xmlns:r="http://schemas.openxmlformats.org/officeDocument/2006/relationships" name="Paramètres expédition" sheetId="45" state="visible" r:id="rId45"/>
    <sheet xmlns:r="http://schemas.openxmlformats.org/officeDocument/2006/relationships" name="Synthèse v1.3" sheetId="46" state="visible" r:id="rId46"/>
    <sheet xmlns:r="http://schemas.openxmlformats.org/officeDocument/2006/relationships" name="Sources prioritaires v1.2" sheetId="47" state="visible" r:id="rId47"/>
    <sheet xmlns:r="http://schemas.openxmlformats.org/officeDocument/2006/relationships" name="Familles moteurs v1.0" sheetId="48" state="visible" r:id="rId48"/>
    <sheet xmlns:r="http://schemas.openxmlformats.org/officeDocument/2006/relationships" name="Carburants compatibilité v1.0" sheetId="49" state="visible" r:id="rId49"/>
    <sheet xmlns:r="http://schemas.openxmlformats.org/officeDocument/2006/relationships" name="Composants normalisés v1.0" sheetId="50" state="visible" r:id="rId50"/>
    <sheet xmlns:r="http://schemas.openxmlformats.org/officeDocument/2006/relationships" name="Coûts réparation classe v1.0" sheetId="51" state="visible" r:id="rId51"/>
    <sheet xmlns:r="http://schemas.openxmlformats.org/officeDocument/2006/relationships" name="Règles réparation v1.0" sheetId="52" state="visible" r:id="rId52"/>
    <sheet xmlns:r="http://schemas.openxmlformats.org/officeDocument/2006/relationships" name="Schéma données v1.0" sheetId="53" state="visible" r:id="rId53"/>
    <sheet xmlns:r="http://schemas.openxmlformats.org/officeDocument/2006/relationships" name="Contrats données v1.0" sheetId="54" state="visible" r:id="rId54"/>
    <sheet xmlns:r="http://schemas.openxmlformats.org/officeDocument/2006/relationships" name="Modèle objets v1.0" sheetId="55" state="visible" r:id="rId55"/>
    <sheet xmlns:r="http://schemas.openxmlformats.org/officeDocument/2006/relationships" name="Transitions états v1.0" sheetId="56" state="visible" r:id="rId56"/>
    <sheet xmlns:r="http://schemas.openxmlformats.org/officeDocument/2006/relationships" name="Contenu départ P0" sheetId="57" state="visible" r:id="rId57"/>
    <sheet xmlns:r="http://schemas.openxmlformats.org/officeDocument/2006/relationships" name="Captivite v1.0" sheetId="58" state="visible" r:id="rId58"/>
    <sheet xmlns:r="http://schemas.openxmlformats.org/officeDocument/2006/relationships" name="Captivité - équilibrage" sheetId="59" state="visible" r:id="rId59"/>
    <sheet xmlns:r="http://schemas.openxmlformats.org/officeDocument/2006/relationships" name="Fortifications - coûts" sheetId="60" state="visible" r:id="rId60"/>
    <sheet xmlns:r="http://schemas.openxmlformats.org/officeDocument/2006/relationships" name="Économie - règles" sheetId="61" state="visible" r:id="rId61"/>
    <sheet xmlns:r="http://schemas.openxmlformats.org/officeDocument/2006/relationships" name="Audit complétude véhicule" sheetId="62" state="visible" r:id="rId62"/>
    <sheet xmlns:r="http://schemas.openxmlformats.org/officeDocument/2006/relationships" name="Journal décisions v1.0" sheetId="63" state="visible" r:id="rId63"/>
    <sheet xmlns:r="http://schemas.openxmlformats.org/officeDocument/2006/relationships" name="Estimations probables 275" sheetId="64" state="visible" r:id="rId64"/>
    <sheet xmlns:r="http://schemas.openxmlformats.org/officeDocument/2006/relationships" name="Bâtiments - économie v1.0" sheetId="65" state="visible" r:id="rId65"/>
    <sheet xmlns:r="http://schemas.openxmlformats.org/officeDocument/2006/relationships" name="Expéditions tactiques v1.0" sheetId="66" state="visible" r:id="rId66"/>
    <sheet xmlns:r="http://schemas.openxmlformats.org/officeDocument/2006/relationships" name="Dégâts et récupération v1.0" sheetId="67" state="visible" r:id="rId67"/>
    <sheet xmlns:r="http://schemas.openxmlformats.org/officeDocument/2006/relationships" name="Contrats sauvegarde v2.0" sheetId="68" state="visible" r:id="rId68"/>
    <sheet xmlns:r="http://schemas.openxmlformats.org/officeDocument/2006/relationships" name="Factions et diplomatie v1.0" sheetId="69" state="visible" r:id="rId69"/>
    <sheet xmlns:r="http://schemas.openxmlformats.org/officeDocument/2006/relationships" name="Base verticale v1.0" sheetId="70" state="visible" r:id="rId70"/>
  </sheets>
  <definedNames>
    <definedName name="_xlnm._FilterDatabase" localSheetId="0" hidden="1">'Fortifications v1.0'!$A$1:$D$11</definedName>
    <definedName name="_xlnm._FilterDatabase" localSheetId="1" hidden="1">'Regles simplifiees v1.0'!$A$1:$C$10</definedName>
    <definedName name="_xlnm._FilterDatabase" localSheetId="2" hidden="1">'Lisez-moi'!$A$1:$B$26</definedName>
    <definedName name="_xlnm._FilterDatabase" localSheetId="3" hidden="1">'Base maître véhicules'!$A$1:$AV$276</definedName>
    <definedName name="_xlnm._FilterDatabase" localSheetId="5" hidden="1">'Sources prioritaires v1.1'!$A$1:$F$13</definedName>
    <definedName name="_xlnm._FilterDatabase" localSheetId="6" hidden="1">'Sources véhicules prioritaires'!$A$1:$F$11</definedName>
    <definedName name="_xlnm._FilterDatabase" localSheetId="7" hidden="1">'Boucle et progression'!$A$1:$E$18</definedName>
    <definedName name="_xlnm._FilterDatabase" localSheetId="8" hidden="1">'Plans et déblocages'!$A$1:$H$6</definedName>
    <definedName name="_xlnm._FilterDatabase" localSheetId="9" hidden="1">'Catalogue composants'!$A$1:$K$30</definedName>
    <definedName name="_xlnm._FilterDatabase" localSheetId="10" hidden="1">'Échelle et grille'!$A$1:$C$14</definedName>
    <definedName name="_xlnm._FilterDatabase" localSheetId="11" hidden="1">'Inventaire initial'!$A$1:$P$276</definedName>
    <definedName name="_xlnm._FilterDatabase" localSheetId="12" hidden="1">'Exclusions provisoires'!$A$1:$B$3</definedName>
    <definedName name="_xlnm._FilterDatabase" localSheetId="13" hidden="1">'Familles moteurs v0.1'!$A$1:$F$24</definedName>
    <definedName name="_xlnm._FilterDatabase" localSheetId="14" hidden="1">'Chars et blindés élargis'!$A$1:$M$136</definedName>
    <definedName name="_xlnm._FilterDatabase" localSheetId="15" hidden="1">'Familles moteurs blindés'!$A$1:$F$19</definedName>
    <definedName name="_xlnm._FilterDatabase" localSheetId="16" hidden="1">'Bibliographie'!$A$1:$C$23</definedName>
    <definedName name="_xlnm._FilterDatabase" localSheetId="17" hidden="1">'Catalogue armements'!$A$1:$E$12</definedName>
    <definedName name="_xlnm._FilterDatabase" localSheetId="18" hidden="1">'Règles épaves'!$A$1:$D$10</definedName>
    <definedName name="_xlnm._FilterDatabase" localSheetId="19" hidden="1">'Production ressources'!$A$1:$D$7</definedName>
    <definedName name="_xlnm._FilterDatabase" localSheetId="20" hidden="1">'Sources gabarits'!$A$1:$D$14</definedName>
    <definedName name="_xlnm._FilterDatabase" localSheetId="21" hidden="1">'Grille et chevauchements'!$A$1:$C$12</definedName>
    <definedName name="_xlnm._FilterDatabase" localSheetId="22" hidden="1">'Consommation carburant'!$A$1:$E$21</definedName>
    <definedName name="_xlnm._FilterDatabase" localSheetId="23" hidden="1">'Générateurs'!$A$1:$F$5</definedName>
    <definedName name="_xlnm._FilterDatabase" localSheetId="24" hidden="1">'Cuves et réservoirs'!$A$1:$E$9</definedName>
    <definedName name="_xlnm._FilterDatabase" localSheetId="25" hidden="1">'Catalogue bâtiments'!$A$1:$F$17</definedName>
    <definedName name="_xlnm._FilterDatabase" localSheetId="26" hidden="1">'Niveaux de base'!$A$1:$F$7</definedName>
    <definedName name="_xlnm._FilterDatabase" localSheetId="27" hidden="1">'Ascenseur vertical'!$A$1:$E$5</definedName>
    <definedName name="_xlnm._FilterDatabase" localSheetId="28" hidden="1">'Transport de troupes'!$A$1:$F$6</definedName>
    <definedName name="_xlnm._FilterDatabase" localSheetId="29" hidden="1">'Interface ressources'!$A$1:$F$6</definedName>
    <definedName name="_xlnm._FilterDatabase" localSheetId="30" hidden="1">'Niveaux et coûts bâtiments'!$A$1:$K$81</definedName>
    <definedName name="_xlnm._FilterDatabase" localSheetId="31" hidden="1">'Tableau de bord base'!$A$1:$I$10</definedName>
    <definedName name="_xlnm._FilterDatabase" localSheetId="32" hidden="1">'Élevage et nourriture'!$A$1:$K$10</definedName>
    <definedName name="_xlnm._FilterDatabase" localSheetId="33" hidden="1">'Règles économie et HUD'!$A$1:$C$10</definedName>
    <definedName name="_xlnm._FilterDatabase" localSheetId="34" hidden="1">'Paramètres simulation'!$A$1:$D$27</definedName>
    <definedName name="_xlnm._FilterDatabase" localSheetId="35" hidden="1">'Simulation 30 jours'!$A$1:$N$31</definedName>
    <definedName name="_xlnm._FilterDatabase" localSheetId="36" hidden="1">'Fiche récupération véhicule'!$A$1:$C$9</definedName>
    <definedName name="_xlnm._FilterDatabase" localSheetId="37" hidden="1">'Événements et incidents'!$A$1:$H$13</definedName>
    <definedName name="_xlnm._FilterDatabase" localSheetId="38" hidden="1">'Pénuries progressives'!$A$1:$F$11</definedName>
    <definedName name="_xlnm._FilterDatabase" localSheetId="39" hidden="1">'Scénario test 30 jours'!$A$1:$E$31</definedName>
    <definedName name="_xlnm._FilterDatabase" localSheetId="40" hidden="1">'Phases expédition'!$A$1:$G$11</definedName>
    <definedName name="_xlnm._FilterDatabase" localSheetId="41" hidden="1">'Facteurs de risque'!$A$1:$F$13</definedName>
    <definedName name="_xlnm._FilterDatabase" localSheetId="42" hidden="1">'Événements expédition'!$A$1:$H$10</definedName>
    <definedName name="_xlnm._FilterDatabase" localSheetId="43" hidden="1">'Récupération épaves'!$A$1:$G$7</definedName>
    <definedName name="_xlnm._FilterDatabase" localSheetId="44" hidden="1">'Paramètres expédition'!$A$1:$G$11</definedName>
    <definedName name="_xlnm._FilterDatabase" localSheetId="45" hidden="1">'Synthèse v1.3'!$A$1:$D$7</definedName>
    <definedName name="_xlnm._FilterDatabase" localSheetId="46" hidden="1">'Sources prioritaires v1.2'!$A$1:$F$9</definedName>
    <definedName name="_xlnm._FilterDatabase" localSheetId="47" hidden="1">'Familles moteurs v1.0'!$A$1:$I$11</definedName>
    <definedName name="_xlnm._FilterDatabase" localSheetId="48" hidden="1">'Carburants compatibilité v1.0'!$A$1:$G$4</definedName>
    <definedName name="_xlnm._FilterDatabase" localSheetId="49" hidden="1">'Composants normalisés v1.0'!$A$1:$G$15</definedName>
    <definedName name="_xlnm._FilterDatabase" localSheetId="50" hidden="1">'Coûts réparation classe v1.0'!$A$1:$Q$11</definedName>
    <definedName name="_xlnm._FilterDatabase" localSheetId="51" hidden="1">'Règles réparation v1.0'!$A$1:$F$9</definedName>
    <definedName name="_xlnm._FilterDatabase" localSheetId="52" hidden="1">'Schéma données v1.0'!$A$1:$I$26</definedName>
    <definedName name="_xlnm._FilterDatabase" localSheetId="53" hidden="1">'Contrats données v1.0'!$A$1:$F$25</definedName>
    <definedName name="_xlnm._FilterDatabase" localSheetId="54" hidden="1">'Modèle objets v1.0'!$A$1:$C$10</definedName>
    <definedName name="_xlnm._FilterDatabase" localSheetId="55" hidden="1">'Transitions états v1.0'!$A$1:$E$16</definedName>
    <definedName name="_xlnm._FilterDatabase" localSheetId="56" hidden="1">'Contenu départ P0'!$A$1:$I$16</definedName>
    <definedName name="_xlnm._FilterDatabase" localSheetId="57" hidden="1">'Captivite v1.0'!$A$1:$F$16</definedName>
    <definedName name="_xlnm._FilterDatabase" localSheetId="58" hidden="1">'Captivité - équilibrage'!$A$1:$O$7</definedName>
    <definedName name="_xlnm._FilterDatabase" localSheetId="59" hidden="1">'Fortifications - coûts'!$A$1:$J$16</definedName>
    <definedName name="_xlnm._FilterDatabase" localSheetId="60" hidden="1">'Économie - règles'!$A$1:$E$10</definedName>
    <definedName name="_xlnm._FilterDatabase" localSheetId="61" hidden="1">'Audit complétude véhicule'!$A$1:$G$276</definedName>
    <definedName name="_xlnm._FilterDatabase" localSheetId="62" hidden="1">'Journal décisions v1.0'!$A$1:$E$7</definedName>
    <definedName name="_xlnm._FilterDatabase" localSheetId="63" hidden="1">'Estimations probables 275'!$A$1:$R$276</definedName>
    <definedName name="_xlnm._FilterDatabase" localSheetId="64" hidden="1">'Bâtiments - économie v1.0'!$A$1:$L$13</definedName>
    <definedName name="_xlnm._FilterDatabase" localSheetId="65" hidden="1">'Expéditions tactiques v1.0'!$A$1:$D$9</definedName>
    <definedName name="_xlnm._FilterDatabase" localSheetId="66" hidden="1">'Dégâts et récupération v1.0'!$A$1:$D$10</definedName>
    <definedName name="_xlnm._FilterDatabase" localSheetId="67" hidden="1">'Contrats sauvegarde v2.0'!$A$1:$D$9</definedName>
    <definedName name="_xlnm._FilterDatabase" localSheetId="68" hidden="1">'Factions et diplomatie v1.0'!$A$1:$E$6</definedName>
    <definedName name="_xlnm._FilterDatabase" localSheetId="69" hidden="1">'Base verticale v1.0'!$A$1:$F$9</definedName>
  </definedNames>
  <calcPr calcId="124519" fullCalcOnLoad="1"/>
</workbook>
</file>

<file path=xl/styles.xml><?xml version="1.0" encoding="utf-8"?>
<styleSheet xmlns="http://schemas.openxmlformats.org/spreadsheetml/2006/main">
  <numFmts count="2">
    <numFmt numFmtId="164" formatCode="0.0;[Red]-0.0;0.0"/>
    <numFmt numFmtId="165" formatCode="#,##0.0"/>
  </numFmts>
  <fonts count="9">
    <font>
      <name val="Calibri"/>
      <family val="2"/>
      <color theme="1"/>
      <sz val="11"/>
      <scheme val="minor"/>
    </font>
    <font>
      <b val="1"/>
      <color rgb="00FFFFFF"/>
    </font>
    <font>
      <b val="1"/>
      <color rgb="00FFFFFF"/>
      <sz val="14"/>
    </font>
    <font>
      <b val="1"/>
      <color rgb="001F4E78"/>
    </font>
    <font>
      <color rgb="007F6000"/>
    </font>
    <font>
      <b val="1"/>
      <color rgb="007F6000"/>
    </font>
    <font>
      <color rgb="00000000"/>
    </font>
    <font>
      <b val="1"/>
    </font>
    <font/>
  </fonts>
  <fills count="10">
    <fill>
      <patternFill/>
    </fill>
    <fill>
      <patternFill patternType="gray125"/>
    </fill>
    <fill>
      <patternFill patternType="solid">
        <fgColor rgb="0034495E"/>
      </patternFill>
    </fill>
    <fill>
      <patternFill patternType="solid">
        <fgColor rgb="00243746"/>
      </patternFill>
    </fill>
    <fill>
      <patternFill patternType="solid">
        <fgColor rgb="00263746"/>
      </patternFill>
    </fill>
    <fill>
      <patternFill patternType="solid">
        <fgColor rgb="00FFF2CC"/>
      </patternFill>
    </fill>
    <fill>
      <patternFill patternType="solid">
        <fgColor rgb="0020364B"/>
      </patternFill>
    </fill>
    <fill>
      <patternFill patternType="solid">
        <fgColor rgb="00FCE4D6"/>
      </patternFill>
    </fill>
    <fill>
      <patternFill patternType="solid">
        <fgColor rgb="00334155"/>
      </patternFill>
    </fill>
    <fill>
      <patternFill patternType="solid">
        <fgColor rgb="001F4E78"/>
      </patternFill>
    </fill>
  </fills>
  <borders count="4">
    <border>
      <left/>
      <right/>
      <top/>
      <bottom/>
      <diagonal/>
    </border>
    <border>
      <bottom style="thin">
        <color rgb="00D8DEE4"/>
      </bottom>
    </border>
    <border>
      <bottom style="thin">
        <color rgb="00D6DBDF"/>
      </bottom>
    </border>
    <border>
      <bottom style="hair">
        <color rgb="00E5E7E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1" fillId="2" borderId="0" pivotButton="0" quotePrefix="0" xfId="0"/>
    <xf numFmtId="0" fontId="2" fillId="3" borderId="0" applyAlignment="1" pivotButton="0" quotePrefix="0" xfId="0">
      <alignment vertical="center" wrapText="1"/>
    </xf>
    <xf numFmtId="0" fontId="3" fillId="0" borderId="0" applyAlignment="1" pivotButton="0" quotePrefix="0" xfId="0">
      <alignment vertical="top" wrapText="1"/>
    </xf>
    <xf numFmtId="0" fontId="1" fillId="4" borderId="0"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xf numFmtId="0" fontId="1" fillId="6" borderId="0" applyAlignment="1" pivotButton="0" quotePrefix="0" xfId="0">
      <alignment vertical="top" wrapText="1"/>
    </xf>
    <xf numFmtId="0" fontId="6" fillId="5" borderId="1" applyAlignment="1" pivotButton="0" quotePrefix="0" xfId="0">
      <alignment vertical="top" wrapText="1"/>
    </xf>
    <xf numFmtId="0" fontId="5" fillId="5" borderId="1" applyAlignment="1" pivotButton="0" quotePrefix="0" xfId="0">
      <alignment vertical="top" wrapText="1"/>
    </xf>
    <xf numFmtId="0" fontId="6" fillId="7" borderId="1" applyAlignment="1" pivotButton="0" quotePrefix="0" xfId="0">
      <alignment vertical="top" wrapText="1"/>
    </xf>
    <xf numFmtId="0" fontId="5" fillId="7" borderId="1" applyAlignment="1" pivotButton="0" quotePrefix="0" xfId="0">
      <alignment vertical="top" wrapText="1"/>
    </xf>
    <xf numFmtId="0" fontId="4" fillId="5" borderId="1" applyAlignment="1" pivotButton="0" quotePrefix="0" xfId="0">
      <alignment vertical="top" wrapText="1"/>
    </xf>
    <xf numFmtId="0" fontId="5" fillId="5" borderId="0" pivotButton="0" quotePrefix="0" xfId="0"/>
    <xf numFmtId="0" fontId="4" fillId="5" borderId="0" pivotButton="0" quotePrefix="0" xfId="0"/>
    <xf numFmtId="0" fontId="0" fillId="5" borderId="1" applyAlignment="1" pivotButton="0" quotePrefix="0" xfId="0">
      <alignment vertical="top" wrapText="1"/>
    </xf>
    <xf numFmtId="0" fontId="1" fillId="2" borderId="2" applyAlignment="1" pivotButton="0" quotePrefix="0" xfId="0">
      <alignment vertical="top" wrapText="1"/>
    </xf>
    <xf numFmtId="0" fontId="0" fillId="0" borderId="3" applyAlignment="1" pivotButton="0" quotePrefix="0" xfId="0">
      <alignment vertical="top" wrapText="1"/>
    </xf>
    <xf numFmtId="0" fontId="1" fillId="2" borderId="0" applyAlignment="1" pivotButton="0" quotePrefix="0" xfId="0">
      <alignment vertical="top" wrapText="1"/>
    </xf>
    <xf numFmtId="164" fontId="0" fillId="0" borderId="3" applyAlignment="1" pivotButton="0" quotePrefix="0" xfId="0">
      <alignment vertical="top" wrapText="1"/>
    </xf>
    <xf numFmtId="0" fontId="7" fillId="0" borderId="0" pivotButton="0" quotePrefix="0" xfId="0"/>
    <xf numFmtId="165" fontId="0" fillId="0" borderId="3" applyAlignment="1" pivotButton="0" quotePrefix="0" xfId="0">
      <alignment vertical="top" wrapText="1"/>
    </xf>
    <xf numFmtId="0" fontId="1" fillId="3" borderId="0" applyAlignment="1" pivotButton="0" quotePrefix="0" xfId="0">
      <alignment vertical="top" wrapText="1"/>
    </xf>
    <xf numFmtId="0" fontId="1" fillId="3" borderId="0" applyAlignment="1" pivotButton="0" quotePrefix="0" xfId="0">
      <alignment vertical="center" wrapText="1"/>
    </xf>
    <xf numFmtId="0" fontId="7" fillId="0" borderId="0" applyAlignment="1" pivotButton="0" quotePrefix="0" xfId="0">
      <alignment vertical="top" wrapText="1"/>
    </xf>
    <xf numFmtId="0" fontId="8" fillId="0" borderId="0" applyAlignment="1" pivotButton="0" quotePrefix="0" xfId="0">
      <alignment vertical="top" wrapText="1"/>
    </xf>
    <xf numFmtId="0" fontId="1" fillId="8" borderId="0" applyAlignment="1" pivotButton="0" quotePrefix="0" xfId="0">
      <alignment vertical="center" wrapText="1"/>
    </xf>
    <xf numFmtId="0" fontId="1" fillId="9" borderId="0" applyAlignment="1" pivotButton="0" quotePrefix="0" xfId="0">
      <alignment vertical="center" wrapText="1"/>
    </xf>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styles" Target="styles.xml" Id="rId71"/><Relationship Type="http://schemas.openxmlformats.org/officeDocument/2006/relationships/theme" Target="theme/theme1.xml" Id="rId7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70" customWidth="1" min="3" max="3"/>
    <col width="48" customWidth="1" min="4" max="4"/>
  </cols>
  <sheetData>
    <row r="1">
      <c r="A1" s="6" t="inlineStr">
        <is>
          <t>Système</t>
        </is>
      </c>
      <c r="B1" s="6" t="inlineStr">
        <is>
          <t>Élément</t>
        </is>
      </c>
      <c r="C1" s="6" t="inlineStr">
        <is>
          <t>Règle de conception</t>
        </is>
      </c>
      <c r="D1" s="6" t="inlineStr">
        <is>
          <t>Coût/contrepartie</t>
        </is>
      </c>
    </row>
    <row r="2">
      <c r="A2" s="2" t="inlineStr">
        <is>
          <t>Accès</t>
        </is>
      </c>
      <c r="B2" s="2" t="inlineStr">
        <is>
          <t>Porte gauche</t>
        </is>
      </c>
      <c r="C2" s="2" t="inlineStr">
        <is>
          <t>Porte indépendante, améliorable, réparable, ouvrable/fermable</t>
        </is>
      </c>
      <c r="D2" s="2" t="inlineStr">
        <is>
          <t>Matériaux, temps, réparations</t>
        </is>
      </c>
    </row>
    <row r="3">
      <c r="A3" s="2" t="inlineStr">
        <is>
          <t>Accès</t>
        </is>
      </c>
      <c r="B3" s="2" t="inlineStr">
        <is>
          <t>Porte droite</t>
        </is>
      </c>
      <c r="C3" s="2" t="inlineStr">
        <is>
          <t>Porte indépendante, améliorable, réparable, ouvrable/fermable</t>
        </is>
      </c>
      <c r="D3" s="2" t="inlineStr">
        <is>
          <t>Matériaux, temps, réparations</t>
        </is>
      </c>
    </row>
    <row r="4">
      <c r="A4" s="2" t="inlineStr">
        <is>
          <t>Mur</t>
        </is>
      </c>
      <c r="B4" s="2" t="inlineStr">
        <is>
          <t>Segments de mur</t>
        </is>
      </c>
      <c r="C4" s="2" t="inlineStr">
        <is>
          <t>Renforcement par segment ; intégrité et brèches locales</t>
        </is>
      </c>
      <c r="D4" s="2" t="inlineStr">
        <is>
          <t>Matériaux et maintenance</t>
        </is>
      </c>
    </row>
    <row r="5">
      <c r="A5" s="2" t="inlineStr">
        <is>
          <t>Personnel</t>
        </is>
      </c>
      <c r="B5" s="2" t="inlineStr">
        <is>
          <t>Soldats sur mur</t>
        </is>
      </c>
      <c r="C5" s="2" t="inlineStr">
        <is>
          <t>Affectation par segment, porte ou poste d’arme</t>
        </is>
      </c>
      <c r="D5" s="2" t="inlineStr">
        <is>
          <t>Effectifs indisponibles pour expéditions</t>
        </is>
      </c>
    </row>
    <row r="6">
      <c r="A6" s="2" t="inlineStr">
        <is>
          <t>Arme fixe</t>
        </is>
      </c>
      <c r="B6" s="2" t="inlineStr">
        <is>
          <t>Canon</t>
        </is>
      </c>
      <c r="C6" s="2" t="inlineStr">
        <is>
          <t>Emplacement, munitions, équipage, ligne de vue</t>
        </is>
      </c>
      <c r="D6" s="2" t="inlineStr">
        <is>
          <t>Coût élevé, cadence limitée</t>
        </is>
      </c>
    </row>
    <row r="7">
      <c r="A7" s="2" t="inlineStr">
        <is>
          <t>Arme fixe</t>
        </is>
      </c>
      <c r="B7" s="2" t="inlineStr">
        <is>
          <t>Mitrailleuse lourde</t>
        </is>
      </c>
      <c r="C7" s="2" t="inlineStr">
        <is>
          <t>Poste renforcé, munitions et servants</t>
        </is>
      </c>
      <c r="D7" s="2" t="inlineStr">
        <is>
          <t>Munitions et exposition</t>
        </is>
      </c>
    </row>
    <row r="8">
      <c r="A8" s="2" t="inlineStr">
        <is>
          <t>Véhicule</t>
        </is>
      </c>
      <c r="B8" s="2" t="inlineStr">
        <is>
          <t>Char extérieur</t>
        </is>
      </c>
      <c r="C8" s="2" t="inlineStr">
        <is>
          <t>Position défensive extérieure, opérationnel requis</t>
        </is>
      </c>
      <c r="D8" s="2" t="inlineStr">
        <is>
          <t>Ne peut partir en expédition ; risque de dégâts</t>
        </is>
      </c>
    </row>
    <row r="9">
      <c r="A9" s="2" t="inlineStr">
        <is>
          <t>Véhicule</t>
        </is>
      </c>
      <c r="B9" s="2" t="inlineStr">
        <is>
          <t>Blindé / half-track / camion armé</t>
        </is>
      </c>
      <c r="C9" s="2" t="inlineStr">
        <is>
          <t>Position extérieure dédiée</t>
        </is>
      </c>
      <c r="D9" s="2" t="inlineStr">
        <is>
          <t>Immobilisation et entretien</t>
        </is>
      </c>
    </row>
    <row r="10">
      <c r="A10" s="2" t="inlineStr">
        <is>
          <t>Détection</t>
        </is>
      </c>
      <c r="B10" s="2" t="inlineStr">
        <is>
          <t>Miradors / éclairage</t>
        </is>
      </c>
      <c r="C10" s="2" t="inlineStr">
        <is>
          <t>Détection plus précoce, bonus de visibilité</t>
        </is>
      </c>
      <c r="D10" s="2" t="inlineStr">
        <is>
          <t>Coût de construction et énergie éventuelle</t>
        </is>
      </c>
    </row>
    <row r="11">
      <c r="A11" s="2" t="inlineStr">
        <is>
          <t>Combat</t>
        </is>
      </c>
      <c r="B11" s="2" t="inlineStr">
        <is>
          <t>Phases d’attaque</t>
        </is>
      </c>
      <c r="C11" s="2" t="inlineStr">
        <is>
          <t>Détection, fermeture, approche, tirs, brèche/repli, bilan</t>
        </is>
      </c>
      <c r="D11" s="2" t="inlineStr">
        <is>
          <t>Résolution tactique ; pas de victoire automatique</t>
        </is>
      </c>
    </row>
  </sheetData>
  <autoFilter ref="A1:D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2" customWidth="1" min="1" max="1"/>
    <col width="68" customWidth="1" min="2" max="2"/>
    <col width="62" customWidth="1" min="3" max="3"/>
  </cols>
  <sheetData>
    <row r="1">
      <c r="A1" s="6" t="inlineStr">
        <is>
          <t>Domaine</t>
        </is>
      </c>
      <c r="B1" s="6" t="inlineStr">
        <is>
          <t>Règle de référence</t>
        </is>
      </c>
      <c r="C1" s="6" t="inlineStr">
        <is>
          <t>Éléments à ne pas modéliser</t>
        </is>
      </c>
    </row>
    <row r="2">
      <c r="A2" s="2" t="inlineStr">
        <is>
          <t>Réalisme</t>
        </is>
      </c>
      <c r="B2" s="2" t="inlineStr">
        <is>
          <t>Semi-réaliste ; statistiques compréhensibles et effets visibles.</t>
        </is>
      </c>
      <c r="C2" s="2" t="inlineStr">
        <is>
          <t>Simulation exhaustive de chaque petite pièce.</t>
        </is>
      </c>
    </row>
    <row r="3">
      <c r="A3" s="2" t="inlineStr">
        <is>
          <t>Composants</t>
        </is>
      </c>
      <c r="B3" s="2" t="inlineStr">
        <is>
          <t>Inventaire limité aux modules majeurs.</t>
        </is>
      </c>
      <c r="C3" s="2" t="inlineStr">
        <is>
          <t>Boulons, durites et consommables mineurs comme composants individuels.</t>
        </is>
      </c>
    </row>
    <row r="4">
      <c r="A4" s="2" t="inlineStr">
        <is>
          <t>Refroidissement</t>
        </is>
      </c>
      <c r="B4" s="2" t="inlineStr">
        <is>
          <t>Un module unique : fonctionnel / endommagé / absent.</t>
        </is>
      </c>
      <c r="C4" s="2" t="inlineStr">
        <is>
          <t>Radiateur, durites, pompe, ventilateur et thermostat séparés.</t>
        </is>
      </c>
    </row>
    <row r="5">
      <c r="A5" s="2" t="inlineStr">
        <is>
          <t>Supports moteur</t>
        </is>
      </c>
      <c r="B5" s="2" t="inlineStr">
        <is>
          <t>Compatibilité directe ou kit d’adaptation générique.</t>
        </is>
      </c>
      <c r="C5" s="2" t="inlineStr">
        <is>
          <t>Supports moteur individuels dans l’inventaire.</t>
        </is>
      </c>
    </row>
    <row r="6">
      <c r="A6" s="2" t="inlineStr">
        <is>
          <t>Carburant</t>
        </is>
      </c>
      <c r="B6" s="2" t="inlineStr">
        <is>
          <t>Un stock générique en litres ; le type essence/diesel reste un attribut du moteur.</t>
        </is>
      </c>
      <c r="C6" s="2" t="inlineStr">
        <is>
          <t>Stocks et réservoirs séparés essence/diesel.</t>
        </is>
      </c>
    </row>
    <row r="7">
      <c r="A7" s="2" t="inlineStr">
        <is>
          <t>Économie</t>
        </is>
      </c>
      <c r="B7" s="2" t="inlineStr">
        <is>
          <t>Niveau intermédiaire : production, consommation, capacités, échanges.</t>
        </is>
      </c>
      <c r="C7" s="2" t="inlineStr">
        <is>
          <t>Étapes de production sans choix intéressant.</t>
        </is>
      </c>
    </row>
    <row r="8">
      <c r="A8" s="2" t="inlineStr">
        <is>
          <t>Combat</t>
        </is>
      </c>
      <c r="B8" s="2" t="inlineStr">
        <is>
          <t>Tactique détaillée : équipage, munitions, composants majeurs, repli.</t>
        </is>
      </c>
      <c r="C8" s="2" t="inlineStr">
        <is>
          <t>Micro-dégâts sur chaque pièce mineure.</t>
        </is>
      </c>
    </row>
    <row r="9">
      <c r="A9" s="2" t="inlineStr">
        <is>
          <t>Hors ligne</t>
        </is>
      </c>
      <c r="B9" s="2" t="inlineStr">
        <is>
          <t>Maximum 12 h, puis résumé détaillé à la reprise.</t>
        </is>
      </c>
      <c r="C9" s="2" t="inlineStr">
        <is>
          <t>Accumulation illimitée ou destruction silencieuse.</t>
        </is>
      </c>
    </row>
    <row r="10">
      <c r="A10" s="2" t="inlineStr">
        <is>
          <t>Construction</t>
        </is>
      </c>
      <c r="B10" s="2" t="inlineStr">
        <is>
          <t>Modulaire avec compromis puissance/consommation/protection/capacité/mobilité/fiabilité.</t>
        </is>
      </c>
      <c r="C10" s="2" t="inlineStr">
        <is>
          <t>Compatibilités arbitrairement strictes sans intérêt de jeu.</t>
        </is>
      </c>
    </row>
  </sheetData>
  <autoFilter ref="A1:C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9"/>
  <sheetViews>
    <sheetView showGridLines="0" workbookViewId="0">
      <pane ySplit="1" topLeftCell="A2" activePane="bottomLeft" state="frozen"/>
      <selection pane="bottomLeft" activeCell="A1" sqref="A1"/>
    </sheetView>
  </sheetViews>
  <sheetFormatPr baseColWidth="8" defaultRowHeight="15"/>
  <cols>
    <col width="36" customWidth="1" min="1" max="1"/>
    <col width="110" customWidth="1" min="2" max="2"/>
  </cols>
  <sheetData>
    <row r="1">
      <c r="A1" s="25" t="inlineStr">
        <is>
          <t>INVENTAIRE HISTORIQUE — VÉHICULES CONÇUS JUSQU'EN 1945</t>
        </is>
      </c>
      <c r="B1" s="25" t="n"/>
    </row>
    <row r="2">
      <c r="A2" s="7" t="inlineStr">
        <is>
          <t>Version</t>
        </is>
      </c>
      <c r="B2" s="8" t="inlineStr">
        <is>
          <t>0.3 — extension importante des chars, chasseurs de chars, canons automoteurs et prototypes.</t>
        </is>
      </c>
    </row>
    <row r="3">
      <c r="A3" s="7" t="inlineStr">
        <is>
          <t>Périmètre</t>
        </is>
      </c>
      <c r="B3" s="8" t="inlineStr">
        <is>
          <t>Véhicules conçus ou développés au plus tard en 1945. Les prototypes/projets sont explicitement signalés et ne sont pas assimilés à du matériel de série.</t>
        </is>
      </c>
    </row>
    <row r="4">
      <c r="A4" s="7" t="inlineStr">
        <is>
          <t>Comment utiliser</t>
        </is>
      </c>
      <c r="B4" s="8" t="inlineStr">
        <is>
          <t>Filtrer la feuille « Inventaire initial » pour tous les véhicules ; utiliser « Chars et blindés élargis » pour les nouveaux blindés ajoutés ; consulter « Familles moteurs blindés » pour des familles moteur mutualisables en jeu.</t>
        </is>
      </c>
    </row>
    <row r="5">
      <c r="A5" s="7" t="inlineStr">
        <is>
          <t>Important — historique vs jeu</t>
        </is>
      </c>
      <c r="B5" s="8" t="inlineStr">
        <is>
          <t>La motorisation indiquée est une première passe. Les variantes d'un même modèle peuvent avoir des moteurs différents. L'architecture identique (ex. V8) ne signifie pas interchangeabilité. Les compatibilités gameplay doivent être validées séparément.</t>
        </is>
      </c>
    </row>
    <row r="6">
      <c r="A6" s="7" t="inlineStr">
        <is>
          <t>Niveau de vérification</t>
        </is>
      </c>
      <c r="B6" s="8" t="inlineStr">
        <is>
          <t>Documenté = source de référence repérée ; Partiel/À vérifier = modèle ou sous-variante à contrôler avant verrouillage. Les liens de la feuille « Bibliographie » sont des points de départ et doivent être recoupés.</t>
        </is>
      </c>
    </row>
    <row r="7">
      <c r="A7" s="7" t="inlineStr">
        <is>
          <t>Modèles rares et prototypes</t>
        </is>
      </c>
      <c r="B7" s="8" t="inlineStr">
        <is>
          <t>Les prototypes et projets sont utiles pour la variété, mais devraient apparaître rarement dans le jeu, dans des sites militaires, dépôts expérimentaux ou zones industrielles.</t>
        </is>
      </c>
    </row>
    <row r="8">
      <c r="A8" s="7" t="inlineStr">
        <is>
          <t>Design mécanique recommandé</t>
        </is>
      </c>
      <c r="B8" s="8" t="inlineStr">
        <is>
          <t>Pièces moteur normalisées par famille et variante ; supports, boîte, refroidissement, carburant, masse et transmission servent de contraintes. Le système multimoteur doit distinguer moteurs indépendants, moteurs couplés et groupes multiblocs historiques.</t>
        </is>
      </c>
    </row>
    <row r="9">
      <c r="A9" s="7" t="inlineStr">
        <is>
          <t>Contenu actuel</t>
        </is>
      </c>
      <c r="B9" s="8" t="inlineStr">
        <is>
          <t>Inventaire principal + nouveaux blindés ; fiches moteur à valider. Cette base vise une forte couverture de gameplay, pas l'exhaustivité académique de tous les véhicules blindés produits dans le monde.</t>
        </is>
      </c>
    </row>
    <row r="10">
      <c r="A10" s="8" t="inlineStr">
        <is>
          <t>Nouveauté v0.4</t>
        </is>
      </c>
      <c r="B10" s="8" t="inlineStr">
        <is>
          <t>Armement historique renseigné en première passe pour les 275 entrées principales et 135 entrées de blindés élargis; consultez le niveau de confiance et les règles d'épaves. Les variantes sont parfois groupées, donc les lignes « Partiel/À vérifier/Projet » ne doivent pas être traitées comme certitudes.</t>
        </is>
      </c>
    </row>
    <row r="11">
      <c r="A11" s="8" t="inlineStr">
        <is>
          <t>Limite importante</t>
        </is>
      </c>
      <c r="B11" s="8" t="inlineStr">
        <is>
          <t>Pour une arme récupérée, le jeu doit enregistrer son modèle/calibre, son état, son affût et sa compatibilité. Ne pas attribuer automatiquement une arme à une épave si elle est absente ou détruite.</t>
        </is>
      </c>
    </row>
    <row r="12">
      <c r="A12" s="8" t="inlineStr">
        <is>
          <t>Version v0.5</t>
        </is>
      </c>
      <c r="B12" s="8" t="inlineStr">
        <is>
          <t>Ajout d'une sélection de 10 véhicules prioritaires pour le prototype, marqués en jaune dans l'inventaire principal et détaillés dans « Véhicules prototype ». Les autres véhicules sont conservés pour des versions ultérieures.</t>
        </is>
      </c>
    </row>
    <row r="13">
      <c r="A13" s="8" t="inlineStr">
        <is>
          <t>Production ressources</t>
        </is>
      </c>
      <c r="B13" s="8" t="inlineStr">
        <is>
          <t>Nouvelle feuille « Production ressources » : la base généraliste produit de faibles quantités d'eau, nourriture, carburant et munitions; les grandes productions exigent une spécialisation ou des infrastructures dédiées.</t>
        </is>
      </c>
    </row>
    <row r="14">
      <c r="A14" s="8" t="inlineStr">
        <is>
          <t>Version v0.6</t>
        </is>
      </c>
      <c r="B14" s="8" t="inlineStr">
        <is>
          <t>Ajout des gabarits des 10 véhicules du prototype, échelle de grille à 0,25 m/cellule, catalogue de roues/chenilles/tourelles/canons/cabines récupérables, et sources/limites des estimations.</t>
        </is>
      </c>
    </row>
    <row r="15">
      <c r="A15" s="8" t="inlineStr">
        <is>
          <t>Règle de modularité</t>
        </is>
      </c>
      <c r="B15" s="8" t="inlineStr">
        <is>
          <t>Les tourelles, cabines/cockpits, caisses, canons et affûts peuvent être récupérés séparément lorsque l'état le permet. Compatibilité contrôlée par dimensions, masse, fixation et architecture; les constructions improvisées restent possibles sans interchangeabilité universelle.</t>
        </is>
      </c>
    </row>
    <row r="16">
      <c r="A16" s="8" t="inlineStr">
        <is>
          <t>Version v0.7</t>
        </is>
      </c>
      <c r="B16" s="8" t="inlineStr">
        <is>
          <t>Catalogue de pièces enrichi : moteurs par classes, réservoirs carrés/rectangulaires S/M/L/XL, tourelles légères/moyennes/lourdes, canons par classes, cabines/cockpits réutilisables, treuils, blindages et règles de placement magnétique/chevauchement par couches.</t>
        </is>
      </c>
    </row>
    <row r="17">
      <c r="A17" s="8" t="inlineStr">
        <is>
          <t>Philosophie de compatibilité</t>
        </is>
      </c>
      <c r="B17" s="8" t="inlineStr">
        <is>
          <t>Compatibilité volontairement permissive : si l'espace existe, montage généralement autorisé. Les différences se traduisent surtout par masse, consommation, stabilité, cadence de rechargement et contraintes de transmission. Les roues et chenilles restent soumises à des collisions physiques.</t>
        </is>
      </c>
    </row>
    <row r="18" ht="48" customHeight="1">
      <c r="A18" s="2" t="inlineStr">
        <is>
          <t>Version 0.8</t>
        </is>
      </c>
      <c r="B18" s="2" t="inlineStr">
        <is>
          <t>Ajout : consommation carburant gameplay, générateurs, cuves en litres, catalogue bâtiments, niveaux verticaux, ascenseur, interface ressources et transports de troupes. Valeurs provisoires à équilibrer en prototype.</t>
        </is>
      </c>
    </row>
    <row r="19" ht="52" customHeight="1">
      <c r="A19" s="2" t="inlineStr">
        <is>
          <t>Version 0.9</t>
        </is>
      </c>
      <c r="B19" s="2" t="inlineStr">
        <is>
          <t>Ajout : coûts d'amélioration par niveau pour les bâtiments, tableau de bord quotidien, élevage et production de nourriture, règles de ressources unifiées, descriptions de véhicules (catalogue complet en brouillon et 10 véhicules prioritaires détaillés). Valeurs de gameplay provisoires.</t>
        </is>
      </c>
    </row>
    <row r="20" ht="52" customHeight="1">
      <c r="A20" s="2" t="inlineStr">
        <is>
          <t>Version 1.0</t>
        </is>
      </c>
      <c r="B20" s="2" t="inlineStr">
        <is>
          <t>Ajout : paramètres économiques modifiables, simulation journalière sur 30 jours avec formules, hypothèses de production/consommation, fiche UI de récupération véhicule. Valeurs à tester et équilibrer.</t>
        </is>
      </c>
    </row>
    <row r="21" ht="52" customHeight="1">
      <c r="A21" s="2" t="inlineStr">
        <is>
          <t>Version 1.1</t>
        </is>
      </c>
      <c r="B21" s="2" t="inlineStr">
        <is>
          <t>Ajout : catalogue d'événements, pénuries progressives, scénario de test sur 30 jours, paramètres de seuils et incidents. Les événements du scénario sont une suite de test, pas une fréquence définitive.</t>
        </is>
      </c>
    </row>
    <row r="22">
      <c r="A22" s="2" t="inlineStr">
        <is>
          <t>Version conception</t>
        </is>
      </c>
      <c r="B22" s="2" t="inlineStr">
        <is>
          <t>v1.2 — ajout des matrices de boucle de jeu, progression, pertes permanentes et plans/déblocages. Les entrées sont des règles/catégories de conception, pas des valeurs d’équilibrage finales.</t>
        </is>
      </c>
    </row>
    <row r="23">
      <c r="A23" s="2" t="inlineStr">
        <is>
          <t>Version conception</t>
        </is>
      </c>
      <c r="B23" s="2" t="inlineStr">
        <is>
          <t>v1.3 — spécification détaillée des phases d’expédition, facteurs de risque, événements, récupération d’épaves et paramètres à équilibrer.</t>
        </is>
      </c>
    </row>
    <row r="24">
      <c r="A24" s="2" t="inlineStr">
        <is>
          <t>Version</t>
        </is>
      </c>
      <c r="B24" s="2" t="inlineStr">
        <is>
          <t>v1.4 — ajout d’une base maître normalisée pour 275 entrées, audit de complétude et registre de sources pour les véhicules prioritaires. Les fiches restent à vérifier champ par champ.</t>
        </is>
      </c>
    </row>
    <row r="25">
      <c r="A25" s="2" t="inlineStr">
        <is>
          <t>Note de qualité</t>
        </is>
      </c>
      <c r="B25" s="2" t="inlineStr">
        <is>
          <t>Le catalogue maître reprend 275 entrées. À ce stade, 5 fiches ont reçu des premières données techniques sourcées dans cette passe ; le reste est structuré mais à documenter. Les variantes et valeurs critiques doivent être vérifiées avant usage définitif.</t>
        </is>
      </c>
    </row>
    <row r="26">
      <c r="A26" s="2" t="inlineStr">
        <is>
          <t>Version</t>
        </is>
      </c>
      <c r="B26" s="2" t="inlineStr">
        <is>
          <t>v1.1 — enrichissement des fiches prioritaires M3 Half Track, M3 Stuart, Tiger II, DUKW et variantes M4/M4A1, M4A2, M4A3, M4A4 ; ajout du registre de sources dédié. Les données restent à contrôler par variante avant gel définitif.</t>
        </is>
      </c>
    </row>
    <row r="27">
      <c r="A27" s="26" t="inlineStr">
        <is>
          <t>Version v1.2</t>
        </is>
      </c>
      <c r="B27" s="27" t="inlineStr">
        <is>
          <t>Passe de recherche par gros lot (29/10/2026) : enrichissement prudent de 6 véhicules prioritaires et journal de sources v1.2. Données non exhaustives; chiffres marqués comme indicatifs restent à vérifier dans les manuels primaires.</t>
        </is>
      </c>
    </row>
    <row r="28">
      <c r="A28" s="26" t="inlineStr">
        <is>
          <t>Version v1.3</t>
        </is>
      </c>
      <c r="B28" s="2" t="inlineStr">
        <is>
          <t>Passe gros lot du 29/10/2026 : normalisation des familles moteur/carburant/composants, matrice de coûts de réparation par classe et règles de réparation. Coûts abstraits de conception, non définitifs.</t>
        </is>
      </c>
    </row>
    <row r="29">
      <c r="A29" s="26" t="inlineStr">
        <is>
          <t>Version v1.4</t>
        </is>
      </c>
      <c r="B29" s="2" t="inlineStr">
        <is>
          <t>Passe gros lot du 29/10/2026 : schéma de données, contrats de validation, modèle d’objets persistants, transitions d’état et contenu de départ P0. Les IDs sont des identifiants de conception, pas encore des IDs de code définitifs.</t>
        </is>
      </c>
    </row>
  </sheetData>
  <autoFilter ref="A1:B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276"/>
  <sheetViews>
    <sheetView showGridLines="0" workbookViewId="0">
      <pane ySplit="1" topLeftCell="A2" activePane="bottomLeft" state="frozen"/>
      <selection pane="bottomLeft" activeCell="A1" sqref="A1"/>
    </sheetView>
  </sheetViews>
  <sheetFormatPr baseColWidth="8" defaultRowHeight="15"/>
  <cols>
    <col width="14" customWidth="1" min="1" max="1"/>
    <col width="32" customWidth="1" min="2" max="2"/>
    <col width="28" customWidth="1" min="3" max="3"/>
    <col width="30" customWidth="1" min="4" max="4"/>
    <col width="24" customWidth="1" min="5" max="5"/>
    <col width="24" customWidth="1" min="6" max="6"/>
    <col width="22" customWidth="1" min="7" max="7"/>
    <col width="32" customWidth="1" min="8" max="8"/>
    <col width="26" customWidth="1" min="9" max="9"/>
    <col width="19" customWidth="1" min="10" max="10"/>
    <col width="24" customWidth="1" min="11" max="11"/>
    <col width="16" customWidth="1" min="12" max="12"/>
    <col width="16" customWidth="1" min="13" max="13"/>
    <col width="16" customWidth="1" min="14" max="14"/>
    <col width="16" customWidth="1" min="15" max="15"/>
    <col width="42" customWidth="1" min="16" max="16"/>
    <col width="16" customWidth="1" min="17" max="17"/>
    <col width="16" customWidth="1" min="18" max="18"/>
    <col width="16" customWidth="1" min="19" max="19"/>
    <col width="18" customWidth="1" min="20" max="20"/>
    <col width="24" customWidth="1" min="21" max="21"/>
    <col width="18" customWidth="1" min="22" max="22"/>
    <col width="20" customWidth="1" min="23" max="23"/>
    <col width="32" customWidth="1" min="24" max="24"/>
    <col width="30" customWidth="1" min="25" max="25"/>
    <col width="36" customWidth="1" min="26" max="26"/>
    <col width="28" customWidth="1" min="27" max="27"/>
    <col width="28" customWidth="1" min="28" max="28"/>
    <col width="35" customWidth="1" min="29" max="29"/>
    <col width="38" customWidth="1" min="30" max="30"/>
    <col width="24" customWidth="1" min="31" max="31"/>
    <col width="26" customWidth="1" min="32" max="32"/>
    <col width="24" customWidth="1" min="33" max="33"/>
    <col width="34" customWidth="1" min="34" max="34"/>
    <col width="50" customWidth="1" min="35" max="35"/>
    <col width="42" customWidth="1" min="36" max="36"/>
    <col width="40" customWidth="1" min="37" max="37"/>
    <col width="35" customWidth="1" min="38" max="38"/>
    <col width="35" customWidth="1" min="39" max="39"/>
    <col width="34" customWidth="1" min="40" max="40"/>
    <col width="24" customWidth="1" min="41" max="41"/>
    <col width="24" customWidth="1" min="42" max="42"/>
    <col width="24" customWidth="1" min="43" max="43"/>
    <col width="30" customWidth="1" min="44" max="44"/>
    <col width="18" customWidth="1" min="45" max="45"/>
    <col width="60" customWidth="1" min="46" max="46"/>
    <col width="34" customWidth="1" min="47" max="47"/>
    <col width="70" customWidth="1" min="48" max="48"/>
  </cols>
  <sheetData>
    <row r="1" ht="55" customHeight="1">
      <c r="A1" s="25" t="inlineStr">
        <is>
          <t>ID véhicule</t>
        </is>
      </c>
      <c r="B1" s="25" t="inlineStr">
        <is>
          <t>Catégorie</t>
        </is>
      </c>
      <c r="C1" s="25" t="inlineStr">
        <is>
          <t>Modèle canonique</t>
        </is>
      </c>
      <c r="D1" s="25" t="inlineStr">
        <is>
          <t>Variante / sous-version</t>
        </is>
      </c>
      <c r="E1" s="25" t="inlineStr">
        <is>
          <t>Pays / origine</t>
        </is>
      </c>
      <c r="F1" s="25" t="inlineStr">
        <is>
          <t>Période conception / service</t>
        </is>
      </c>
      <c r="G1" s="25" t="inlineStr">
        <is>
          <t>Statut historique</t>
        </is>
      </c>
      <c r="H1" s="25" t="inlineStr">
        <is>
          <t>Rôle historique</t>
        </is>
      </c>
      <c r="I1" s="25" t="inlineStr">
        <is>
          <t>Rôle gameplay</t>
        </is>
      </c>
      <c r="J1" s="25" t="inlineStr">
        <is>
          <t>Masse à vide (kg)</t>
        </is>
      </c>
      <c r="K1" s="25" t="inlineStr">
        <is>
          <t>Masse en ordre de combat / charge (kg)</t>
        </is>
      </c>
      <c r="L1" s="25" t="inlineStr">
        <is>
          <t>Longueur (m)</t>
        </is>
      </c>
      <c r="M1" s="25" t="inlineStr">
        <is>
          <t>Largeur (m)</t>
        </is>
      </c>
      <c r="N1" s="25" t="inlineStr">
        <is>
          <t>Hauteur (m)</t>
        </is>
      </c>
      <c r="O1" s="25" t="inlineStr">
        <is>
          <t>Garde au sol (m)</t>
        </is>
      </c>
      <c r="P1" s="25" t="inlineStr">
        <is>
          <t>Moteur / architecture</t>
        </is>
      </c>
      <c r="Q1" s="25" t="inlineStr">
        <is>
          <t>Cylindrée (L)</t>
        </is>
      </c>
      <c r="R1" s="25" t="inlineStr">
        <is>
          <t>Puissance (ch)</t>
        </is>
      </c>
      <c r="S1" s="25" t="inlineStr">
        <is>
          <t>Carburant</t>
        </is>
      </c>
      <c r="T1" s="25" t="inlineStr">
        <is>
          <t>Capacité carburant (L)</t>
        </is>
      </c>
      <c r="U1" s="25" t="inlineStr">
        <is>
          <t>Consommation historique (L/100 km)</t>
        </is>
      </c>
      <c r="V1" s="25" t="inlineStr">
        <is>
          <t>Vitesse max (km/h)</t>
        </is>
      </c>
      <c r="W1" s="25" t="inlineStr">
        <is>
          <t>Autonomie historique (km)</t>
        </is>
      </c>
      <c r="X1" s="25" t="inlineStr">
        <is>
          <t>Équipage historique</t>
        </is>
      </c>
      <c r="Y1" s="25" t="inlineStr">
        <is>
          <t>Passagers / charge utile</t>
        </is>
      </c>
      <c r="Z1" s="25" t="inlineStr">
        <is>
          <t>Transmission / motricité</t>
        </is>
      </c>
      <c r="AA1" s="25" t="inlineStr">
        <is>
          <t>Suspension / roulement</t>
        </is>
      </c>
      <c r="AB1" s="25" t="inlineStr">
        <is>
          <t>Blindage (mm / description)</t>
        </is>
      </c>
      <c r="AC1" s="25" t="inlineStr">
        <is>
          <t>Armement principal</t>
        </is>
      </c>
      <c r="AD1" s="25" t="inlineStr">
        <is>
          <t>Armement secondaire</t>
        </is>
      </c>
      <c r="AE1" s="25" t="inlineStr">
        <is>
          <t>Munitions / capacité</t>
        </is>
      </c>
      <c r="AF1" s="25" t="inlineStr">
        <is>
          <t>État / fiabilité gameplay</t>
        </is>
      </c>
      <c r="AG1" s="25" t="inlineStr">
        <is>
          <t>Difficulté récupération</t>
        </is>
      </c>
      <c r="AH1" s="25" t="inlineStr">
        <is>
          <t>Capacité de réparation</t>
        </is>
      </c>
      <c r="AI1" s="25" t="inlineStr">
        <is>
          <t>Composants critiques</t>
        </is>
      </c>
      <c r="AJ1" s="25" t="inlineStr">
        <is>
          <t>Compatibilités de pièces</t>
        </is>
      </c>
      <c r="AK1" s="25" t="inlineStr">
        <is>
          <t>Variantes à distinguer</t>
        </is>
      </c>
      <c r="AL1" s="25" t="inlineStr">
        <is>
          <t>Source technique principale</t>
        </is>
      </c>
      <c r="AM1" s="25" t="inlineStr">
        <is>
          <t>Autres sources</t>
        </is>
      </c>
      <c r="AN1" s="25" t="inlineStr">
        <is>
          <t>Niveau de preuve</t>
        </is>
      </c>
      <c r="AO1" s="25" t="inlineStr">
        <is>
          <t>Confiance dimensions</t>
        </is>
      </c>
      <c r="AP1" s="25" t="inlineStr">
        <is>
          <t>Confiance motorisation</t>
        </is>
      </c>
      <c r="AQ1" s="25" t="inlineStr">
        <is>
          <t>Confiance armement</t>
        </is>
      </c>
      <c r="AR1" s="25" t="inlineStr">
        <is>
          <t>État de complétude</t>
        </is>
      </c>
      <c r="AS1" s="25" t="inlineStr">
        <is>
          <t>Priorité de recherche</t>
        </is>
      </c>
      <c r="AT1" s="25" t="inlineStr">
        <is>
          <t>Notes / divergences</t>
        </is>
      </c>
      <c r="AU1" s="25" t="inlineStr">
        <is>
          <t>Rôle dans le prototype</t>
        </is>
      </c>
      <c r="AV1" s="25" t="inlineStr">
        <is>
          <t>Description UI</t>
        </is>
      </c>
    </row>
    <row r="2" ht="60" customHeight="1">
      <c r="A2" s="2" t="inlineStr">
        <is>
          <t>VEH-001</t>
        </is>
      </c>
      <c r="B2" s="2" t="inlineStr">
        <is>
          <t>Voitures civiles et utilitaires légers</t>
        </is>
      </c>
      <c r="C2" s="2" t="inlineStr">
        <is>
          <t>Citroën Traction Avant</t>
        </is>
      </c>
      <c r="D2" s="2" t="inlineStr">
        <is>
          <t>À distinguer si plusieurs variantes</t>
        </is>
      </c>
      <c r="E2" s="2" t="inlineStr">
        <is>
          <t>France</t>
        </is>
      </c>
      <c r="F2" s="2" t="inlineStr">
        <is>
          <t>À documenter</t>
        </is>
      </c>
      <c r="G2" s="2" t="inlineStr">
        <is>
          <t>À confirmer</t>
        </is>
      </c>
      <c r="H2" s="2" t="inlineStr">
        <is>
          <t>Voiture de tourisme</t>
        </is>
      </c>
      <c r="I2" s="2" t="inlineStr">
        <is>
          <t>À définir</t>
        </is>
      </c>
      <c r="J2" s="2" t="n"/>
      <c r="K2" s="2" t="n"/>
      <c r="L2" s="2" t="n"/>
      <c r="M2" s="2" t="n"/>
      <c r="N2" s="2" t="n"/>
      <c r="O2" s="2" t="n"/>
      <c r="P2" s="2" t="inlineStr">
        <is>
          <t>Essence : 4 cylindres en ligne sur les 7/11 ; 6 cylindres en ligne sur la 15 Six (à partir de 1938). Le V8 de la 22 est un prototype/projet non produit en série.</t>
        </is>
      </c>
      <c r="Q2" s="2" t="n"/>
      <c r="R2" s="2" t="n"/>
      <c r="S2" s="2" t="inlineStr">
        <is>
          <t>À confirmer</t>
        </is>
      </c>
      <c r="T2" s="2" t="n"/>
      <c r="U2" s="2" t="n"/>
      <c r="V2" s="2" t="n"/>
      <c r="W2" s="2" t="n"/>
      <c r="X2" s="2" t="inlineStr">
        <is>
          <t>À documenter</t>
        </is>
      </c>
      <c r="Y2" s="2" t="inlineStr">
        <is>
          <t>À documenter</t>
        </is>
      </c>
      <c r="Z2" s="2" t="inlineStr">
        <is>
          <t>À documenter</t>
        </is>
      </c>
      <c r="AA2" s="2" t="inlineStr">
        <is>
          <t>À documenter</t>
        </is>
      </c>
      <c r="AB2" s="2" t="inlineStr">
        <is>
          <t>À documenter</t>
        </is>
      </c>
      <c r="AC2" s="2" t="inlineStr">
        <is>
          <t>Aucun armement fixe standard identifié; arme individuelle/affût de campagne possible selon usage</t>
        </is>
      </c>
      <c r="AD2" s="2" t="inlineStr">
        <is>
          <t>À documenter</t>
        </is>
      </c>
      <c r="AE2" s="2" t="inlineStr">
        <is>
          <t>À documenter</t>
        </is>
      </c>
      <c r="AF2" s="2" t="inlineStr">
        <is>
          <t>À définir</t>
        </is>
      </c>
      <c r="AG2" s="2" t="inlineStr">
        <is>
          <t>À définir</t>
        </is>
      </c>
      <c r="AH2" s="2" t="inlineStr">
        <is>
          <t>Réparation d’origine si véhicule complet ; démontage si incomplet</t>
        </is>
      </c>
      <c r="AI2" s="2" t="inlineStr">
        <is>
          <t>À documenter</t>
        </is>
      </c>
      <c r="AJ2" s="2" t="inlineStr">
        <is>
          <t>Familles de moteurs distinctes ; ne pas confondre la 15 Six avec les moteurs I4. V8 22 exclu du catalogue de série.</t>
        </is>
      </c>
      <c r="AK2" s="2" t="inlineStr">
        <is>
          <t>À documenter</t>
        </is>
      </c>
      <c r="AL2" s="2" t="inlineStr">
        <is>
          <t>À rechercher / voir sources historiques</t>
        </is>
      </c>
      <c r="AM2" s="2" t="inlineStr">
        <is>
          <t>https://www.media.stellantis.com/ch-fr/citroen/press/citroen-celebre-les-90-ans-de-la-traction-avant-modele-emblematique-aux-100-brevets ; https://www.citroenorigins.fr/fr/vehicule/traction-15-six</t>
        </is>
      </c>
      <c r="AN2" s="2" t="inlineStr">
        <is>
          <t>Source de niveau variable ; contrôle par variante nécessaire</t>
        </is>
      </c>
      <c r="AO2" s="2" t="inlineStr">
        <is>
          <t>Non renseigné</t>
        </is>
      </c>
      <c r="AP2" s="2" t="inlineStr">
        <is>
          <t>Faible</t>
        </is>
      </c>
      <c r="AQ2" s="2" t="inlineStr">
        <is>
          <t>Élevé</t>
        </is>
      </c>
      <c r="AR2" s="2" t="inlineStr">
        <is>
          <t>Partiel — fiche à compléter</t>
        </is>
      </c>
      <c r="AS2" s="2" t="inlineStr">
        <is>
          <t>P2/P3</t>
        </is>
      </c>
      <c r="AT2" s="2" t="inlineStr">
        <is>
          <t>La 15 Six est attestée dès 1938 ; le V8 22 présenté en 1934 ne doit pas être compté comme moteur de série.</t>
        </is>
      </c>
      <c r="AU2" s="2" t="inlineStr">
        <is>
          <t>À intégrer après validation du prototype</t>
        </is>
      </c>
      <c r="AV2" s="2" t="inlineStr">
        <is>
          <t>Citroën Traction Avant : véhicule de catégorie « Voiture de tourisme », d'origine France. Motorisation recensée : Essence : 4 cylindres en ligne sur les 7/11. Fiche de catalogue à compléter avec le rôle tactique et les caractéristiques de jeu.</t>
        </is>
      </c>
    </row>
    <row r="3" ht="60" customHeight="1">
      <c r="A3" s="2" t="inlineStr">
        <is>
          <t>VEH-002</t>
        </is>
      </c>
      <c r="B3" s="2" t="inlineStr">
        <is>
          <t>Camions légers et moyens</t>
        </is>
      </c>
      <c r="C3" s="2" t="inlineStr">
        <is>
          <t>Citroën Type 23</t>
        </is>
      </c>
      <c r="D3" s="2" t="inlineStr">
        <is>
          <t>À distinguer si plusieurs variantes</t>
        </is>
      </c>
      <c r="E3" s="2" t="inlineStr">
        <is>
          <t>France</t>
        </is>
      </c>
      <c r="F3" s="2" t="inlineStr">
        <is>
          <t>À documenter</t>
        </is>
      </c>
      <c r="G3" s="2" t="inlineStr">
        <is>
          <t>À confirmer</t>
        </is>
      </c>
      <c r="H3" s="2" t="inlineStr">
        <is>
          <t>Camion léger/moyen</t>
        </is>
      </c>
      <c r="I3" s="2" t="inlineStr">
        <is>
          <t>À définir</t>
        </is>
      </c>
      <c r="J3" s="2" t="n"/>
      <c r="K3" s="2" t="n"/>
      <c r="L3" s="2" t="n"/>
      <c r="M3" s="2" t="n"/>
      <c r="N3" s="2" t="n"/>
      <c r="O3" s="2" t="n"/>
      <c r="P3" s="2" t="inlineStr">
        <is>
          <t>Essence : 4 cylindres en ligne dérivé de la Traction (1,911 L) ; diesel : 4 cylindres en ligne à injection indirecte (1,767 L), proposé à partir de 1936.</t>
        </is>
      </c>
      <c r="Q3" s="2" t="n"/>
      <c r="R3" s="2" t="n"/>
      <c r="S3" s="2" t="inlineStr">
        <is>
          <t>À confirmer</t>
        </is>
      </c>
      <c r="T3" s="2" t="n"/>
      <c r="U3" s="2" t="n"/>
      <c r="V3" s="2" t="n"/>
      <c r="W3" s="2" t="n"/>
      <c r="X3" s="2" t="inlineStr">
        <is>
          <t>À documenter</t>
        </is>
      </c>
      <c r="Y3" s="2" t="inlineStr">
        <is>
          <t>À documenter</t>
        </is>
      </c>
      <c r="Z3" s="2" t="inlineStr">
        <is>
          <t>À documenter</t>
        </is>
      </c>
      <c r="AA3" s="2" t="inlineStr">
        <is>
          <t>À documenter</t>
        </is>
      </c>
      <c r="AB3" s="2" t="inlineStr">
        <is>
          <t>À documenter</t>
        </is>
      </c>
      <c r="AC3" s="2" t="inlineStr">
        <is>
          <t>Aucun armement fixe standard identifié; arme individuelle/affût de campagne possible selon usage</t>
        </is>
      </c>
      <c r="AD3" s="2" t="inlineStr">
        <is>
          <t>À documenter</t>
        </is>
      </c>
      <c r="AE3" s="2" t="inlineStr">
        <is>
          <t>À documenter</t>
        </is>
      </c>
      <c r="AF3" s="2" t="inlineStr">
        <is>
          <t>À définir</t>
        </is>
      </c>
      <c r="AG3" s="2" t="inlineStr">
        <is>
          <t>À définir</t>
        </is>
      </c>
      <c r="AH3" s="2" t="inlineStr">
        <is>
          <t>Réparation d’origine si véhicule complet ; démontage si incomplet</t>
        </is>
      </c>
      <c r="AI3" s="2" t="inlineStr">
        <is>
          <t>À documenter</t>
        </is>
      </c>
      <c r="AJ3" s="2" t="inlineStr">
        <is>
          <t>Deux variantes distinctes : essence apparentée à la famille Traction 11 ; diesel séparé. Compatibilités à confirmer.</t>
        </is>
      </c>
      <c r="AK3" s="2" t="inlineStr">
        <is>
          <t>À documenter</t>
        </is>
      </c>
      <c r="AL3" s="2" t="inlineStr">
        <is>
          <t>À rechercher / voir sources historiques</t>
        </is>
      </c>
      <c r="AM3" s="2" t="inlineStr">
        <is>
          <t>https://www.citroenet.org.uk/utilities/type-23/type23.html</t>
        </is>
      </c>
      <c r="AN3" s="2" t="inlineStr">
        <is>
          <t>Source de niveau variable ; contrôle par variante nécessaire</t>
        </is>
      </c>
      <c r="AO3" s="2" t="inlineStr">
        <is>
          <t>Non renseigné</t>
        </is>
      </c>
      <c r="AP3" s="2" t="inlineStr">
        <is>
          <t>Faible</t>
        </is>
      </c>
      <c r="AQ3" s="2" t="inlineStr">
        <is>
          <t>Élevé</t>
        </is>
      </c>
      <c r="AR3" s="2" t="inlineStr">
        <is>
          <t>Partiel — fiche à compléter</t>
        </is>
      </c>
      <c r="AS3" s="2" t="inlineStr">
        <is>
          <t>P2/P3</t>
        </is>
      </c>
      <c r="AT3" s="2" t="inlineStr">
        <is>
          <t>Le Type 23 est un camion et doit être classé dans la catégorie des camions, non dans les voitures.</t>
        </is>
      </c>
      <c r="AU3" s="2" t="inlineStr">
        <is>
          <t>À intégrer après validation du prototype</t>
        </is>
      </c>
      <c r="AV3" s="2" t="inlineStr">
        <is>
          <t>Citroën Type 23 : véhicule de catégorie « Camion léger/moyen », d'origine France. Motorisation recensée : Essence : 4 cylindres en ligne dérivé de la Traction (1,911 L). Fiche de catalogue à compléter avec le rôle tactique et les caractéristiques de jeu.</t>
        </is>
      </c>
    </row>
    <row r="4" ht="60" customHeight="1">
      <c r="A4" s="2" t="inlineStr">
        <is>
          <t>VEH-003</t>
        </is>
      </c>
      <c r="B4" s="2" t="inlineStr">
        <is>
          <t>Voitures civiles et utilitaires légers</t>
        </is>
      </c>
      <c r="C4" s="2" t="inlineStr">
        <is>
          <t>Peugeot 202</t>
        </is>
      </c>
      <c r="D4" s="2" t="inlineStr">
        <is>
          <t>À distinguer si plusieurs variantes</t>
        </is>
      </c>
      <c r="E4" s="2" t="inlineStr">
        <is>
          <t>France</t>
        </is>
      </c>
      <c r="F4" s="2" t="inlineStr">
        <is>
          <t>À documenter</t>
        </is>
      </c>
      <c r="G4" s="2" t="inlineStr">
        <is>
          <t>À confirmer</t>
        </is>
      </c>
      <c r="H4" s="2" t="inlineStr">
        <is>
          <t>Voiture de tourisme</t>
        </is>
      </c>
      <c r="I4" s="2" t="inlineStr">
        <is>
          <t>À définir</t>
        </is>
      </c>
      <c r="J4" s="2" t="n"/>
      <c r="K4" s="2" t="n"/>
      <c r="L4" s="2" t="n"/>
      <c r="M4" s="2" t="n"/>
      <c r="N4" s="2" t="n"/>
      <c r="O4" s="2" t="n"/>
      <c r="P4" s="2" t="inlineStr">
        <is>
          <t>Essence : 4 cylindres en ligne, soupapes en tête, moteur type TG.</t>
        </is>
      </c>
      <c r="Q4" s="2" t="n"/>
      <c r="R4" s="2" t="n"/>
      <c r="S4" s="2" t="inlineStr">
        <is>
          <t>À confirmer</t>
        </is>
      </c>
      <c r="T4" s="2" t="n"/>
      <c r="U4" s="2" t="n"/>
      <c r="V4" s="2" t="n"/>
      <c r="W4" s="2" t="n"/>
      <c r="X4" s="2" t="inlineStr">
        <is>
          <t>À documenter</t>
        </is>
      </c>
      <c r="Y4" s="2" t="inlineStr">
        <is>
          <t>À documenter</t>
        </is>
      </c>
      <c r="Z4" s="2" t="inlineStr">
        <is>
          <t>À documenter</t>
        </is>
      </c>
      <c r="AA4" s="2" t="inlineStr">
        <is>
          <t>À documenter</t>
        </is>
      </c>
      <c r="AB4" s="2" t="inlineStr">
        <is>
          <t>À documenter</t>
        </is>
      </c>
      <c r="AC4" s="2" t="inlineStr">
        <is>
          <t>Aucun armement fixe standard identifié; arme individuelle/affût de campagne possible selon usage</t>
        </is>
      </c>
      <c r="AD4" s="2" t="inlineStr">
        <is>
          <t>À documenter</t>
        </is>
      </c>
      <c r="AE4" s="2" t="inlineStr">
        <is>
          <t>À documenter</t>
        </is>
      </c>
      <c r="AF4" s="2" t="inlineStr">
        <is>
          <t>À définir</t>
        </is>
      </c>
      <c r="AG4" s="2" t="inlineStr">
        <is>
          <t>À définir</t>
        </is>
      </c>
      <c r="AH4" s="2" t="inlineStr">
        <is>
          <t>Réparation d’origine si véhicule complet ; démontage si incomplet</t>
        </is>
      </c>
      <c r="AI4" s="2" t="inlineStr">
        <is>
          <t>À documenter</t>
        </is>
      </c>
      <c r="AJ4" s="2" t="inlineStr">
        <is>
          <t>Famille propre à ce stade ; compatibilité avec d'autres I4 à décider selon dimensions et montage.</t>
        </is>
      </c>
      <c r="AK4" s="2" t="inlineStr">
        <is>
          <t>À documenter</t>
        </is>
      </c>
      <c r="AL4" s="2" t="inlineStr">
        <is>
          <t>À rechercher / voir sources historiques</t>
        </is>
      </c>
      <c r="AM4" s="2" t="inlineStr">
        <is>
          <t>https://auctions-media.hemmings.com/225897/2020_11_06_17_45_58.pdf</t>
        </is>
      </c>
      <c r="AN4" s="2" t="inlineStr">
        <is>
          <t>Source de niveau variable ; contrôle par variante nécessaire</t>
        </is>
      </c>
      <c r="AO4" s="2" t="inlineStr">
        <is>
          <t>Non renseigné</t>
        </is>
      </c>
      <c r="AP4" s="2" t="inlineStr">
        <is>
          <t>Faible</t>
        </is>
      </c>
      <c r="AQ4" s="2" t="inlineStr">
        <is>
          <t>Élevé</t>
        </is>
      </c>
      <c r="AR4" s="2" t="inlineStr">
        <is>
          <t>Partiel — fiche à compléter</t>
        </is>
      </c>
      <c r="AS4" s="2" t="inlineStr">
        <is>
          <t>P2/P3</t>
        </is>
      </c>
      <c r="AT4" s="2" t="inlineStr">
        <is>
          <t>Source historique reproduisant des données techniques d'époque ; cylindrée omise dans le résumé de conception du jeu.</t>
        </is>
      </c>
      <c r="AU4" s="2" t="inlineStr">
        <is>
          <t>À intégrer après validation du prototype</t>
        </is>
      </c>
      <c r="AV4" s="2" t="inlineStr">
        <is>
          <t>Peugeot 202 : véhicule de catégorie « Voiture de tourisme », d'origine France. Motorisation recensée : Essence : 4 cylindres en ligne, soupapes en tête, moteur type TG.. Variante historique à vérifier avant validation définitive.</t>
        </is>
      </c>
    </row>
    <row r="5" ht="60" customHeight="1">
      <c r="A5" s="2" t="inlineStr">
        <is>
          <t>VEH-004</t>
        </is>
      </c>
      <c r="B5" s="2" t="inlineStr">
        <is>
          <t>Voitures civiles et utilitaires légers</t>
        </is>
      </c>
      <c r="C5" s="2" t="inlineStr">
        <is>
          <t>Peugeot 402</t>
        </is>
      </c>
      <c r="D5" s="2" t="inlineStr">
        <is>
          <t>À distinguer si plusieurs variantes</t>
        </is>
      </c>
      <c r="E5" s="2" t="inlineStr">
        <is>
          <t>France</t>
        </is>
      </c>
      <c r="F5" s="2" t="inlineStr">
        <is>
          <t>À documenter</t>
        </is>
      </c>
      <c r="G5" s="2" t="inlineStr">
        <is>
          <t>À confirmer</t>
        </is>
      </c>
      <c r="H5" s="2" t="inlineStr">
        <is>
          <t>Voiture de tourisme</t>
        </is>
      </c>
      <c r="I5" s="2" t="inlineStr">
        <is>
          <t>À définir</t>
        </is>
      </c>
      <c r="J5" s="2" t="n"/>
      <c r="K5" s="2" t="n"/>
      <c r="L5" s="2" t="n"/>
      <c r="M5" s="2" t="n"/>
      <c r="N5" s="2" t="n"/>
      <c r="O5" s="2" t="n"/>
      <c r="P5" s="2" t="inlineStr">
        <is>
          <t>Essence : 4 cylindres en ligne ; premières versions autour de 2,0 L, puis 402 B avec moteur 2,142 L.</t>
        </is>
      </c>
      <c r="Q5" s="2" t="n"/>
      <c r="R5" s="2" t="n"/>
      <c r="S5" s="2" t="inlineStr">
        <is>
          <t>À confirmer</t>
        </is>
      </c>
      <c r="T5" s="2" t="n"/>
      <c r="U5" s="2" t="n"/>
      <c r="V5" s="2" t="n"/>
      <c r="W5" s="2" t="n"/>
      <c r="X5" s="2" t="inlineStr">
        <is>
          <t>À documenter</t>
        </is>
      </c>
      <c r="Y5" s="2" t="inlineStr">
        <is>
          <t>À documenter</t>
        </is>
      </c>
      <c r="Z5" s="2" t="inlineStr">
        <is>
          <t>À documenter</t>
        </is>
      </c>
      <c r="AA5" s="2" t="inlineStr">
        <is>
          <t>À documenter</t>
        </is>
      </c>
      <c r="AB5" s="2" t="inlineStr">
        <is>
          <t>À documenter</t>
        </is>
      </c>
      <c r="AC5" s="2" t="inlineStr">
        <is>
          <t>Aucun armement fixe standard identifié; arme individuelle/affût de campagne possible selon usage</t>
        </is>
      </c>
      <c r="AD5" s="2" t="inlineStr">
        <is>
          <t>À documenter</t>
        </is>
      </c>
      <c r="AE5" s="2" t="inlineStr">
        <is>
          <t>À documenter</t>
        </is>
      </c>
      <c r="AF5" s="2" t="inlineStr">
        <is>
          <t>À définir</t>
        </is>
      </c>
      <c r="AG5" s="2" t="inlineStr">
        <is>
          <t>À définir</t>
        </is>
      </c>
      <c r="AH5" s="2" t="inlineStr">
        <is>
          <t>Réparation d’origine si véhicule complet ; démontage si incomplet</t>
        </is>
      </c>
      <c r="AI5" s="2" t="inlineStr">
        <is>
          <t>À documenter</t>
        </is>
      </c>
      <c r="AJ5" s="2" t="inlineStr">
        <is>
          <t>À distinguer du I4 de la Peugeot 202 ; variantes 402 et 402 B à regrouper seulement si le gameplay le justifie.</t>
        </is>
      </c>
      <c r="AK5" s="2" t="inlineStr">
        <is>
          <t>À documenter</t>
        </is>
      </c>
      <c r="AL5" s="2" t="inlineStr">
        <is>
          <t>À rechercher / voir sources historiques</t>
        </is>
      </c>
      <c r="AM5" s="2" t="inlineStr">
        <is>
          <t>https://www.guide-automobiles-anciennes.com/VOITURE/peugeot-402-b-coupe-4573.htm</t>
        </is>
      </c>
      <c r="AN5" s="2" t="inlineStr">
        <is>
          <t>Source de niveau variable ; contrôle par variante nécessaire</t>
        </is>
      </c>
      <c r="AO5" s="2" t="inlineStr">
        <is>
          <t>Non renseigné</t>
        </is>
      </c>
      <c r="AP5" s="2" t="inlineStr">
        <is>
          <t>Faible</t>
        </is>
      </c>
      <c r="AQ5" s="2" t="inlineStr">
        <is>
          <t>Élevé</t>
        </is>
      </c>
      <c r="AR5" s="2" t="inlineStr">
        <is>
          <t>Partiel — fiche à compléter</t>
        </is>
      </c>
      <c r="AS5" s="2" t="inlineStr">
        <is>
          <t>P2/P3</t>
        </is>
      </c>
      <c r="AT5" s="2" t="inlineStr">
        <is>
          <t>Les versions 402 ont évolué ; la fiche doit enregistrer les variantes de moteur plutôt qu'un unique moteur générique.</t>
        </is>
      </c>
      <c r="AU5" s="2" t="inlineStr">
        <is>
          <t>À intégrer après validation du prototype</t>
        </is>
      </c>
      <c r="AV5" s="2" t="inlineStr">
        <is>
          <t>Peugeot 402 : véhicule de catégorie « Voiture de tourisme », d'origine France. Motorisation recensée : Essence : 4 cylindres en ligne. Fiche de catalogue à compléter avec le rôle tactique et les caractéristiques de jeu.</t>
        </is>
      </c>
    </row>
    <row r="6" ht="60" customHeight="1">
      <c r="A6" s="2" t="inlineStr">
        <is>
          <t>VEH-005</t>
        </is>
      </c>
      <c r="B6" s="2" t="inlineStr">
        <is>
          <t>Voitures civiles et utilitaires légers</t>
        </is>
      </c>
      <c r="C6" s="2" t="inlineStr">
        <is>
          <t>Renault Juvaquatre</t>
        </is>
      </c>
      <c r="D6" s="2" t="inlineStr">
        <is>
          <t>À distinguer si plusieurs variantes</t>
        </is>
      </c>
      <c r="E6" s="2" t="inlineStr">
        <is>
          <t>France</t>
        </is>
      </c>
      <c r="F6" s="2" t="inlineStr">
        <is>
          <t>À documenter</t>
        </is>
      </c>
      <c r="G6" s="2" t="inlineStr">
        <is>
          <t>À confirmer</t>
        </is>
      </c>
      <c r="H6" s="2" t="inlineStr">
        <is>
          <t>Voiture/utilitaire léger</t>
        </is>
      </c>
      <c r="I6" s="2" t="inlineStr">
        <is>
          <t>À définir</t>
        </is>
      </c>
      <c r="J6" s="2" t="n"/>
      <c r="K6" s="2" t="n"/>
      <c r="L6" s="2" t="n"/>
      <c r="M6" s="2" t="n"/>
      <c r="N6" s="2" t="n"/>
      <c r="O6" s="2" t="n"/>
      <c r="P6" s="2" t="inlineStr">
        <is>
          <t>Essence : 4 cylindres en ligne à soupapes latérales, type Renault 488, environ 1,0 L pour les modèles d'avant-guerre.</t>
        </is>
      </c>
      <c r="Q6" s="2" t="n"/>
      <c r="R6" s="2" t="n"/>
      <c r="S6" s="2" t="inlineStr">
        <is>
          <t>À confirmer</t>
        </is>
      </c>
      <c r="T6" s="2" t="n"/>
      <c r="U6" s="2" t="n"/>
      <c r="V6" s="2" t="n"/>
      <c r="W6" s="2" t="n"/>
      <c r="X6" s="2" t="inlineStr">
        <is>
          <t>À documenter</t>
        </is>
      </c>
      <c r="Y6" s="2" t="inlineStr">
        <is>
          <t>À documenter</t>
        </is>
      </c>
      <c r="Z6" s="2" t="inlineStr">
        <is>
          <t>À documenter</t>
        </is>
      </c>
      <c r="AA6" s="2" t="inlineStr">
        <is>
          <t>À documenter</t>
        </is>
      </c>
      <c r="AB6" s="2" t="inlineStr">
        <is>
          <t>À documenter</t>
        </is>
      </c>
      <c r="AC6" s="2" t="inlineStr">
        <is>
          <t>Aucun armement fixe standard identifié; arme individuelle/affût de campagne possible selon usage</t>
        </is>
      </c>
      <c r="AD6" s="2" t="inlineStr">
        <is>
          <t>À documenter</t>
        </is>
      </c>
      <c r="AE6" s="2" t="inlineStr">
        <is>
          <t>À documenter</t>
        </is>
      </c>
      <c r="AF6" s="2" t="inlineStr">
        <is>
          <t>À définir</t>
        </is>
      </c>
      <c r="AG6" s="2" t="inlineStr">
        <is>
          <t>À définir</t>
        </is>
      </c>
      <c r="AH6" s="2" t="inlineStr">
        <is>
          <t>Réparation d’origine si véhicule complet ; démontage si incomplet</t>
        </is>
      </c>
      <c r="AI6" s="2" t="inlineStr">
        <is>
          <t>À documenter</t>
        </is>
      </c>
      <c r="AJ6" s="2" t="inlineStr">
        <is>
          <t>Famille moteur Renault compacte ; compatibilité avec d'autres Renault à vérifier au niveau des fixations et transmission.</t>
        </is>
      </c>
      <c r="AK6" s="2" t="inlineStr">
        <is>
          <t>À documenter</t>
        </is>
      </c>
      <c r="AL6" s="2" t="inlineStr">
        <is>
          <t>À rechercher / voir sources historiques</t>
        </is>
      </c>
      <c r="AM6" s="2" t="inlineStr">
        <is>
          <t>https://theoriginals.renault.com/en/juvaquatre ; https://www.jrhp.fr/site.juvaquatre/ficheraeb2.htm</t>
        </is>
      </c>
      <c r="AN6" s="2" t="inlineStr">
        <is>
          <t>Source de niveau variable ; contrôle par variante nécessaire</t>
        </is>
      </c>
      <c r="AO6" s="2" t="inlineStr">
        <is>
          <t>Non renseigné</t>
        </is>
      </c>
      <c r="AP6" s="2" t="inlineStr">
        <is>
          <t>Faible</t>
        </is>
      </c>
      <c r="AQ6" s="2" t="inlineStr">
        <is>
          <t>Élevé</t>
        </is>
      </c>
      <c r="AR6" s="2" t="inlineStr">
        <is>
          <t>Partiel — fiche à compléter</t>
        </is>
      </c>
      <c r="AS6" s="2" t="inlineStr">
        <is>
          <t>P2/P3</t>
        </is>
      </c>
      <c r="AT6" s="2" t="inlineStr">
        <is>
          <t>La Juvaquatre a connu des motorisations ultérieures après-guerre ; ne conserver ici que les variantes conçues/utilisées avant 1946.</t>
        </is>
      </c>
      <c r="AU6" s="2" t="inlineStr">
        <is>
          <t>À intégrer après validation du prototype</t>
        </is>
      </c>
      <c r="AV6" s="2" t="inlineStr">
        <is>
          <t>Renault Juvaquatre : véhicule de catégorie « Voiture/utilitaire léger », d'origine France. Motorisation recensée : Essence : 4 cylindres en ligne à soupapes latérales, type Renault 488, environ 1,0 L pour les modèles…. Fiche de catalogue à compléter avec le rôle tactique et les caractéristiques de jeu.</t>
        </is>
      </c>
    </row>
    <row r="7" ht="60" customHeight="1">
      <c r="A7" s="2" t="inlineStr">
        <is>
          <t>VEH-006</t>
        </is>
      </c>
      <c r="B7" s="2" t="inlineStr">
        <is>
          <t>Voitures civiles et utilitaires légers</t>
        </is>
      </c>
      <c r="C7" s="2" t="inlineStr">
        <is>
          <t>Renault Primaquatre</t>
        </is>
      </c>
      <c r="D7" s="2" t="inlineStr">
        <is>
          <t>À distinguer si plusieurs variantes</t>
        </is>
      </c>
      <c r="E7" s="2" t="inlineStr">
        <is>
          <t>France</t>
        </is>
      </c>
      <c r="F7" s="2" t="inlineStr">
        <is>
          <t>À documenter</t>
        </is>
      </c>
      <c r="G7" s="2" t="inlineStr">
        <is>
          <t>À confirmer</t>
        </is>
      </c>
      <c r="H7" s="2" t="inlineStr">
        <is>
          <t>Voiture de tourisme</t>
        </is>
      </c>
      <c r="I7" s="2" t="inlineStr">
        <is>
          <t>À définir</t>
        </is>
      </c>
      <c r="J7" s="2" t="n"/>
      <c r="K7" s="2" t="n"/>
      <c r="L7" s="2" t="n"/>
      <c r="M7" s="2" t="n"/>
      <c r="N7" s="2" t="n"/>
      <c r="O7" s="2" t="n"/>
      <c r="P7" s="2" t="inlineStr">
        <is>
          <t>Essence : 4 cylindres en ligne à soupapes latérales ; familles d'environ 2,1 L sur les premières séries puis 2,4 L sur les séries ultérieures d'avant-guerre.</t>
        </is>
      </c>
      <c r="Q7" s="2" t="n"/>
      <c r="R7" s="2" t="n"/>
      <c r="S7" s="2" t="inlineStr">
        <is>
          <t>À confirmer</t>
        </is>
      </c>
      <c r="T7" s="2" t="n"/>
      <c r="U7" s="2" t="n"/>
      <c r="V7" s="2" t="n"/>
      <c r="W7" s="2" t="n"/>
      <c r="X7" s="2" t="inlineStr">
        <is>
          <t>À documenter</t>
        </is>
      </c>
      <c r="Y7" s="2" t="inlineStr">
        <is>
          <t>À documenter</t>
        </is>
      </c>
      <c r="Z7" s="2" t="inlineStr">
        <is>
          <t>À documenter</t>
        </is>
      </c>
      <c r="AA7" s="2" t="inlineStr">
        <is>
          <t>À documenter</t>
        </is>
      </c>
      <c r="AB7" s="2" t="inlineStr">
        <is>
          <t>À documenter</t>
        </is>
      </c>
      <c r="AC7" s="2" t="inlineStr">
        <is>
          <t>Aucun armement fixe standard identifié; arme individuelle/affût de campagne possible selon usage</t>
        </is>
      </c>
      <c r="AD7" s="2" t="inlineStr">
        <is>
          <t>À documenter</t>
        </is>
      </c>
      <c r="AE7" s="2" t="inlineStr">
        <is>
          <t>À documenter</t>
        </is>
      </c>
      <c r="AF7" s="2" t="inlineStr">
        <is>
          <t>À définir</t>
        </is>
      </c>
      <c r="AG7" s="2" t="inlineStr">
        <is>
          <t>À définir</t>
        </is>
      </c>
      <c r="AH7" s="2" t="inlineStr">
        <is>
          <t>Réparation d’origine si véhicule complet ; démontage si incomplet</t>
        </is>
      </c>
      <c r="AI7" s="2" t="inlineStr">
        <is>
          <t>À documenter</t>
        </is>
      </c>
      <c r="AJ7" s="2" t="inlineStr">
        <is>
          <t>Famille distincte de la Juvaquatre ; vérifier les sous-types et les interfaces avant de mutualiser.</t>
        </is>
      </c>
      <c r="AK7" s="2" t="inlineStr">
        <is>
          <t>À documenter</t>
        </is>
      </c>
      <c r="AL7" s="2" t="inlineStr">
        <is>
          <t>À rechercher / voir sources historiques</t>
        </is>
      </c>
      <c r="AM7" s="2" t="inlineStr">
        <is>
          <t>https://fr.wikipedia.org/wiki/Renault_Primaquatre ; https://docs.les-renault-d-avant-guerre.com/Carnet_des_Voyageurs_1934_Tome1.pdf</t>
        </is>
      </c>
      <c r="AN7" s="2" t="inlineStr">
        <is>
          <t>Source de niveau variable ; contrôle par variante nécessaire</t>
        </is>
      </c>
      <c r="AO7" s="2" t="inlineStr">
        <is>
          <t>Non renseigné</t>
        </is>
      </c>
      <c r="AP7" s="2" t="inlineStr">
        <is>
          <t>Faible</t>
        </is>
      </c>
      <c r="AQ7" s="2" t="inlineStr">
        <is>
          <t>Élevé</t>
        </is>
      </c>
      <c r="AR7" s="2" t="inlineStr">
        <is>
          <t>Partiel — fiche à compléter</t>
        </is>
      </c>
      <c r="AS7" s="2" t="inlineStr">
        <is>
          <t>P2/P3</t>
        </is>
      </c>
      <c r="AT7" s="2" t="inlineStr">
        <is>
          <t>Ne pas traiter les différents moteurs Primaquatre comme strictement identiques sans vérifier les références de type.</t>
        </is>
      </c>
      <c r="AU7" s="2" t="inlineStr">
        <is>
          <t>À intégrer après validation du prototype</t>
        </is>
      </c>
      <c r="AV7" s="2" t="inlineStr">
        <is>
          <t>Renault Primaquatre : véhicule de catégorie « Voiture de tourisme », d'origine France. Motorisation recensée : Essence : 4 cylindres en ligne à soupapes latérales. Fiche de catalogue à compléter avec le rôle tactique et les caractéristiques de jeu.</t>
        </is>
      </c>
    </row>
    <row r="8" ht="60" customHeight="1">
      <c r="A8" s="2" t="inlineStr">
        <is>
          <t>VEH-007</t>
        </is>
      </c>
      <c r="B8" s="2" t="inlineStr">
        <is>
          <t>Voitures civiles et utilitaires légers</t>
        </is>
      </c>
      <c r="C8" s="2" t="inlineStr">
        <is>
          <t>Ford Model T</t>
        </is>
      </c>
      <c r="D8" s="2" t="inlineStr">
        <is>
          <t>À distinguer si plusieurs variantes</t>
        </is>
      </c>
      <c r="E8" s="2" t="inlineStr">
        <is>
          <t>États-Unis</t>
        </is>
      </c>
      <c r="F8" s="2" t="inlineStr">
        <is>
          <t>À documenter</t>
        </is>
      </c>
      <c r="G8" s="2" t="inlineStr">
        <is>
          <t>À confirmer</t>
        </is>
      </c>
      <c r="H8" s="2" t="inlineStr">
        <is>
          <t>Voiture ancienne</t>
        </is>
      </c>
      <c r="I8" s="2" t="inlineStr">
        <is>
          <t>À définir</t>
        </is>
      </c>
      <c r="J8" s="2" t="n"/>
      <c r="K8" s="2" t="n"/>
      <c r="L8" s="2" t="n"/>
      <c r="M8" s="2" t="n"/>
      <c r="N8" s="2" t="n"/>
      <c r="O8" s="2" t="n"/>
      <c r="P8" s="2" t="inlineStr">
        <is>
          <t>Essence : 4 cylindres en ligne, soupapes latérales (L-head).</t>
        </is>
      </c>
      <c r="Q8" s="2" t="n"/>
      <c r="R8" s="2" t="n"/>
      <c r="S8" s="2" t="inlineStr">
        <is>
          <t>À confirmer</t>
        </is>
      </c>
      <c r="T8" s="2" t="n"/>
      <c r="U8" s="2" t="n"/>
      <c r="V8" s="2" t="n"/>
      <c r="W8" s="2" t="n"/>
      <c r="X8" s="2" t="inlineStr">
        <is>
          <t>À documenter</t>
        </is>
      </c>
      <c r="Y8" s="2" t="inlineStr">
        <is>
          <t>À documenter</t>
        </is>
      </c>
      <c r="Z8" s="2" t="inlineStr">
        <is>
          <t>À documenter</t>
        </is>
      </c>
      <c r="AA8" s="2" t="inlineStr">
        <is>
          <t>À documenter</t>
        </is>
      </c>
      <c r="AB8" s="2" t="inlineStr">
        <is>
          <t>À documenter</t>
        </is>
      </c>
      <c r="AC8" s="2" t="inlineStr">
        <is>
          <t>Aucun armement fixe standard identifié; arme individuelle/affût de campagne possible selon usage</t>
        </is>
      </c>
      <c r="AD8" s="2" t="inlineStr">
        <is>
          <t>À documenter</t>
        </is>
      </c>
      <c r="AE8" s="2" t="inlineStr">
        <is>
          <t>À documenter</t>
        </is>
      </c>
      <c r="AF8" s="2" t="inlineStr">
        <is>
          <t>À définir</t>
        </is>
      </c>
      <c r="AG8" s="2" t="inlineStr">
        <is>
          <t>À définir</t>
        </is>
      </c>
      <c r="AH8" s="2" t="inlineStr">
        <is>
          <t>Réparation d’origine si véhicule complet ; démontage si incomplet</t>
        </is>
      </c>
      <c r="AI8" s="2" t="inlineStr">
        <is>
          <t>À documenter</t>
        </is>
      </c>
      <c r="AJ8" s="2" t="inlineStr">
        <is>
          <t>Moteur ancien à faible puissance ; famille distincte des Ford plus récents.</t>
        </is>
      </c>
      <c r="AK8" s="2" t="inlineStr">
        <is>
          <t>À documenter</t>
        </is>
      </c>
      <c r="AL8" s="2" t="inlineStr">
        <is>
          <t>À rechercher / voir sources historiques</t>
        </is>
      </c>
      <c r="AM8" s="2" t="inlineStr">
        <is>
          <t>https://www.asme.org/about-asme/engineering-history/landmarks/233-model-t ; https://corporate.ford.com/articles/history/the-model-t.html</t>
        </is>
      </c>
      <c r="AN8" s="2" t="inlineStr">
        <is>
          <t>Source de niveau variable ; contrôle par variante nécessaire</t>
        </is>
      </c>
      <c r="AO8" s="2" t="inlineStr">
        <is>
          <t>Non renseigné</t>
        </is>
      </c>
      <c r="AP8" s="2" t="inlineStr">
        <is>
          <t>Faible</t>
        </is>
      </c>
      <c r="AQ8" s="2" t="inlineStr">
        <is>
          <t>Élevé</t>
        </is>
      </c>
      <c r="AR8" s="2" t="inlineStr">
        <is>
          <t>Partiel — fiche à compléter</t>
        </is>
      </c>
      <c r="AS8" s="2" t="inlineStr">
        <is>
          <t>P2/P3</t>
        </is>
      </c>
      <c r="AT8" s="2" t="inlineStr">
        <is>
          <t>Architecture en ligne à quatre cylindres confirmée par une source patrimoniale d'ingénierie.</t>
        </is>
      </c>
      <c r="AU8" s="2" t="inlineStr">
        <is>
          <t>À intégrer après validation du prototype</t>
        </is>
      </c>
      <c r="AV8" s="2" t="inlineStr">
        <is>
          <t>Ford Model T : véhicule de catégorie « Voiture ancienne », d'origine États-Unis. Motorisation recensée : Essence : 4 cylindres en ligne, soupapes latérales (L-head).. Fiche de catalogue à compléter avec le rôle tactique et les caractéristiques de jeu.</t>
        </is>
      </c>
    </row>
    <row r="9" ht="60" customHeight="1">
      <c r="A9" s="2" t="inlineStr">
        <is>
          <t>VEH-008</t>
        </is>
      </c>
      <c r="B9" s="2" t="inlineStr">
        <is>
          <t>Voitures civiles et utilitaires légers</t>
        </is>
      </c>
      <c r="C9" s="2" t="inlineStr">
        <is>
          <t>Ford Model A</t>
        </is>
      </c>
      <c r="D9" s="2" t="inlineStr">
        <is>
          <t>À distinguer si plusieurs variantes</t>
        </is>
      </c>
      <c r="E9" s="2" t="inlineStr">
        <is>
          <t>États-Unis</t>
        </is>
      </c>
      <c r="F9" s="2" t="inlineStr">
        <is>
          <t>À documenter</t>
        </is>
      </c>
      <c r="G9" s="2" t="inlineStr">
        <is>
          <t>À confirmer</t>
        </is>
      </c>
      <c r="H9" s="2" t="inlineStr">
        <is>
          <t>Voiture ancienne</t>
        </is>
      </c>
      <c r="I9" s="2" t="inlineStr">
        <is>
          <t>À définir</t>
        </is>
      </c>
      <c r="J9" s="2" t="n"/>
      <c r="K9" s="2" t="n"/>
      <c r="L9" s="2" t="n"/>
      <c r="M9" s="2" t="n"/>
      <c r="N9" s="2" t="n"/>
      <c r="O9" s="2" t="n"/>
      <c r="P9" s="2" t="inlineStr">
        <is>
          <t>Essence : 4 cylindres en ligne, soupapes latérales.</t>
        </is>
      </c>
      <c r="Q9" s="2" t="n"/>
      <c r="R9" s="2" t="n"/>
      <c r="S9" s="2" t="inlineStr">
        <is>
          <t>À confirmer</t>
        </is>
      </c>
      <c r="T9" s="2" t="n"/>
      <c r="U9" s="2" t="n"/>
      <c r="V9" s="2" t="n"/>
      <c r="W9" s="2" t="n"/>
      <c r="X9" s="2" t="inlineStr">
        <is>
          <t>À documenter</t>
        </is>
      </c>
      <c r="Y9" s="2" t="inlineStr">
        <is>
          <t>À documenter</t>
        </is>
      </c>
      <c r="Z9" s="2" t="inlineStr">
        <is>
          <t>À documenter</t>
        </is>
      </c>
      <c r="AA9" s="2" t="inlineStr">
        <is>
          <t>À documenter</t>
        </is>
      </c>
      <c r="AB9" s="2" t="inlineStr">
        <is>
          <t>À documenter</t>
        </is>
      </c>
      <c r="AC9" s="2" t="inlineStr">
        <is>
          <t>Aucun armement fixe standard identifié; arme individuelle/affût de campagne possible selon usage</t>
        </is>
      </c>
      <c r="AD9" s="2" t="inlineStr">
        <is>
          <t>À documenter</t>
        </is>
      </c>
      <c r="AE9" s="2" t="inlineStr">
        <is>
          <t>À documenter</t>
        </is>
      </c>
      <c r="AF9" s="2" t="inlineStr">
        <is>
          <t>À définir</t>
        </is>
      </c>
      <c r="AG9" s="2" t="inlineStr">
        <is>
          <t>À définir</t>
        </is>
      </c>
      <c r="AH9" s="2" t="inlineStr">
        <is>
          <t>Réparation d’origine si véhicule complet ; démontage si incomplet</t>
        </is>
      </c>
      <c r="AI9" s="2" t="inlineStr">
        <is>
          <t>À documenter</t>
        </is>
      </c>
      <c r="AJ9" s="2" t="inlineStr">
        <is>
          <t>Ne pas fusionner avec le moteur du Model T uniquement parce que les deux sont des I4 ; famille mécanique distincte.</t>
        </is>
      </c>
      <c r="AK9" s="2" t="inlineStr">
        <is>
          <t>À documenter</t>
        </is>
      </c>
      <c r="AL9" s="2" t="inlineStr">
        <is>
          <t>À rechercher / voir sources historiques</t>
        </is>
      </c>
      <c r="AM9" s="2" t="inlineStr">
        <is>
          <t>À rechercher</t>
        </is>
      </c>
      <c r="AN9" s="2" t="inlineStr">
        <is>
          <t>Source de niveau variable ; contrôle par variante nécessaire</t>
        </is>
      </c>
      <c r="AO9" s="2" t="inlineStr">
        <is>
          <t>Non renseigné</t>
        </is>
      </c>
      <c r="AP9" s="2" t="inlineStr">
        <is>
          <t>Faible</t>
        </is>
      </c>
      <c r="AQ9" s="2" t="inlineStr">
        <is>
          <t>Élevé</t>
        </is>
      </c>
      <c r="AR9" s="2" t="inlineStr">
        <is>
          <t>Partiel — fiche à compléter</t>
        </is>
      </c>
      <c r="AS9" s="2" t="inlineStr">
        <is>
          <t>P2/P3</t>
        </is>
      </c>
      <c r="AT9" s="2" t="inlineStr">
        <is>
          <t>La configuration est connue historiquement, mais une source technique dédiée au Model A doit être ajoutée avant verrouillage.</t>
        </is>
      </c>
      <c r="AU9" s="2" t="inlineStr">
        <is>
          <t>À intégrer après validation du prototype</t>
        </is>
      </c>
      <c r="AV9" s="2" t="inlineStr">
        <is>
          <t>Ford Model A : véhicule de catégorie « Voiture ancienne », d'origine États-Unis. Motorisation recensée : Essence : 4 cylindres en ligne, soupapes latérales.. Variante historique à vérifier avant validation définitive.</t>
        </is>
      </c>
    </row>
    <row r="10" ht="60" customHeight="1">
      <c r="A10" s="2" t="inlineStr">
        <is>
          <t>VEH-009</t>
        </is>
      </c>
      <c r="B10" s="2" t="inlineStr">
        <is>
          <t>Voitures civiles et utilitaires légers</t>
        </is>
      </c>
      <c r="C10" s="2" t="inlineStr">
        <is>
          <t>Ford V8 (années 1930)</t>
        </is>
      </c>
      <c r="D10" s="2" t="inlineStr">
        <is>
          <t>À distinguer si plusieurs variantes</t>
        </is>
      </c>
      <c r="E10" s="2" t="inlineStr">
        <is>
          <t>États-Unis</t>
        </is>
      </c>
      <c r="F10" s="2" t="inlineStr">
        <is>
          <t>À documenter</t>
        </is>
      </c>
      <c r="G10" s="2" t="inlineStr">
        <is>
          <t>À confirmer</t>
        </is>
      </c>
      <c r="H10" s="2" t="inlineStr">
        <is>
          <t>Voiture de tourisme</t>
        </is>
      </c>
      <c r="I10" s="2" t="inlineStr">
        <is>
          <t>À définir</t>
        </is>
      </c>
      <c r="J10" s="2" t="n"/>
      <c r="K10" s="2" t="n"/>
      <c r="L10" s="2" t="n"/>
      <c r="M10" s="2" t="n"/>
      <c r="N10" s="2" t="n"/>
      <c r="O10" s="2" t="n"/>
      <c r="P10" s="2" t="inlineStr">
        <is>
          <t>Essence : V8 à soupapes latérales, dit Flathead.</t>
        </is>
      </c>
      <c r="Q10" s="2" t="n"/>
      <c r="R10" s="2" t="n"/>
      <c r="S10" s="2" t="inlineStr">
        <is>
          <t>À confirmer</t>
        </is>
      </c>
      <c r="T10" s="2" t="n"/>
      <c r="U10" s="2" t="n"/>
      <c r="V10" s="2" t="n"/>
      <c r="W10" s="2" t="n"/>
      <c r="X10" s="2" t="inlineStr">
        <is>
          <t>À documenter</t>
        </is>
      </c>
      <c r="Y10" s="2" t="inlineStr">
        <is>
          <t>À documenter</t>
        </is>
      </c>
      <c r="Z10" s="2" t="inlineStr">
        <is>
          <t>À documenter</t>
        </is>
      </c>
      <c r="AA10" s="2" t="inlineStr">
        <is>
          <t>À documenter</t>
        </is>
      </c>
      <c r="AB10" s="2" t="inlineStr">
        <is>
          <t>À documenter</t>
        </is>
      </c>
      <c r="AC10" s="2" t="inlineStr">
        <is>
          <t>Aucun armement fixe standard identifié; arme individuelle/affût de campagne possible selon usage</t>
        </is>
      </c>
      <c r="AD10" s="2" t="inlineStr">
        <is>
          <t>À documenter</t>
        </is>
      </c>
      <c r="AE10" s="2" t="inlineStr">
        <is>
          <t>À documenter</t>
        </is>
      </c>
      <c r="AF10" s="2" t="inlineStr">
        <is>
          <t>À définir</t>
        </is>
      </c>
      <c r="AG10" s="2" t="inlineStr">
        <is>
          <t>À définir</t>
        </is>
      </c>
      <c r="AH10" s="2" t="inlineStr">
        <is>
          <t>Réparation d’origine si véhicule complet ; démontage si incomplet</t>
        </is>
      </c>
      <c r="AI10" s="2" t="inlineStr">
        <is>
          <t>À documenter</t>
        </is>
      </c>
      <c r="AJ10" s="2" t="inlineStr">
        <is>
          <t>Grande famille intéressante pour le gameplay, mais distinguer les versions selon supports, accessoires, boîte et puissance.</t>
        </is>
      </c>
      <c r="AK10" s="2" t="inlineStr">
        <is>
          <t>À documenter</t>
        </is>
      </c>
      <c r="AL10" s="2" t="inlineStr">
        <is>
          <t>À rechercher / voir sources historiques</t>
        </is>
      </c>
      <c r="AM10" s="2" t="inlineStr">
        <is>
          <t>https://performance.ford.com/articles/enthusiasts/newsroom/2025/04/ford-v8-museum ; https://www.diyford.com/ford-flathead-v8-engine-history/</t>
        </is>
      </c>
      <c r="AN10" s="2" t="inlineStr">
        <is>
          <t>Source de niveau variable ; contrôle par variante nécessaire</t>
        </is>
      </c>
      <c r="AO10" s="2" t="inlineStr">
        <is>
          <t>Non renseigné</t>
        </is>
      </c>
      <c r="AP10" s="2" t="inlineStr">
        <is>
          <t>Faible</t>
        </is>
      </c>
      <c r="AQ10" s="2" t="inlineStr">
        <is>
          <t>Élevé</t>
        </is>
      </c>
      <c r="AR10" s="2" t="inlineStr">
        <is>
          <t>Partiel — fiche à compléter</t>
        </is>
      </c>
      <c r="AS10" s="2" t="inlineStr">
        <is>
          <t>P2/P3</t>
        </is>
      </c>
      <c r="AT10" s="2" t="inlineStr">
        <is>
          <t>Le terme Flathead désigne l'architecture à soupapes latérales ; les variantes ne sont pas toutes identiques.</t>
        </is>
      </c>
      <c r="AU10" s="2" t="inlineStr">
        <is>
          <t>À intégrer après validation du prototype</t>
        </is>
      </c>
      <c r="AV10" s="2" t="inlineStr">
        <is>
          <t>Ford V8 (années 1930) : véhicule de catégorie « Voiture de tourisme », d'origine États-Unis. Motorisation recensée : Essence : V8 à soupapes latérales, dit Flathead.. Fiche de catalogue à compléter avec le rôle tactique et les caractéristiques de jeu.</t>
        </is>
      </c>
    </row>
    <row r="11" ht="60" customHeight="1">
      <c r="A11" s="2" t="inlineStr">
        <is>
          <t>VEH-010</t>
        </is>
      </c>
      <c r="B11" s="2" t="inlineStr">
        <is>
          <t>Voitures civiles et utilitaires légers</t>
        </is>
      </c>
      <c r="C11" s="2" t="inlineStr">
        <is>
          <t>Chevrolet Master / Special Deluxe</t>
        </is>
      </c>
      <c r="D11" s="2" t="inlineStr">
        <is>
          <t>À distinguer si plusieurs variantes</t>
        </is>
      </c>
      <c r="E11" s="2" t="inlineStr">
        <is>
          <t>États-Unis</t>
        </is>
      </c>
      <c r="F11" s="2" t="inlineStr">
        <is>
          <t>À documenter</t>
        </is>
      </c>
      <c r="G11" s="2" t="inlineStr">
        <is>
          <t>À confirmer</t>
        </is>
      </c>
      <c r="H11" s="2" t="inlineStr">
        <is>
          <t>Voiture de tourisme</t>
        </is>
      </c>
      <c r="I11" s="2" t="inlineStr">
        <is>
          <t>À définir</t>
        </is>
      </c>
      <c r="J11" s="2" t="n"/>
      <c r="K11" s="2" t="n"/>
      <c r="L11" s="2" t="n"/>
      <c r="M11" s="2" t="n"/>
      <c r="N11" s="2" t="n"/>
      <c r="O11" s="2" t="n"/>
      <c r="P11" s="2" t="inlineStr">
        <is>
          <t>Essence : 6 cylindres en ligne, famille Chevrolet Stovebolt ; les versions exactes dépendent de l'année et du sous-modèle.</t>
        </is>
      </c>
      <c r="Q11" s="2" t="n"/>
      <c r="R11" s="2" t="n"/>
      <c r="S11" s="2" t="inlineStr">
        <is>
          <t>À confirmer</t>
        </is>
      </c>
      <c r="T11" s="2" t="n"/>
      <c r="U11" s="2" t="n"/>
      <c r="V11" s="2" t="n"/>
      <c r="W11" s="2" t="n"/>
      <c r="X11" s="2" t="inlineStr">
        <is>
          <t>À documenter</t>
        </is>
      </c>
      <c r="Y11" s="2" t="inlineStr">
        <is>
          <t>À documenter</t>
        </is>
      </c>
      <c r="Z11" s="2" t="inlineStr">
        <is>
          <t>À documenter</t>
        </is>
      </c>
      <c r="AA11" s="2" t="inlineStr">
        <is>
          <t>À documenter</t>
        </is>
      </c>
      <c r="AB11" s="2" t="inlineStr">
        <is>
          <t>À documenter</t>
        </is>
      </c>
      <c r="AC11" s="2" t="inlineStr">
        <is>
          <t>Aucun armement fixe standard identifié; arme individuelle/affût de campagne possible selon usage</t>
        </is>
      </c>
      <c r="AD11" s="2" t="inlineStr">
        <is>
          <t>À documenter</t>
        </is>
      </c>
      <c r="AE11" s="2" t="inlineStr">
        <is>
          <t>À documenter</t>
        </is>
      </c>
      <c r="AF11" s="2" t="inlineStr">
        <is>
          <t>À définir</t>
        </is>
      </c>
      <c r="AG11" s="2" t="inlineStr">
        <is>
          <t>À définir</t>
        </is>
      </c>
      <c r="AH11" s="2" t="inlineStr">
        <is>
          <t>Réparation d’origine si véhicule complet ; démontage si incomplet</t>
        </is>
      </c>
      <c r="AI11" s="2" t="inlineStr">
        <is>
          <t>À documenter</t>
        </is>
      </c>
      <c r="AJ11" s="2" t="inlineStr">
        <is>
          <t>Famille moteur potentiellement partagée avec certains utilitaires GM de période, sous réserve de vérification du bloc et des interfaces.</t>
        </is>
      </c>
      <c r="AK11" s="2" t="inlineStr">
        <is>
          <t>À documenter</t>
        </is>
      </c>
      <c r="AL11" s="2" t="inlineStr">
        <is>
          <t>À rechercher / voir sources historiques</t>
        </is>
      </c>
      <c r="AM11" s="2" t="inlineStr">
        <is>
          <t>À rechercher</t>
        </is>
      </c>
      <c r="AN11" s="2" t="inlineStr">
        <is>
          <t>Source de niveau variable ; contrôle par variante nécessaire</t>
        </is>
      </c>
      <c r="AO11" s="2" t="inlineStr">
        <is>
          <t>Non renseigné</t>
        </is>
      </c>
      <c r="AP11" s="2" t="inlineStr">
        <is>
          <t>Faible</t>
        </is>
      </c>
      <c r="AQ11" s="2" t="inlineStr">
        <is>
          <t>Élevé</t>
        </is>
      </c>
      <c r="AR11" s="2" t="inlineStr">
        <is>
          <t>Partiel — fiche à compléter</t>
        </is>
      </c>
      <c r="AS11" s="2" t="inlineStr">
        <is>
          <t>P2/P3</t>
        </is>
      </c>
      <c r="AT11" s="2" t="inlineStr">
        <is>
          <t>Le nom couvre plusieurs années et variantes ; choisir un millésime de référence pour le modèle jouable.</t>
        </is>
      </c>
      <c r="AU11" s="2" t="inlineStr">
        <is>
          <t>À intégrer après validation du prototype</t>
        </is>
      </c>
      <c r="AV11" s="2" t="inlineStr">
        <is>
          <t>Chevrolet Master / Special Deluxe : véhicule de catégorie « Voiture de tourisme », d'origine États-Unis. Motorisation recensée : Essence : 6 cylindres en ligne, famille Chevrolet Stovebolt. Variante historique à vérifier avant validation définitive.</t>
        </is>
      </c>
    </row>
    <row r="12" ht="60" customHeight="1">
      <c r="A12" s="2" t="inlineStr">
        <is>
          <t>VEH-011</t>
        </is>
      </c>
      <c r="B12" s="2" t="inlineStr">
        <is>
          <t>Voitures civiles et utilitaires légers</t>
        </is>
      </c>
      <c r="C12" s="2" t="inlineStr">
        <is>
          <t>Dodge WC-1 / WC-12</t>
        </is>
      </c>
      <c r="D12" s="2" t="inlineStr">
        <is>
          <t>À distinguer si plusieurs variantes</t>
        </is>
      </c>
      <c r="E12" s="2" t="inlineStr">
        <is>
          <t>États-Unis</t>
        </is>
      </c>
      <c r="F12" s="2" t="inlineStr">
        <is>
          <t>À documenter</t>
        </is>
      </c>
      <c r="G12" s="2" t="inlineStr">
        <is>
          <t>À confirmer</t>
        </is>
      </c>
      <c r="H12" s="2" t="inlineStr">
        <is>
          <t>Utilitaire léger militaire</t>
        </is>
      </c>
      <c r="I12" s="2" t="inlineStr">
        <is>
          <t>À définir</t>
        </is>
      </c>
      <c r="J12" s="2" t="n"/>
      <c r="K12" s="2" t="n"/>
      <c r="L12" s="2" t="n"/>
      <c r="M12" s="2" t="n"/>
      <c r="N12" s="2" t="n"/>
      <c r="O12" s="2" t="n"/>
      <c r="P12" s="2" t="inlineStr">
        <is>
          <t>Essence : 6 cylindres en ligne à soupapes latérales ; les sous-types WC précoces peuvent employer des variantes de moteur Dodge T-207/T-211.</t>
        </is>
      </c>
      <c r="Q12" s="2" t="n"/>
      <c r="R12" s="2" t="n"/>
      <c r="S12" s="2" t="inlineStr">
        <is>
          <t>À confirmer</t>
        </is>
      </c>
      <c r="T12" s="2" t="n"/>
      <c r="U12" s="2" t="n"/>
      <c r="V12" s="2" t="n"/>
      <c r="W12" s="2" t="n"/>
      <c r="X12" s="2" t="inlineStr">
        <is>
          <t>À documenter</t>
        </is>
      </c>
      <c r="Y12" s="2" t="inlineStr">
        <is>
          <t>À documenter</t>
        </is>
      </c>
      <c r="Z12" s="2" t="inlineStr">
        <is>
          <t>À documenter</t>
        </is>
      </c>
      <c r="AA12" s="2" t="inlineStr">
        <is>
          <t>À documenter</t>
        </is>
      </c>
      <c r="AB12" s="2" t="inlineStr">
        <is>
          <t>À documenter</t>
        </is>
      </c>
      <c r="AC12" s="2" t="inlineStr">
        <is>
          <t>Pas d'arme fixe standard; affût/mitrailleuse possible sur certaines versions ou conversions</t>
        </is>
      </c>
      <c r="AD12" s="2" t="inlineStr">
        <is>
          <t>À documenter</t>
        </is>
      </c>
      <c r="AE12" s="2" t="inlineStr">
        <is>
          <t>À documenter</t>
        </is>
      </c>
      <c r="AF12" s="2" t="inlineStr">
        <is>
          <t>À définir</t>
        </is>
      </c>
      <c r="AG12" s="2" t="inlineStr">
        <is>
          <t>À définir</t>
        </is>
      </c>
      <c r="AH12" s="2" t="inlineStr">
        <is>
          <t>Réparation d’origine si véhicule complet ; démontage si incomplet</t>
        </is>
      </c>
      <c r="AI12" s="2" t="inlineStr">
        <is>
          <t>À documenter</t>
        </is>
      </c>
      <c r="AJ12" s="2" t="inlineStr">
        <is>
          <t>Famille de moteurs de camion/utilitaire ; ne pas l'assimiler automatiquement au moteur de Jeep ou à tout I6 américain.</t>
        </is>
      </c>
      <c r="AK12" s="2" t="inlineStr">
        <is>
          <t>À documenter</t>
        </is>
      </c>
      <c r="AL12" s="2" t="inlineStr">
        <is>
          <t>À rechercher / voir sources historiques</t>
        </is>
      </c>
      <c r="AM12" s="2" t="inlineStr">
        <is>
          <t>À rechercher</t>
        </is>
      </c>
      <c r="AN12" s="2" t="inlineStr">
        <is>
          <t>Source de niveau variable ; contrôle par variante nécessaire</t>
        </is>
      </c>
      <c r="AO12" s="2" t="inlineStr">
        <is>
          <t>Non renseigné</t>
        </is>
      </c>
      <c r="AP12" s="2" t="inlineStr">
        <is>
          <t>Faible</t>
        </is>
      </c>
      <c r="AQ12" s="2" t="inlineStr">
        <is>
          <t>Partiel</t>
        </is>
      </c>
      <c r="AR12" s="2" t="inlineStr">
        <is>
          <t>Partiel — fiche à compléter</t>
        </is>
      </c>
      <c r="AS12" s="2" t="inlineStr">
        <is>
          <t>P2/P3</t>
        </is>
      </c>
      <c r="AT12" s="2" t="inlineStr">
        <is>
          <t>Le nom regroupe plusieurs variantes WC ; le code moteur exact doit être vérifié sur documentation technique avant verrouillage.</t>
        </is>
      </c>
      <c r="AU12" s="2" t="inlineStr">
        <is>
          <t>À intégrer après validation du prototype</t>
        </is>
      </c>
      <c r="AV12" s="2" t="inlineStr">
        <is>
          <t>Dodge WC-1 / WC-12 : véhicule de catégorie « Utilitaire léger militaire », d'origine États-Unis. Motorisation recensée : Essence : 6 cylindres en ligne à soupapes latérales. Variante historique à vérifier avant validation définitive.</t>
        </is>
      </c>
    </row>
    <row r="13" ht="60" customHeight="1">
      <c r="A13" s="2" t="inlineStr">
        <is>
          <t>VEH-012</t>
        </is>
      </c>
      <c r="B13" s="2" t="inlineStr">
        <is>
          <t>Voitures civiles et utilitaires légers</t>
        </is>
      </c>
      <c r="C13" s="2" t="inlineStr">
        <is>
          <t>Willys MB</t>
        </is>
      </c>
      <c r="D13" s="2" t="inlineStr">
        <is>
          <t>MB standard (à séparer du Ford GPW si l’inventaire les regroupe)</t>
        </is>
      </c>
      <c r="E13" s="2" t="inlineStr">
        <is>
          <t>États-Unis</t>
        </is>
      </c>
      <c r="F13" s="2" t="inlineStr">
        <is>
          <t>1941–1945</t>
        </is>
      </c>
      <c r="G13" s="2" t="inlineStr">
        <is>
          <t>Production en série; modèle de guerre</t>
        </is>
      </c>
      <c r="H13" s="2" t="inlineStr">
        <is>
          <t>Camion léger 1/4 tonne 4x4 de liaison et transport</t>
        </is>
      </c>
      <c r="I13" s="2" t="inlineStr">
        <is>
          <t>Éclaireur / utilitaire léger polyvalent</t>
        </is>
      </c>
      <c r="J13" s="2" t="inlineStr">
        <is>
          <t>≈ 1 050 (valeur indicative; configurations variables)</t>
        </is>
      </c>
      <c r="K13" s="2" t="n"/>
      <c r="L13" s="2" t="n">
        <v>3.36</v>
      </c>
      <c r="M13" s="2" t="n">
        <v>1.57</v>
      </c>
      <c r="N13" s="2" t="inlineStr">
        <is>
          <t>≈ 1.78 avec pare-brise relevé (configuration à préciser)</t>
        </is>
      </c>
      <c r="O13" s="2" t="n"/>
      <c r="P13" s="2" t="inlineStr">
        <is>
          <t>Willys L134 Go-Devil, 4 cylindres en ligne essence</t>
        </is>
      </c>
      <c r="Q13" s="2" t="n">
        <v>2.2</v>
      </c>
      <c r="R13" s="2" t="inlineStr">
        <is>
          <t>≈ 60–61</t>
        </is>
      </c>
      <c r="S13" s="2" t="inlineStr">
        <is>
          <t>Essence</t>
        </is>
      </c>
      <c r="T13" s="2" t="inlineStr">
        <is>
          <t>≈ 57 (à valider selon réservoir/version)</t>
        </is>
      </c>
      <c r="U13" s="2" t="n"/>
      <c r="V13" s="2" t="n">
        <v>105</v>
      </c>
      <c r="W13" s="2" t="n"/>
      <c r="X13" s="2" t="inlineStr">
        <is>
          <t>1 conducteur + passagers selon configuration</t>
        </is>
      </c>
      <c r="Y13" s="2" t="inlineStr">
        <is>
          <t>À documenter</t>
        </is>
      </c>
      <c r="Z13" s="2" t="inlineStr">
        <is>
          <t>Boîte 3 rapports; transfert 2 gammes; 4x4 enclenchable</t>
        </is>
      </c>
      <c r="AA13" s="2" t="inlineStr">
        <is>
          <t>Essieux rigides; ressorts à lames</t>
        </is>
      </c>
      <c r="AB13" s="2" t="inlineStr">
        <is>
          <t>À documenter</t>
        </is>
      </c>
      <c r="AC13" s="2" t="inlineStr">
        <is>
          <t>Aucun armement fixe standard identifié; arme individuelle/affût de campagne possible selon usage</t>
        </is>
      </c>
      <c r="AD13" s="2" t="inlineStr">
        <is>
          <t>À documenter</t>
        </is>
      </c>
      <c r="AE13" s="2" t="inlineStr">
        <is>
          <t>À documenter</t>
        </is>
      </c>
      <c r="AF13" s="2" t="inlineStr">
        <is>
          <t>À définir</t>
        </is>
      </c>
      <c r="AG13" s="2" t="inlineStr">
        <is>
          <t>À définir</t>
        </is>
      </c>
      <c r="AH13" s="2" t="inlineStr">
        <is>
          <t>Réparation d’origine si véhicule complet ; démontage si incomplet</t>
        </is>
      </c>
      <c r="AI13" s="2" t="inlineStr">
        <is>
          <t>À documenter</t>
        </is>
      </c>
      <c r="AJ13" s="2" t="inlineStr">
        <is>
          <t>Même famille de base que la Ford GPW pour le gameplay ; garder des détails d'accessoires et de montage distincts si nécessaire.</t>
        </is>
      </c>
      <c r="AK13" s="2" t="inlineStr">
        <is>
          <t>À documenter</t>
        </is>
      </c>
      <c r="AL13" s="2" t="inlineStr">
        <is>
          <t>TM 10-1513 (1942), manuel de maintenance Willys MB</t>
        </is>
      </c>
      <c r="AM13" s="2" t="inlineStr">
        <is>
          <t>https://web.willys.co.rs/knjige/TM_9-803_Willys_MB_1944.pdf</t>
        </is>
      </c>
      <c r="AN13" s="2" t="inlineStr">
        <is>
          <t>Manuel primaire identifié; valeurs numériques à extraire page par page</t>
        </is>
      </c>
      <c r="AO13" s="2" t="inlineStr">
        <is>
          <t>Moyenne; vérifier selon définition de hauteur</t>
        </is>
      </c>
      <c r="AP13" s="2" t="inlineStr">
        <is>
          <t>Élevée sur architecture; puissance/cylindrée à corroborer</t>
        </is>
      </c>
      <c r="AQ13" s="2" t="inlineStr">
        <is>
          <t>Élevé</t>
        </is>
      </c>
      <c r="AR13" s="2" t="inlineStr">
        <is>
          <t>Partiellement documenté</t>
        </is>
      </c>
      <c r="AS13" s="2" t="inlineStr">
        <is>
          <t>P1</t>
        </is>
      </c>
      <c r="AT13" s="2" t="inlineStr">
        <is>
          <t>Ne pas fusionner les désignations Willys MB et Ford GPW en une variante unique pour les pièces; forte interchangeabilité mais différences de fabrication et références.</t>
        </is>
      </c>
      <c r="AU13" s="2" t="inlineStr">
        <is>
          <t>Véhicule de départ/récupération</t>
        </is>
      </c>
      <c r="AV13" s="2" t="inlineStr">
        <is>
          <t>Jeep 4x4 légère, simple et réparable, adaptée à l’exploration; capacité de charge limitée.</t>
        </is>
      </c>
    </row>
    <row r="14" ht="60" customHeight="1">
      <c r="A14" s="2" t="inlineStr">
        <is>
          <t>VEH-013</t>
        </is>
      </c>
      <c r="B14" s="2" t="inlineStr">
        <is>
          <t>Voitures civiles et utilitaires légers</t>
        </is>
      </c>
      <c r="C14" s="2" t="inlineStr">
        <is>
          <t>Ford GPW</t>
        </is>
      </c>
      <c r="D14" s="2" t="inlineStr">
        <is>
          <t>À distinguer si plusieurs variantes</t>
        </is>
      </c>
      <c r="E14" s="2" t="inlineStr">
        <is>
          <t>États-Unis</t>
        </is>
      </c>
      <c r="F14" s="2" t="inlineStr">
        <is>
          <t>À documenter</t>
        </is>
      </c>
      <c r="G14" s="2" t="inlineStr">
        <is>
          <t>À confirmer</t>
        </is>
      </c>
      <c r="H14" s="2" t="inlineStr">
        <is>
          <t>Jeep 4x4</t>
        </is>
      </c>
      <c r="I14" s="2" t="inlineStr">
        <is>
          <t>À définir</t>
        </is>
      </c>
      <c r="J14" s="2" t="n"/>
      <c r="K14" s="2" t="n"/>
      <c r="L14" s="2" t="n"/>
      <c r="M14" s="2" t="n"/>
      <c r="N14" s="2" t="n"/>
      <c r="O14" s="2" t="n"/>
      <c r="P14" s="2" t="inlineStr">
        <is>
          <t>Essence : 4 cylindres en ligne à soupapes latérales, Ford GPW dérivé du moteur de Jeep de la famille L134.</t>
        </is>
      </c>
      <c r="Q14" s="2" t="n"/>
      <c r="R14" s="2" t="n"/>
      <c r="S14" s="2" t="inlineStr">
        <is>
          <t>À confirmer</t>
        </is>
      </c>
      <c r="T14" s="2" t="n"/>
      <c r="U14" s="2" t="n"/>
      <c r="V14" s="2" t="n"/>
      <c r="W14" s="2" t="n"/>
      <c r="X14" s="2" t="inlineStr">
        <is>
          <t>À documenter</t>
        </is>
      </c>
      <c r="Y14" s="2" t="inlineStr">
        <is>
          <t>À documenter</t>
        </is>
      </c>
      <c r="Z14" s="2" t="inlineStr">
        <is>
          <t>À documenter</t>
        </is>
      </c>
      <c r="AA14" s="2" t="inlineStr">
        <is>
          <t>À documenter</t>
        </is>
      </c>
      <c r="AB14" s="2" t="inlineStr">
        <is>
          <t>À documenter</t>
        </is>
      </c>
      <c r="AC14" s="2" t="inlineStr">
        <is>
          <t>Aucun armement fixe standard identifié; arme individuelle/affût de campagne possible selon usage</t>
        </is>
      </c>
      <c r="AD14" s="2" t="inlineStr">
        <is>
          <t>À documenter</t>
        </is>
      </c>
      <c r="AE14" s="2" t="inlineStr">
        <is>
          <t>À documenter</t>
        </is>
      </c>
      <c r="AF14" s="2" t="inlineStr">
        <is>
          <t>À définir</t>
        </is>
      </c>
      <c r="AG14" s="2" t="inlineStr">
        <is>
          <t>À définir</t>
        </is>
      </c>
      <c r="AH14" s="2" t="inlineStr">
        <is>
          <t>Réparation d’origine si véhicule complet ; démontage si incomplet</t>
        </is>
      </c>
      <c r="AI14" s="2" t="inlineStr">
        <is>
          <t>À documenter</t>
        </is>
      </c>
      <c r="AJ14" s="2" t="inlineStr">
        <is>
          <t>Pour le gameplay, moteur commun à la Willys MB ; pièces périphériques et numéros de série peuvent différer historiquement.</t>
        </is>
      </c>
      <c r="AK14" s="2" t="inlineStr">
        <is>
          <t>À documenter</t>
        </is>
      </c>
      <c r="AL14" s="2" t="inlineStr">
        <is>
          <t>À rechercher / voir sources historiques</t>
        </is>
      </c>
      <c r="AM14" s="2" t="inlineStr">
        <is>
          <t>https://collectionjeandelpech.musee-armee.fr/en/the-collection/moteur-jeep</t>
        </is>
      </c>
      <c r="AN14" s="2" t="inlineStr">
        <is>
          <t>Source de niveau variable ; contrôle par variante nécessaire</t>
        </is>
      </c>
      <c r="AO14" s="2" t="inlineStr">
        <is>
          <t>Non renseigné</t>
        </is>
      </c>
      <c r="AP14" s="2" t="inlineStr">
        <is>
          <t>Faible</t>
        </is>
      </c>
      <c r="AQ14" s="2" t="inlineStr">
        <is>
          <t>Élevé</t>
        </is>
      </c>
      <c r="AR14" s="2" t="inlineStr">
        <is>
          <t>Partiel — fiche à compléter</t>
        </is>
      </c>
      <c r="AS14" s="2" t="inlineStr">
        <is>
          <t>P2/P3</t>
        </is>
      </c>
      <c r="AT14" s="2" t="inlineStr">
        <is>
          <t>Les GPW utilisaient le moteur de spécification Jeep correspondant ; la standardisation est adaptée au jeu.</t>
        </is>
      </c>
      <c r="AU14" s="2" t="inlineStr">
        <is>
          <t>À intégrer après validation du prototype</t>
        </is>
      </c>
      <c r="AV14" s="2" t="inlineStr">
        <is>
          <t>Ford GPW : véhicule de catégorie « Jeep 4x4 », d'origine États-Unis. Motorisation recensée : Essence : 4 cylindres en ligne à soupapes latérales, Ford GPW dérivé du moteur de Jeep de la famille L134.. Fiche de catalogue à compléter avec le rôle tactique et les caractéristiques de jeu.</t>
        </is>
      </c>
    </row>
    <row r="15" ht="60" customHeight="1">
      <c r="A15" s="2" t="inlineStr">
        <is>
          <t>VEH-014</t>
        </is>
      </c>
      <c r="B15" s="2" t="inlineStr">
        <is>
          <t>Voitures civiles et utilitaires légers</t>
        </is>
      </c>
      <c r="C15" s="2" t="inlineStr">
        <is>
          <t>Volkswagen Kübelwagen Type 82</t>
        </is>
      </c>
      <c r="D15" s="2" t="inlineStr">
        <is>
          <t>À distinguer si plusieurs variantes</t>
        </is>
      </c>
      <c r="E15" s="2" t="inlineStr">
        <is>
          <t>Allemagne</t>
        </is>
      </c>
      <c r="F15" s="2" t="inlineStr">
        <is>
          <t>À documenter</t>
        </is>
      </c>
      <c r="G15" s="2" t="inlineStr">
        <is>
          <t>À confirmer</t>
        </is>
      </c>
      <c r="H15" s="2" t="inlineStr">
        <is>
          <t>Utilitaire léger militaire</t>
        </is>
      </c>
      <c r="I15" s="2" t="inlineStr">
        <is>
          <t>À définir</t>
        </is>
      </c>
      <c r="J15" s="2" t="n"/>
      <c r="K15" s="2" t="n"/>
      <c r="L15" s="2" t="n"/>
      <c r="M15" s="2" t="n"/>
      <c r="N15" s="2" t="n"/>
      <c r="O15" s="2" t="n"/>
      <c r="P15" s="2" t="inlineStr">
        <is>
          <t>Essence : 4 cylindres à plat opposés, refroidissement par air ; moteur d'environ 1,0 L au début, puis 1,1 L à partir de 1943.</t>
        </is>
      </c>
      <c r="Q15" s="2" t="n"/>
      <c r="R15" s="2" t="n"/>
      <c r="S15" s="2" t="inlineStr">
        <is>
          <t>À confirmer</t>
        </is>
      </c>
      <c r="T15" s="2" t="n"/>
      <c r="U15" s="2" t="n"/>
      <c r="V15" s="2" t="n"/>
      <c r="W15" s="2" t="n"/>
      <c r="X15" s="2" t="inlineStr">
        <is>
          <t>À documenter</t>
        </is>
      </c>
      <c r="Y15" s="2" t="inlineStr">
        <is>
          <t>À documenter</t>
        </is>
      </c>
      <c r="Z15" s="2" t="inlineStr">
        <is>
          <t>À documenter</t>
        </is>
      </c>
      <c r="AA15" s="2" t="inlineStr">
        <is>
          <t>À documenter</t>
        </is>
      </c>
      <c r="AB15" s="2" t="inlineStr">
        <is>
          <t>À documenter</t>
        </is>
      </c>
      <c r="AC15" s="2" t="inlineStr">
        <is>
          <t>Aucun armement fixe standard identifié; arme individuelle/affût de campagne possible selon usage</t>
        </is>
      </c>
      <c r="AD15" s="2" t="inlineStr">
        <is>
          <t>À documenter</t>
        </is>
      </c>
      <c r="AE15" s="2" t="inlineStr">
        <is>
          <t>À documenter</t>
        </is>
      </c>
      <c r="AF15" s="2" t="inlineStr">
        <is>
          <t>À définir</t>
        </is>
      </c>
      <c r="AG15" s="2" t="inlineStr">
        <is>
          <t>À définir</t>
        </is>
      </c>
      <c r="AH15" s="2" t="inlineStr">
        <is>
          <t>Réparation d’origine si véhicule complet ; démontage si incomplet</t>
        </is>
      </c>
      <c r="AI15" s="2" t="inlineStr">
        <is>
          <t>À documenter</t>
        </is>
      </c>
      <c r="AJ15" s="2" t="inlineStr">
        <is>
          <t>Famille commune avec le Schwimmwagen, mais le Type 82 et le Type 166 doivent garder leurs contraintes d'installation et de transmission.</t>
        </is>
      </c>
      <c r="AK15" s="2" t="inlineStr">
        <is>
          <t>À documenter</t>
        </is>
      </c>
      <c r="AL15" s="2" t="inlineStr">
        <is>
          <t>À rechercher / voir sources historiques</t>
        </is>
      </c>
      <c r="AM15" s="2" t="inlineStr">
        <is>
          <t>https://www.museudocaramulo.pt/en/colecoes/automoveis/volkswagen-kubelwagen-2/ ; https://www.oorlogsmuseum.nl/en/events/militracks/participating-vehicles/vw-typ-82-kubelwagen/</t>
        </is>
      </c>
      <c r="AN15" s="2" t="inlineStr">
        <is>
          <t>Source de niveau variable ; contrôle par variante nécessaire</t>
        </is>
      </c>
      <c r="AO15" s="2" t="inlineStr">
        <is>
          <t>Non renseigné</t>
        </is>
      </c>
      <c r="AP15" s="2" t="inlineStr">
        <is>
          <t>Faible</t>
        </is>
      </c>
      <c r="AQ15" s="2" t="inlineStr">
        <is>
          <t>Élevé</t>
        </is>
      </c>
      <c r="AR15" s="2" t="inlineStr">
        <is>
          <t>Partiel — fiche à compléter</t>
        </is>
      </c>
      <c r="AS15" s="2" t="inlineStr">
        <is>
          <t>P2/P3</t>
        </is>
      </c>
      <c r="AT15" s="2" t="inlineStr">
        <is>
          <t>La variante 1,1 L apparaît à partir de mars 1943 selon le Museu do Caramulo.</t>
        </is>
      </c>
      <c r="AU15" s="2" t="inlineStr">
        <is>
          <t>À intégrer après validation du prototype</t>
        </is>
      </c>
      <c r="AV15" s="2" t="inlineStr">
        <is>
          <t>Volkswagen Kübelwagen Type 82 : véhicule de catégorie « Utilitaire léger militaire », d'origine Allemagne. Motorisation recensée : Essence : 4 cylindres à plat opposés, refroidissement par air. Fiche de catalogue à compléter avec le rôle tactique et les caractéristiques de jeu.</t>
        </is>
      </c>
    </row>
    <row r="16" ht="60" customHeight="1">
      <c r="A16" s="2" t="inlineStr">
        <is>
          <t>VEH-015</t>
        </is>
      </c>
      <c r="B16" s="2" t="inlineStr">
        <is>
          <t>Voitures civiles et utilitaires légers</t>
        </is>
      </c>
      <c r="C16" s="2" t="inlineStr">
        <is>
          <t>Volkswagen Schwimmwagen Type 166</t>
        </is>
      </c>
      <c r="D16" s="2" t="inlineStr">
        <is>
          <t>À distinguer si plusieurs variantes</t>
        </is>
      </c>
      <c r="E16" s="2" t="inlineStr">
        <is>
          <t>Allemagne</t>
        </is>
      </c>
      <c r="F16" s="2" t="inlineStr">
        <is>
          <t>À documenter</t>
        </is>
      </c>
      <c r="G16" s="2" t="inlineStr">
        <is>
          <t>À confirmer</t>
        </is>
      </c>
      <c r="H16" s="2" t="inlineStr">
        <is>
          <t>Utilitaire amphibie</t>
        </is>
      </c>
      <c r="I16" s="2" t="inlineStr">
        <is>
          <t>À définir</t>
        </is>
      </c>
      <c r="J16" s="2" t="n"/>
      <c r="K16" s="2" t="n"/>
      <c r="L16" s="2" t="n"/>
      <c r="M16" s="2" t="n"/>
      <c r="N16" s="2" t="n"/>
      <c r="O16" s="2" t="n"/>
      <c r="P16" s="2" t="inlineStr">
        <is>
          <t>Essence : 4 cylindres à plat opposés refroidis par air, 1,1 L environ.</t>
        </is>
      </c>
      <c r="Q16" s="2" t="n"/>
      <c r="R16" s="2" t="n"/>
      <c r="S16" s="2" t="inlineStr">
        <is>
          <t>À confirmer</t>
        </is>
      </c>
      <c r="T16" s="2" t="n"/>
      <c r="U16" s="2" t="n"/>
      <c r="V16" s="2" t="n"/>
      <c r="W16" s="2" t="n"/>
      <c r="X16" s="2" t="inlineStr">
        <is>
          <t>À documenter</t>
        </is>
      </c>
      <c r="Y16" s="2" t="inlineStr">
        <is>
          <t>À documenter</t>
        </is>
      </c>
      <c r="Z16" s="2" t="inlineStr">
        <is>
          <t>À documenter</t>
        </is>
      </c>
      <c r="AA16" s="2" t="inlineStr">
        <is>
          <t>À documenter</t>
        </is>
      </c>
      <c r="AB16" s="2" t="inlineStr">
        <is>
          <t>À documenter</t>
        </is>
      </c>
      <c r="AC16" s="2" t="inlineStr">
        <is>
          <t>Aucun armement fixe standard identifié; arme individuelle/affût de campagne possible selon usage</t>
        </is>
      </c>
      <c r="AD16" s="2" t="inlineStr">
        <is>
          <t>À documenter</t>
        </is>
      </c>
      <c r="AE16" s="2" t="inlineStr">
        <is>
          <t>À documenter</t>
        </is>
      </c>
      <c r="AF16" s="2" t="inlineStr">
        <is>
          <t>À définir</t>
        </is>
      </c>
      <c r="AG16" s="2" t="inlineStr">
        <is>
          <t>À définir</t>
        </is>
      </c>
      <c r="AH16" s="2" t="inlineStr">
        <is>
          <t>Réparation d’origine si véhicule complet ; démontage si incomplet</t>
        </is>
      </c>
      <c r="AI16" s="2" t="inlineStr">
        <is>
          <t>À documenter</t>
        </is>
      </c>
      <c r="AJ16" s="2" t="inlineStr">
        <is>
          <t>Famille moteur apparentée/commune au Kübelwagen ; transmission amphibie et accessoires spécifiques au Type 166.</t>
        </is>
      </c>
      <c r="AK16" s="2" t="inlineStr">
        <is>
          <t>À documenter</t>
        </is>
      </c>
      <c r="AL16" s="2" t="inlineStr">
        <is>
          <t>À rechercher / voir sources historiques</t>
        </is>
      </c>
      <c r="AM16" s="2" t="inlineStr">
        <is>
          <t>https://www.louwmanmuseum.nl/en/collections/automobiles/volkswagen-166-schwimmwagen ; https://schwimmwagen.com/technical/</t>
        </is>
      </c>
      <c r="AN16" s="2" t="inlineStr">
        <is>
          <t>Source de niveau variable ; contrôle par variante nécessaire</t>
        </is>
      </c>
      <c r="AO16" s="2" t="inlineStr">
        <is>
          <t>Non renseigné</t>
        </is>
      </c>
      <c r="AP16" s="2" t="inlineStr">
        <is>
          <t>Faible</t>
        </is>
      </c>
      <c r="AQ16" s="2" t="inlineStr">
        <is>
          <t>Élevé</t>
        </is>
      </c>
      <c r="AR16" s="2" t="inlineStr">
        <is>
          <t>Partiel — fiche à compléter</t>
        </is>
      </c>
      <c r="AS16" s="2" t="inlineStr">
        <is>
          <t>P2/P3</t>
        </is>
      </c>
      <c r="AT16" s="2" t="inlineStr">
        <is>
          <t>Le moteur entraîne également l'hélice arrière par un arbre dédié.</t>
        </is>
      </c>
      <c r="AU16" s="2" t="inlineStr">
        <is>
          <t>À intégrer après validation du prototype</t>
        </is>
      </c>
      <c r="AV16" s="2" t="inlineStr">
        <is>
          <t>Volkswagen Schwimmwagen Type 166 : véhicule de catégorie « Utilitaire amphibie », d'origine Allemagne. Motorisation recensée : Essence : 4 cylindres à plat opposés refroidis par air, 1,1 L environ.. Fiche de catalogue à compléter avec le rôle tactique et les caractéristiques de jeu.</t>
        </is>
      </c>
    </row>
    <row r="17" ht="60" customHeight="1">
      <c r="A17" s="2" t="inlineStr">
        <is>
          <t>VEH-016</t>
        </is>
      </c>
      <c r="B17" s="2" t="inlineStr">
        <is>
          <t>Voitures civiles et utilitaires légers</t>
        </is>
      </c>
      <c r="C17" s="2" t="inlineStr">
        <is>
          <t>Mercedes-Benz 170 V</t>
        </is>
      </c>
      <c r="D17" s="2" t="inlineStr">
        <is>
          <t>À distinguer si plusieurs variantes</t>
        </is>
      </c>
      <c r="E17" s="2" t="inlineStr">
        <is>
          <t>Allemagne</t>
        </is>
      </c>
      <c r="F17" s="2" t="inlineStr">
        <is>
          <t>À documenter</t>
        </is>
      </c>
      <c r="G17" s="2" t="inlineStr">
        <is>
          <t>À confirmer</t>
        </is>
      </c>
      <c r="H17" s="2" t="inlineStr">
        <is>
          <t>Voiture/utilitaire</t>
        </is>
      </c>
      <c r="I17" s="2" t="inlineStr">
        <is>
          <t>À définir</t>
        </is>
      </c>
      <c r="J17" s="2" t="n"/>
      <c r="K17" s="2" t="n"/>
      <c r="L17" s="2" t="n"/>
      <c r="M17" s="2" t="n"/>
      <c r="N17" s="2" t="n"/>
      <c r="O17" s="2" t="n"/>
      <c r="P17" s="2" t="inlineStr">
        <is>
          <t>Essence : 4 cylindres en ligne, moteur Mercedes-Benz M136, environ 1,7 L.</t>
        </is>
      </c>
      <c r="Q17" s="2" t="n"/>
      <c r="R17" s="2" t="n"/>
      <c r="S17" s="2" t="inlineStr">
        <is>
          <t>À confirmer</t>
        </is>
      </c>
      <c r="T17" s="2" t="n"/>
      <c r="U17" s="2" t="n"/>
      <c r="V17" s="2" t="n"/>
      <c r="W17" s="2" t="n"/>
      <c r="X17" s="2" t="inlineStr">
        <is>
          <t>À documenter</t>
        </is>
      </c>
      <c r="Y17" s="2" t="inlineStr">
        <is>
          <t>À documenter</t>
        </is>
      </c>
      <c r="Z17" s="2" t="inlineStr">
        <is>
          <t>À documenter</t>
        </is>
      </c>
      <c r="AA17" s="2" t="inlineStr">
        <is>
          <t>À documenter</t>
        </is>
      </c>
      <c r="AB17" s="2" t="inlineStr">
        <is>
          <t>À documenter</t>
        </is>
      </c>
      <c r="AC17" s="2" t="inlineStr">
        <is>
          <t>Aucun armement fixe standard identifié; arme individuelle/affût de campagne possible selon usage</t>
        </is>
      </c>
      <c r="AD17" s="2" t="inlineStr">
        <is>
          <t>À documenter</t>
        </is>
      </c>
      <c r="AE17" s="2" t="inlineStr">
        <is>
          <t>À documenter</t>
        </is>
      </c>
      <c r="AF17" s="2" t="inlineStr">
        <is>
          <t>À définir</t>
        </is>
      </c>
      <c r="AG17" s="2" t="inlineStr">
        <is>
          <t>À définir</t>
        </is>
      </c>
      <c r="AH17" s="2" t="inlineStr">
        <is>
          <t>Réparation d’origine si véhicule complet ; démontage si incomplet</t>
        </is>
      </c>
      <c r="AI17" s="2" t="inlineStr">
        <is>
          <t>À documenter</t>
        </is>
      </c>
      <c r="AJ17" s="2" t="inlineStr">
        <is>
          <t>Famille de tourisme Mercedes ; transfert vers d'autres véhicules soumis à l'encombrement, au refroidissement et aux supports.</t>
        </is>
      </c>
      <c r="AK17" s="2" t="inlineStr">
        <is>
          <t>À documenter</t>
        </is>
      </c>
      <c r="AL17" s="2" t="inlineStr">
        <is>
          <t>À rechercher / voir sources historiques</t>
        </is>
      </c>
      <c r="AM17" s="2" t="inlineStr">
        <is>
          <t>https://mb-france.mercedes-benz-clubs.com/wp-content/uploads/sites/21/2021/03/202103-170V.pdf</t>
        </is>
      </c>
      <c r="AN17" s="2" t="inlineStr">
        <is>
          <t>Source de niveau variable ; contrôle par variante nécessaire</t>
        </is>
      </c>
      <c r="AO17" s="2" t="inlineStr">
        <is>
          <t>Non renseigné</t>
        </is>
      </c>
      <c r="AP17" s="2" t="inlineStr">
        <is>
          <t>Faible</t>
        </is>
      </c>
      <c r="AQ17" s="2" t="inlineStr">
        <is>
          <t>Élevé</t>
        </is>
      </c>
      <c r="AR17" s="2" t="inlineStr">
        <is>
          <t>Partiel — fiche à compléter</t>
        </is>
      </c>
      <c r="AS17" s="2" t="inlineStr">
        <is>
          <t>P2/P3</t>
        </is>
      </c>
      <c r="AT17" s="2" t="inlineStr">
        <is>
          <t>Le document Mercedes-Benz Club France décrit le moteur M136 à quatre cylindres.</t>
        </is>
      </c>
      <c r="AU17" s="2" t="inlineStr">
        <is>
          <t>À intégrer après validation du prototype</t>
        </is>
      </c>
      <c r="AV17" s="2" t="inlineStr">
        <is>
          <t>Mercedes-Benz 170 V : véhicule de catégorie « Voiture/utilitaire », d'origine Allemagne. Motorisation recensée : Essence : 4 cylindres en ligne, moteur Mercedes-Benz M136, environ 1,7 L.. Fiche de catalogue à compléter avec le rôle tactique et les caractéristiques de jeu.</t>
        </is>
      </c>
    </row>
    <row r="18" ht="60" customHeight="1">
      <c r="A18" s="2" t="inlineStr">
        <is>
          <t>VEH-017</t>
        </is>
      </c>
      <c r="B18" s="2" t="inlineStr">
        <is>
          <t>Voitures civiles et utilitaires légers</t>
        </is>
      </c>
      <c r="C18" s="2" t="inlineStr">
        <is>
          <t>Opel Olympia</t>
        </is>
      </c>
      <c r="D18" s="2" t="inlineStr">
        <is>
          <t>À distinguer si plusieurs variantes</t>
        </is>
      </c>
      <c r="E18" s="2" t="inlineStr">
        <is>
          <t>Allemagne</t>
        </is>
      </c>
      <c r="F18" s="2" t="inlineStr">
        <is>
          <t>À documenter</t>
        </is>
      </c>
      <c r="G18" s="2" t="inlineStr">
        <is>
          <t>À confirmer</t>
        </is>
      </c>
      <c r="H18" s="2" t="inlineStr">
        <is>
          <t>Voiture de tourisme</t>
        </is>
      </c>
      <c r="I18" s="2" t="inlineStr">
        <is>
          <t>À définir</t>
        </is>
      </c>
      <c r="J18" s="2" t="n"/>
      <c r="K18" s="2" t="n"/>
      <c r="L18" s="2" t="n"/>
      <c r="M18" s="2" t="n"/>
      <c r="N18" s="2" t="n"/>
      <c r="O18" s="2" t="n"/>
      <c r="P18" s="2" t="inlineStr">
        <is>
          <t>Essence : 4 cylindres en ligne à soupapes latérales, environ 1,3 L pour la première génération.</t>
        </is>
      </c>
      <c r="Q18" s="2" t="n"/>
      <c r="R18" s="2" t="n"/>
      <c r="S18" s="2" t="inlineStr">
        <is>
          <t>À confirmer</t>
        </is>
      </c>
      <c r="T18" s="2" t="n"/>
      <c r="U18" s="2" t="n"/>
      <c r="V18" s="2" t="n"/>
      <c r="W18" s="2" t="n"/>
      <c r="X18" s="2" t="inlineStr">
        <is>
          <t>À documenter</t>
        </is>
      </c>
      <c r="Y18" s="2" t="inlineStr">
        <is>
          <t>À documenter</t>
        </is>
      </c>
      <c r="Z18" s="2" t="inlineStr">
        <is>
          <t>À documenter</t>
        </is>
      </c>
      <c r="AA18" s="2" t="inlineStr">
        <is>
          <t>À documenter</t>
        </is>
      </c>
      <c r="AB18" s="2" t="inlineStr">
        <is>
          <t>À documenter</t>
        </is>
      </c>
      <c r="AC18" s="2" t="inlineStr">
        <is>
          <t>Aucun armement fixe standard identifié; arme individuelle/affût de campagne possible selon usage</t>
        </is>
      </c>
      <c r="AD18" s="2" t="inlineStr">
        <is>
          <t>À documenter</t>
        </is>
      </c>
      <c r="AE18" s="2" t="inlineStr">
        <is>
          <t>À documenter</t>
        </is>
      </c>
      <c r="AF18" s="2" t="inlineStr">
        <is>
          <t>À définir</t>
        </is>
      </c>
      <c r="AG18" s="2" t="inlineStr">
        <is>
          <t>À définir</t>
        </is>
      </c>
      <c r="AH18" s="2" t="inlineStr">
        <is>
          <t>Réparation d’origine si véhicule complet ; démontage si incomplet</t>
        </is>
      </c>
      <c r="AI18" s="2" t="inlineStr">
        <is>
          <t>À documenter</t>
        </is>
      </c>
      <c r="AJ18" s="2" t="inlineStr">
        <is>
          <t>Famille Opel à distinguer des moteurs GM américains malgré l'appartenance ultérieure à un même groupe industriel.</t>
        </is>
      </c>
      <c r="AK18" s="2" t="inlineStr">
        <is>
          <t>À documenter</t>
        </is>
      </c>
      <c r="AL18" s="2" t="inlineStr">
        <is>
          <t>À rechercher / voir sources historiques</t>
        </is>
      </c>
      <c r="AM18" s="2" t="inlineStr">
        <is>
          <t>https://fr.wikipedia.org/wiki/Opel_Olympia</t>
        </is>
      </c>
      <c r="AN18" s="2" t="inlineStr">
        <is>
          <t>Source de niveau variable ; contrôle par variante nécessaire</t>
        </is>
      </c>
      <c r="AO18" s="2" t="inlineStr">
        <is>
          <t>Non renseigné</t>
        </is>
      </c>
      <c r="AP18" s="2" t="inlineStr">
        <is>
          <t>Faible</t>
        </is>
      </c>
      <c r="AQ18" s="2" t="inlineStr">
        <is>
          <t>Élevé</t>
        </is>
      </c>
      <c r="AR18" s="2" t="inlineStr">
        <is>
          <t>Partiel — fiche à compléter</t>
        </is>
      </c>
      <c r="AS18" s="2" t="inlineStr">
        <is>
          <t>P2/P3</t>
        </is>
      </c>
      <c r="AT18" s="2" t="inlineStr">
        <is>
          <t>La gamme Olympia a évolué ; la première génération est la référence à retenir pour le catalogue d'avant-guerre.</t>
        </is>
      </c>
      <c r="AU18" s="2" t="inlineStr">
        <is>
          <t>À intégrer après validation du prototype</t>
        </is>
      </c>
      <c r="AV18" s="2" t="inlineStr">
        <is>
          <t>Opel Olympia : véhicule de catégorie « Voiture de tourisme », d'origine Allemagne. Motorisation recensée : Essence : 4 cylindres en ligne à soupapes latérales, environ 1,3 L pour la première génération.. Fiche de catalogue à compléter avec le rôle tactique et les caractéristiques de jeu.</t>
        </is>
      </c>
    </row>
    <row r="19" ht="60" customHeight="1">
      <c r="A19" s="2" t="inlineStr">
        <is>
          <t>VEH-018</t>
        </is>
      </c>
      <c r="B19" s="2" t="inlineStr">
        <is>
          <t>Voitures civiles et utilitaires légers</t>
        </is>
      </c>
      <c r="C19" s="2" t="inlineStr">
        <is>
          <t>Horch 830 / 901</t>
        </is>
      </c>
      <c r="D19" s="2" t="inlineStr">
        <is>
          <t>À distinguer si plusieurs variantes</t>
        </is>
      </c>
      <c r="E19" s="2" t="inlineStr">
        <is>
          <t>Allemagne</t>
        </is>
      </c>
      <c r="F19" s="2" t="inlineStr">
        <is>
          <t>À documenter</t>
        </is>
      </c>
      <c r="G19" s="2" t="inlineStr">
        <is>
          <t>À confirmer</t>
        </is>
      </c>
      <c r="H19" s="2" t="inlineStr">
        <is>
          <t>Voiture/voiture de commandement</t>
        </is>
      </c>
      <c r="I19" s="2" t="inlineStr">
        <is>
          <t>À définir</t>
        </is>
      </c>
      <c r="J19" s="2" t="n"/>
      <c r="K19" s="2" t="n"/>
      <c r="L19" s="2" t="n"/>
      <c r="M19" s="2" t="n"/>
      <c r="N19" s="2" t="n"/>
      <c r="O19" s="2" t="n"/>
      <c r="P19" s="2" t="inlineStr">
        <is>
          <t>Horch 830 : V8 essence. Horch 901 militaire : moteur V8 de la famille Horch, variante exacte à vérifier selon version.</t>
        </is>
      </c>
      <c r="Q19" s="2" t="n"/>
      <c r="R19" s="2" t="n"/>
      <c r="S19" s="2" t="inlineStr">
        <is>
          <t>À confirmer</t>
        </is>
      </c>
      <c r="T19" s="2" t="n"/>
      <c r="U19" s="2" t="n"/>
      <c r="V19" s="2" t="n"/>
      <c r="W19" s="2" t="n"/>
      <c r="X19" s="2" t="inlineStr">
        <is>
          <t>À documenter</t>
        </is>
      </c>
      <c r="Y19" s="2" t="inlineStr">
        <is>
          <t>À documenter</t>
        </is>
      </c>
      <c r="Z19" s="2" t="inlineStr">
        <is>
          <t>À documenter</t>
        </is>
      </c>
      <c r="AA19" s="2" t="inlineStr">
        <is>
          <t>À documenter</t>
        </is>
      </c>
      <c r="AB19" s="2" t="inlineStr">
        <is>
          <t>À documenter</t>
        </is>
      </c>
      <c r="AC19" s="2" t="inlineStr">
        <is>
          <t>Aucun armement fixe standard identifié; arme individuelle/affût de campagne possible selon usage</t>
        </is>
      </c>
      <c r="AD19" s="2" t="inlineStr">
        <is>
          <t>À documenter</t>
        </is>
      </c>
      <c r="AE19" s="2" t="inlineStr">
        <is>
          <t>À documenter</t>
        </is>
      </c>
      <c r="AF19" s="2" t="inlineStr">
        <is>
          <t>À définir</t>
        </is>
      </c>
      <c r="AG19" s="2" t="inlineStr">
        <is>
          <t>À définir</t>
        </is>
      </c>
      <c r="AH19" s="2" t="inlineStr">
        <is>
          <t>Réparation d’origine si véhicule complet ; démontage si incomplet</t>
        </is>
      </c>
      <c r="AI19" s="2" t="inlineStr">
        <is>
          <t>À documenter</t>
        </is>
      </c>
      <c r="AJ19" s="2" t="inlineStr">
        <is>
          <t>Ne pas déclarer les moteurs 830 et 901 interchangeables avant comparaison des références, supports et accessoires.</t>
        </is>
      </c>
      <c r="AK19" s="2" t="inlineStr">
        <is>
          <t>À documenter</t>
        </is>
      </c>
      <c r="AL19" s="2" t="inlineStr">
        <is>
          <t>À rechercher / voir sources historiques</t>
        </is>
      </c>
      <c r="AM19" s="2" t="inlineStr">
        <is>
          <t>https://www.motor-car.net/german-makes/horch/item/16515-horch-830 ; https://www.traumautoarchiv.de/html/1437.html</t>
        </is>
      </c>
      <c r="AN19" s="2" t="inlineStr">
        <is>
          <t>Source de niveau variable ; contrôle par variante nécessaire</t>
        </is>
      </c>
      <c r="AO19" s="2" t="inlineStr">
        <is>
          <t>Non renseigné</t>
        </is>
      </c>
      <c r="AP19" s="2" t="inlineStr">
        <is>
          <t>Faible</t>
        </is>
      </c>
      <c r="AQ19" s="2" t="inlineStr">
        <is>
          <t>Élevé</t>
        </is>
      </c>
      <c r="AR19" s="2" t="inlineStr">
        <is>
          <t>Partiel — fiche à compléter</t>
        </is>
      </c>
      <c r="AS19" s="2" t="inlineStr">
        <is>
          <t>P2/P3</t>
        </is>
      </c>
      <c r="AT19" s="2" t="inlineStr">
        <is>
          <t>Le modèle 830 est confirmé comme V8 ; la famille exacte du 901 doit être confirmée sur une source technique dédiée.</t>
        </is>
      </c>
      <c r="AU19" s="2" t="inlineStr">
        <is>
          <t>À intégrer après validation du prototype</t>
        </is>
      </c>
      <c r="AV19" s="2" t="inlineStr">
        <is>
          <t>Horch 830 / 901 : véhicule de catégorie « Voiture/voiture de commandement », d'origine Allemagne. Motorisation recensée : Horch 830 : V8 essence. Horch 901 militaire : moteur V8 de la famille Horch, variante exacte à vérifier selon…. Variante historique à vérifier avant validation définitive.</t>
        </is>
      </c>
    </row>
    <row r="20" ht="60" customHeight="1">
      <c r="A20" s="2" t="inlineStr">
        <is>
          <t>VEH-019</t>
        </is>
      </c>
      <c r="B20" s="2" t="inlineStr">
        <is>
          <t>Voitures civiles et utilitaires légers</t>
        </is>
      </c>
      <c r="C20" s="2" t="inlineStr">
        <is>
          <t>BMW 326</t>
        </is>
      </c>
      <c r="D20" s="2" t="inlineStr">
        <is>
          <t>À distinguer si plusieurs variantes</t>
        </is>
      </c>
      <c r="E20" s="2" t="inlineStr">
        <is>
          <t>Allemagne</t>
        </is>
      </c>
      <c r="F20" s="2" t="inlineStr">
        <is>
          <t>À documenter</t>
        </is>
      </c>
      <c r="G20" s="2" t="inlineStr">
        <is>
          <t>À confirmer</t>
        </is>
      </c>
      <c r="H20" s="2" t="inlineStr">
        <is>
          <t>Voiture de tourisme</t>
        </is>
      </c>
      <c r="I20" s="2" t="inlineStr">
        <is>
          <t>À définir</t>
        </is>
      </c>
      <c r="J20" s="2" t="n"/>
      <c r="K20" s="2" t="n"/>
      <c r="L20" s="2" t="n"/>
      <c r="M20" s="2" t="n"/>
      <c r="N20" s="2" t="n"/>
      <c r="O20" s="2" t="n"/>
      <c r="P20" s="2" t="inlineStr">
        <is>
          <t>Essence : 6 cylindres en ligne, moteur BMW d'environ 2,0 L.</t>
        </is>
      </c>
      <c r="Q20" s="2" t="n"/>
      <c r="R20" s="2" t="n"/>
      <c r="S20" s="2" t="inlineStr">
        <is>
          <t>À confirmer</t>
        </is>
      </c>
      <c r="T20" s="2" t="n"/>
      <c r="U20" s="2" t="n"/>
      <c r="V20" s="2" t="n"/>
      <c r="W20" s="2" t="n"/>
      <c r="X20" s="2" t="inlineStr">
        <is>
          <t>À documenter</t>
        </is>
      </c>
      <c r="Y20" s="2" t="inlineStr">
        <is>
          <t>À documenter</t>
        </is>
      </c>
      <c r="Z20" s="2" t="inlineStr">
        <is>
          <t>À documenter</t>
        </is>
      </c>
      <c r="AA20" s="2" t="inlineStr">
        <is>
          <t>À documenter</t>
        </is>
      </c>
      <c r="AB20" s="2" t="inlineStr">
        <is>
          <t>À documenter</t>
        </is>
      </c>
      <c r="AC20" s="2" t="inlineStr">
        <is>
          <t>Aucun armement fixe standard identifié; arme individuelle/affût de campagne possible selon usage</t>
        </is>
      </c>
      <c r="AD20" s="2" t="inlineStr">
        <is>
          <t>À documenter</t>
        </is>
      </c>
      <c r="AE20" s="2" t="inlineStr">
        <is>
          <t>À documenter</t>
        </is>
      </c>
      <c r="AF20" s="2" t="inlineStr">
        <is>
          <t>À définir</t>
        </is>
      </c>
      <c r="AG20" s="2" t="inlineStr">
        <is>
          <t>À définir</t>
        </is>
      </c>
      <c r="AH20" s="2" t="inlineStr">
        <is>
          <t>Réparation d’origine si véhicule complet ; démontage si incomplet</t>
        </is>
      </c>
      <c r="AI20" s="2" t="inlineStr">
        <is>
          <t>À documenter</t>
        </is>
      </c>
      <c r="AJ20" s="2" t="inlineStr">
        <is>
          <t>Famille de tourisme BMW ; éviter de la fusionner avec les six cylindres d'autres marques sur la seule base de l'architecture.</t>
        </is>
      </c>
      <c r="AK20" s="2" t="inlineStr">
        <is>
          <t>À documenter</t>
        </is>
      </c>
      <c r="AL20" s="2" t="inlineStr">
        <is>
          <t>À rechercher / voir sources historiques</t>
        </is>
      </c>
      <c r="AM20" s="2" t="inlineStr">
        <is>
          <t>https://www.bmwgroup-classic.com/en/models/bmw-classics/product-description-page.ad-116-1.bmw-326-model.html</t>
        </is>
      </c>
      <c r="AN20" s="2" t="inlineStr">
        <is>
          <t>Source de niveau variable ; contrôle par variante nécessaire</t>
        </is>
      </c>
      <c r="AO20" s="2" t="inlineStr">
        <is>
          <t>Non renseigné</t>
        </is>
      </c>
      <c r="AP20" s="2" t="inlineStr">
        <is>
          <t>Faible</t>
        </is>
      </c>
      <c r="AQ20" s="2" t="inlineStr">
        <is>
          <t>Élevé</t>
        </is>
      </c>
      <c r="AR20" s="2" t="inlineStr">
        <is>
          <t>Partiel — fiche à compléter</t>
        </is>
      </c>
      <c r="AS20" s="2" t="inlineStr">
        <is>
          <t>P2/P3</t>
        </is>
      </c>
      <c r="AT20" s="2" t="inlineStr">
        <is>
          <t>BMW Group Classic confirme le six-cylindres en ligne et la période 1936–1941.</t>
        </is>
      </c>
      <c r="AU20" s="2" t="inlineStr">
        <is>
          <t>À intégrer après validation du prototype</t>
        </is>
      </c>
      <c r="AV20" s="2" t="inlineStr">
        <is>
          <t>BMW 326 : véhicule de catégorie « Voiture de tourisme », d'origine Allemagne. Motorisation recensée : Essence : 6 cylindres en ligne, moteur BMW d'environ 2,0 L.. Fiche de catalogue à compléter avec le rôle tactique et les caractéristiques de jeu.</t>
        </is>
      </c>
    </row>
    <row r="21" ht="60" customHeight="1">
      <c r="A21" s="2" t="inlineStr">
        <is>
          <t>VEH-020</t>
        </is>
      </c>
      <c r="B21" s="2" t="inlineStr">
        <is>
          <t>Voitures civiles et utilitaires légers</t>
        </is>
      </c>
      <c r="C21" s="2" t="inlineStr">
        <is>
          <t>Fiat 508 Balilla</t>
        </is>
      </c>
      <c r="D21" s="2" t="inlineStr">
        <is>
          <t>À distinguer si plusieurs variantes</t>
        </is>
      </c>
      <c r="E21" s="2" t="inlineStr">
        <is>
          <t>Italie</t>
        </is>
      </c>
      <c r="F21" s="2" t="inlineStr">
        <is>
          <t>À documenter</t>
        </is>
      </c>
      <c r="G21" s="2" t="inlineStr">
        <is>
          <t>À confirmer</t>
        </is>
      </c>
      <c r="H21" s="2" t="inlineStr">
        <is>
          <t>Voiture de tourisme</t>
        </is>
      </c>
      <c r="I21" s="2" t="inlineStr">
        <is>
          <t>À définir</t>
        </is>
      </c>
      <c r="J21" s="2" t="n"/>
      <c r="K21" s="2" t="n"/>
      <c r="L21" s="2" t="n"/>
      <c r="M21" s="2" t="n"/>
      <c r="N21" s="2" t="n"/>
      <c r="O21" s="2" t="n"/>
      <c r="P21" s="2" t="inlineStr">
        <is>
          <t>Essence : 4 cylindres en ligne, environ 1,0 L sur la 508 d'origine ; premières versions à soupapes latérales, variantes ultérieures à vérifier.</t>
        </is>
      </c>
      <c r="Q21" s="2" t="n"/>
      <c r="R21" s="2" t="n"/>
      <c r="S21" s="2" t="inlineStr">
        <is>
          <t>À confirmer</t>
        </is>
      </c>
      <c r="T21" s="2" t="n"/>
      <c r="U21" s="2" t="n"/>
      <c r="V21" s="2" t="n"/>
      <c r="W21" s="2" t="n"/>
      <c r="X21" s="2" t="inlineStr">
        <is>
          <t>À documenter</t>
        </is>
      </c>
      <c r="Y21" s="2" t="inlineStr">
        <is>
          <t>À documenter</t>
        </is>
      </c>
      <c r="Z21" s="2" t="inlineStr">
        <is>
          <t>À documenter</t>
        </is>
      </c>
      <c r="AA21" s="2" t="inlineStr">
        <is>
          <t>À documenter</t>
        </is>
      </c>
      <c r="AB21" s="2" t="inlineStr">
        <is>
          <t>À documenter</t>
        </is>
      </c>
      <c r="AC21" s="2" t="inlineStr">
        <is>
          <t>Aucun armement fixe standard identifié; arme individuelle/affût de campagne possible selon usage</t>
        </is>
      </c>
      <c r="AD21" s="2" t="inlineStr">
        <is>
          <t>À documenter</t>
        </is>
      </c>
      <c r="AE21" s="2" t="inlineStr">
        <is>
          <t>À documenter</t>
        </is>
      </c>
      <c r="AF21" s="2" t="inlineStr">
        <is>
          <t>À définir</t>
        </is>
      </c>
      <c r="AG21" s="2" t="inlineStr">
        <is>
          <t>À définir</t>
        </is>
      </c>
      <c r="AH21" s="2" t="inlineStr">
        <is>
          <t>Réparation d’origine si véhicule complet ; démontage si incomplet</t>
        </is>
      </c>
      <c r="AI21" s="2" t="inlineStr">
        <is>
          <t>À documenter</t>
        </is>
      </c>
      <c r="AJ21" s="2" t="inlineStr">
        <is>
          <t>Famille propre à la Fiat 508 ; ne pas confondre avec le moteur plus moderne de la 508 C/Fiat 1100.</t>
        </is>
      </c>
      <c r="AK21" s="2" t="inlineStr">
        <is>
          <t>À documenter</t>
        </is>
      </c>
      <c r="AL21" s="2" t="inlineStr">
        <is>
          <t>À rechercher / voir sources historiques</t>
        </is>
      </c>
      <c r="AM21" s="2" t="inlineStr">
        <is>
          <t>https://fr.wikipedia.org/wiki/Fiat_508_Balilla</t>
        </is>
      </c>
      <c r="AN21" s="2" t="inlineStr">
        <is>
          <t>Source de niveau variable ; contrôle par variante nécessaire</t>
        </is>
      </c>
      <c r="AO21" s="2" t="inlineStr">
        <is>
          <t>Non renseigné</t>
        </is>
      </c>
      <c r="AP21" s="2" t="inlineStr">
        <is>
          <t>Faible</t>
        </is>
      </c>
      <c r="AQ21" s="2" t="inlineStr">
        <is>
          <t>Élevé</t>
        </is>
      </c>
      <c r="AR21" s="2" t="inlineStr">
        <is>
          <t>Partiel — fiche à compléter</t>
        </is>
      </c>
      <c r="AS21" s="2" t="inlineStr">
        <is>
          <t>P2/P3</t>
        </is>
      </c>
      <c r="AT21" s="2" t="inlineStr">
        <is>
          <t>La 508 C, appelée ensuite Fiat 1100, reçoit une motorisation distincte.</t>
        </is>
      </c>
      <c r="AU21" s="2" t="inlineStr">
        <is>
          <t>À intégrer après validation du prototype</t>
        </is>
      </c>
      <c r="AV21" s="2" t="inlineStr">
        <is>
          <t>Fiat 508 Balilla : véhicule de catégorie « Voiture de tourisme », d'origine Italie. Motorisation recensée : Essence : 4 cylindres en ligne, environ 1,0 L sur la 508 d'origine. Fiche de catalogue à compléter avec le rôle tactique et les caractéristiques de jeu.</t>
        </is>
      </c>
    </row>
    <row r="22" ht="60" customHeight="1">
      <c r="A22" s="2" t="inlineStr">
        <is>
          <t>VEH-021</t>
        </is>
      </c>
      <c r="B22" s="2" t="inlineStr">
        <is>
          <t>Voitures civiles et utilitaires légers</t>
        </is>
      </c>
      <c r="C22" s="2" t="inlineStr">
        <is>
          <t>Fiat 1100</t>
        </is>
      </c>
      <c r="D22" s="2" t="inlineStr">
        <is>
          <t>À distinguer si plusieurs variantes</t>
        </is>
      </c>
      <c r="E22" s="2" t="inlineStr">
        <is>
          <t>Italie</t>
        </is>
      </c>
      <c r="F22" s="2" t="inlineStr">
        <is>
          <t>À documenter</t>
        </is>
      </c>
      <c r="G22" s="2" t="inlineStr">
        <is>
          <t>À confirmer</t>
        </is>
      </c>
      <c r="H22" s="2" t="inlineStr">
        <is>
          <t>Voiture de tourisme</t>
        </is>
      </c>
      <c r="I22" s="2" t="inlineStr">
        <is>
          <t>À définir</t>
        </is>
      </c>
      <c r="J22" s="2" t="n"/>
      <c r="K22" s="2" t="n"/>
      <c r="L22" s="2" t="n"/>
      <c r="M22" s="2" t="n"/>
      <c r="N22" s="2" t="n"/>
      <c r="O22" s="2" t="n"/>
      <c r="P22" s="2" t="inlineStr">
        <is>
          <t>Essence : 4 cylindres en ligne à soupapes en tête, moteur Fiat type 108C sur la 508 C de 1937.</t>
        </is>
      </c>
      <c r="Q22" s="2" t="n"/>
      <c r="R22" s="2" t="n"/>
      <c r="S22" s="2" t="inlineStr">
        <is>
          <t>À confirmer</t>
        </is>
      </c>
      <c r="T22" s="2" t="n"/>
      <c r="U22" s="2" t="n"/>
      <c r="V22" s="2" t="n"/>
      <c r="W22" s="2" t="n"/>
      <c r="X22" s="2" t="inlineStr">
        <is>
          <t>À documenter</t>
        </is>
      </c>
      <c r="Y22" s="2" t="inlineStr">
        <is>
          <t>À documenter</t>
        </is>
      </c>
      <c r="Z22" s="2" t="inlineStr">
        <is>
          <t>À documenter</t>
        </is>
      </c>
      <c r="AA22" s="2" t="inlineStr">
        <is>
          <t>À documenter</t>
        </is>
      </c>
      <c r="AB22" s="2" t="inlineStr">
        <is>
          <t>À documenter</t>
        </is>
      </c>
      <c r="AC22" s="2" t="inlineStr">
        <is>
          <t>Aucun armement fixe standard identifié; arme individuelle/affût de campagne possible selon usage</t>
        </is>
      </c>
      <c r="AD22" s="2" t="inlineStr">
        <is>
          <t>À documenter</t>
        </is>
      </c>
      <c r="AE22" s="2" t="inlineStr">
        <is>
          <t>À documenter</t>
        </is>
      </c>
      <c r="AF22" s="2" t="inlineStr">
        <is>
          <t>À définir</t>
        </is>
      </c>
      <c r="AG22" s="2" t="inlineStr">
        <is>
          <t>À définir</t>
        </is>
      </c>
      <c r="AH22" s="2" t="inlineStr">
        <is>
          <t>Réparation d’origine si véhicule complet ; démontage si incomplet</t>
        </is>
      </c>
      <c r="AI22" s="2" t="inlineStr">
        <is>
          <t>À documenter</t>
        </is>
      </c>
      <c r="AJ22" s="2" t="inlineStr">
        <is>
          <t>Famille partagée entre Fiat 508 C et Fiat 1100 initiale ; valider les versions et les supports avant d'étendre à d'autres Fiat.</t>
        </is>
      </c>
      <c r="AK22" s="2" t="inlineStr">
        <is>
          <t>À documenter</t>
        </is>
      </c>
      <c r="AL22" s="2" t="inlineStr">
        <is>
          <t>À rechercher / voir sources historiques</t>
        </is>
      </c>
      <c r="AM22" s="2" t="inlineStr">
        <is>
          <t>https://www.carabinieri.it/chi-siamo/ieri/mezzi/dalla-balilla- ; https://en.wikipedia.org/wiki/Fiat_1100_(1937)</t>
        </is>
      </c>
      <c r="AN22" s="2" t="inlineStr">
        <is>
          <t>Source de niveau variable ; contrôle par variante nécessaire</t>
        </is>
      </c>
      <c r="AO22" s="2" t="inlineStr">
        <is>
          <t>Non renseigné</t>
        </is>
      </c>
      <c r="AP22" s="2" t="inlineStr">
        <is>
          <t>Faible</t>
        </is>
      </c>
      <c r="AQ22" s="2" t="inlineStr">
        <is>
          <t>Élevé</t>
        </is>
      </c>
      <c r="AR22" s="2" t="inlineStr">
        <is>
          <t>Partiel — fiche à compléter</t>
        </is>
      </c>
      <c r="AS22" s="2" t="inlineStr">
        <is>
          <t>P2/P3</t>
        </is>
      </c>
      <c r="AT22" s="2" t="inlineStr">
        <is>
          <t>Le moteur de la 508 C est différent du moteur de la Balilla originale.</t>
        </is>
      </c>
      <c r="AU22" s="2" t="inlineStr">
        <is>
          <t>À intégrer après validation du prototype</t>
        </is>
      </c>
      <c r="AV22" s="2" t="inlineStr">
        <is>
          <t>Fiat 1100 : véhicule de catégorie « Voiture de tourisme », d'origine Italie. Motorisation recensée : Essence : 4 cylindres en ligne à soupapes en tête, moteur Fiat type 108C sur la 508 C de 1937.. Fiche de catalogue à compléter avec le rôle tactique et les caractéristiques de jeu.</t>
        </is>
      </c>
    </row>
    <row r="23" ht="60" customHeight="1">
      <c r="A23" s="2" t="inlineStr">
        <is>
          <t>VEH-022</t>
        </is>
      </c>
      <c r="B23" s="2" t="inlineStr">
        <is>
          <t>Voitures civiles et utilitaires légers</t>
        </is>
      </c>
      <c r="C23" s="2" t="inlineStr">
        <is>
          <t>Lancia Aprilia</t>
        </is>
      </c>
      <c r="D23" s="2" t="inlineStr">
        <is>
          <t>À distinguer si plusieurs variantes</t>
        </is>
      </c>
      <c r="E23" s="2" t="inlineStr">
        <is>
          <t>Italie</t>
        </is>
      </c>
      <c r="F23" s="2" t="inlineStr">
        <is>
          <t>À documenter</t>
        </is>
      </c>
      <c r="G23" s="2" t="inlineStr">
        <is>
          <t>À confirmer</t>
        </is>
      </c>
      <c r="H23" s="2" t="inlineStr">
        <is>
          <t>Voiture de tourisme</t>
        </is>
      </c>
      <c r="I23" s="2" t="inlineStr">
        <is>
          <t>À définir</t>
        </is>
      </c>
      <c r="J23" s="2" t="n"/>
      <c r="K23" s="2" t="n"/>
      <c r="L23" s="2" t="n"/>
      <c r="M23" s="2" t="n"/>
      <c r="N23" s="2" t="n"/>
      <c r="O23" s="2" t="n"/>
      <c r="P23" s="2" t="inlineStr">
        <is>
          <t>Essence : V4 à angle très fermé (moteur V étroit), environ 1,35 L pour la première série d'avant-guerre.</t>
        </is>
      </c>
      <c r="Q23" s="2" t="n"/>
      <c r="R23" s="2" t="n"/>
      <c r="S23" s="2" t="inlineStr">
        <is>
          <t>À confirmer</t>
        </is>
      </c>
      <c r="T23" s="2" t="n"/>
      <c r="U23" s="2" t="n"/>
      <c r="V23" s="2" t="n"/>
      <c r="W23" s="2" t="n"/>
      <c r="X23" s="2" t="inlineStr">
        <is>
          <t>À documenter</t>
        </is>
      </c>
      <c r="Y23" s="2" t="inlineStr">
        <is>
          <t>À documenter</t>
        </is>
      </c>
      <c r="Z23" s="2" t="inlineStr">
        <is>
          <t>À documenter</t>
        </is>
      </c>
      <c r="AA23" s="2" t="inlineStr">
        <is>
          <t>À documenter</t>
        </is>
      </c>
      <c r="AB23" s="2" t="inlineStr">
        <is>
          <t>À documenter</t>
        </is>
      </c>
      <c r="AC23" s="2" t="inlineStr">
        <is>
          <t>Aucun armement fixe standard identifié; arme individuelle/affût de campagne possible selon usage</t>
        </is>
      </c>
      <c r="AD23" s="2" t="inlineStr">
        <is>
          <t>À documenter</t>
        </is>
      </c>
      <c r="AE23" s="2" t="inlineStr">
        <is>
          <t>À documenter</t>
        </is>
      </c>
      <c r="AF23" s="2" t="inlineStr">
        <is>
          <t>À définir</t>
        </is>
      </c>
      <c r="AG23" s="2" t="inlineStr">
        <is>
          <t>À définir</t>
        </is>
      </c>
      <c r="AH23" s="2" t="inlineStr">
        <is>
          <t>Réparation d’origine si véhicule complet ; démontage si incomplet</t>
        </is>
      </c>
      <c r="AI23" s="2" t="inlineStr">
        <is>
          <t>À documenter</t>
        </is>
      </c>
      <c r="AJ23" s="2" t="inlineStr">
        <is>
          <t>Architecture rare et compacte ; famille distincte des V4 conventionnels. La géométrie et l'accès mécanique doivent être spécifiques.</t>
        </is>
      </c>
      <c r="AK23" s="2" t="inlineStr">
        <is>
          <t>À documenter</t>
        </is>
      </c>
      <c r="AL23" s="2" t="inlineStr">
        <is>
          <t>À rechercher / voir sources historiques</t>
        </is>
      </c>
      <c r="AM23" s="2" t="inlineStr">
        <is>
          <t>https://www.fmm.co.za/collection-in-action-lancia-aprilia/</t>
        </is>
      </c>
      <c r="AN23" s="2" t="inlineStr">
        <is>
          <t>Source de niveau variable ; contrôle par variante nécessaire</t>
        </is>
      </c>
      <c r="AO23" s="2" t="inlineStr">
        <is>
          <t>Non renseigné</t>
        </is>
      </c>
      <c r="AP23" s="2" t="inlineStr">
        <is>
          <t>Faible</t>
        </is>
      </c>
      <c r="AQ23" s="2" t="inlineStr">
        <is>
          <t>Élevé</t>
        </is>
      </c>
      <c r="AR23" s="2" t="inlineStr">
        <is>
          <t>Partiel — fiche à compléter</t>
        </is>
      </c>
      <c r="AS23" s="2" t="inlineStr">
        <is>
          <t>P2/P3</t>
        </is>
      </c>
      <c r="AT23" s="2" t="inlineStr">
        <is>
          <t>La motorisation d'avant-guerre est distincte de l'évolution de cylindrée introduite après-guerre.</t>
        </is>
      </c>
      <c r="AU23" s="2" t="inlineStr">
        <is>
          <t>À intégrer après validation du prototype</t>
        </is>
      </c>
      <c r="AV23" s="2" t="inlineStr">
        <is>
          <t>Lancia Aprilia : véhicule de catégorie « Voiture de tourisme », d'origine Italie. Motorisation recensée : Essence : V4 à angle très fermé (moteur V étroit), environ 1,35 L pour la première série d'avant-guerre.. Fiche de catalogue à compléter avec le rôle tactique et les caractéristiques de jeu.</t>
        </is>
      </c>
    </row>
    <row r="24" ht="60" customHeight="1">
      <c r="A24" s="2" t="inlineStr">
        <is>
          <t>VEH-023</t>
        </is>
      </c>
      <c r="B24" s="2" t="inlineStr">
        <is>
          <t>Voitures civiles et utilitaires légers</t>
        </is>
      </c>
      <c r="C24" s="2" t="inlineStr">
        <is>
          <t>Austin 10</t>
        </is>
      </c>
      <c r="D24" s="2" t="inlineStr">
        <is>
          <t>À distinguer si plusieurs variantes</t>
        </is>
      </c>
      <c r="E24" s="2" t="inlineStr">
        <is>
          <t>Royaume-Uni</t>
        </is>
      </c>
      <c r="F24" s="2" t="inlineStr">
        <is>
          <t>À documenter</t>
        </is>
      </c>
      <c r="G24" s="2" t="inlineStr">
        <is>
          <t>À confirmer</t>
        </is>
      </c>
      <c r="H24" s="2" t="inlineStr">
        <is>
          <t>Voiture de tourisme</t>
        </is>
      </c>
      <c r="I24" s="2" t="inlineStr">
        <is>
          <t>À définir</t>
        </is>
      </c>
      <c r="J24" s="2" t="n"/>
      <c r="K24" s="2" t="n"/>
      <c r="L24" s="2" t="n"/>
      <c r="M24" s="2" t="n"/>
      <c r="N24" s="2" t="n"/>
      <c r="O24" s="2" t="n"/>
      <c r="P24" s="2" t="inlineStr">
        <is>
          <t>Essence : 4 cylindres en ligne à soupapes latérales, environ 1,1 L.</t>
        </is>
      </c>
      <c r="Q24" s="2" t="n"/>
      <c r="R24" s="2" t="n"/>
      <c r="S24" s="2" t="inlineStr">
        <is>
          <t>À confirmer</t>
        </is>
      </c>
      <c r="T24" s="2" t="n"/>
      <c r="U24" s="2" t="n"/>
      <c r="V24" s="2" t="n"/>
      <c r="W24" s="2" t="n"/>
      <c r="X24" s="2" t="inlineStr">
        <is>
          <t>À documenter</t>
        </is>
      </c>
      <c r="Y24" s="2" t="inlineStr">
        <is>
          <t>À documenter</t>
        </is>
      </c>
      <c r="Z24" s="2" t="inlineStr">
        <is>
          <t>À documenter</t>
        </is>
      </c>
      <c r="AA24" s="2" t="inlineStr">
        <is>
          <t>À documenter</t>
        </is>
      </c>
      <c r="AB24" s="2" t="inlineStr">
        <is>
          <t>À documenter</t>
        </is>
      </c>
      <c r="AC24" s="2" t="inlineStr">
        <is>
          <t>Aucun armement fixe standard identifié; arme individuelle/affût de campagne possible selon usage</t>
        </is>
      </c>
      <c r="AD24" s="2" t="inlineStr">
        <is>
          <t>À documenter</t>
        </is>
      </c>
      <c r="AE24" s="2" t="inlineStr">
        <is>
          <t>À documenter</t>
        </is>
      </c>
      <c r="AF24" s="2" t="inlineStr">
        <is>
          <t>À définir</t>
        </is>
      </c>
      <c r="AG24" s="2" t="inlineStr">
        <is>
          <t>À définir</t>
        </is>
      </c>
      <c r="AH24" s="2" t="inlineStr">
        <is>
          <t>Réparation d’origine si véhicule complet ; démontage si incomplet</t>
        </is>
      </c>
      <c r="AI24" s="2" t="inlineStr">
        <is>
          <t>À documenter</t>
        </is>
      </c>
      <c r="AJ24" s="2" t="inlineStr">
        <is>
          <t>Famille de petite voiture britannique ; compatibilité avec Morris à évaluer, sans les fusionner par défaut.</t>
        </is>
      </c>
      <c r="AK24" s="2" t="inlineStr">
        <is>
          <t>À documenter</t>
        </is>
      </c>
      <c r="AL24" s="2" t="inlineStr">
        <is>
          <t>À rechercher / voir sources historiques</t>
        </is>
      </c>
      <c r="AM24" s="2" t="inlineStr">
        <is>
          <t>https://www.ivvcc.ie/wp-content/uploads/2019/10/Summer-2019.pdf ; https://en.wikipedia.org/wiki/Austin_10</t>
        </is>
      </c>
      <c r="AN24" s="2" t="inlineStr">
        <is>
          <t>Source de niveau variable ; contrôle par variante nécessaire</t>
        </is>
      </c>
      <c r="AO24" s="2" t="inlineStr">
        <is>
          <t>Non renseigné</t>
        </is>
      </c>
      <c r="AP24" s="2" t="inlineStr">
        <is>
          <t>Faible</t>
        </is>
      </c>
      <c r="AQ24" s="2" t="inlineStr">
        <is>
          <t>Élevé</t>
        </is>
      </c>
      <c r="AR24" s="2" t="inlineStr">
        <is>
          <t>Partiel — fiche à compléter</t>
        </is>
      </c>
      <c r="AS24" s="2" t="inlineStr">
        <is>
          <t>P2/P3</t>
        </is>
      </c>
      <c r="AT24" s="2" t="inlineStr">
        <is>
          <t>Les variantes de carrosserie ne changent pas nécessairement le moteur, mais le millésime doit être enregistré.</t>
        </is>
      </c>
      <c r="AU24" s="2" t="inlineStr">
        <is>
          <t>À intégrer après validation du prototype</t>
        </is>
      </c>
      <c r="AV24" s="2" t="inlineStr">
        <is>
          <t>Austin 10 : véhicule de catégorie « Voiture de tourisme », d'origine Royaume-Uni. Motorisation recensée : Essence : 4 cylindres en ligne à soupapes latérales, environ 1,1 L.. Fiche de catalogue à compléter avec le rôle tactique et les caractéristiques de jeu.</t>
        </is>
      </c>
    </row>
    <row r="25" ht="60" customHeight="1">
      <c r="A25" s="2" t="inlineStr">
        <is>
          <t>VEH-024</t>
        </is>
      </c>
      <c r="B25" s="2" t="inlineStr">
        <is>
          <t>Voitures civiles et utilitaires légers</t>
        </is>
      </c>
      <c r="C25" s="2" t="inlineStr">
        <is>
          <t>Morris 8</t>
        </is>
      </c>
      <c r="D25" s="2" t="inlineStr">
        <is>
          <t>À distinguer si plusieurs variantes</t>
        </is>
      </c>
      <c r="E25" s="2" t="inlineStr">
        <is>
          <t>Royaume-Uni</t>
        </is>
      </c>
      <c r="F25" s="2" t="inlineStr">
        <is>
          <t>À documenter</t>
        </is>
      </c>
      <c r="G25" s="2" t="inlineStr">
        <is>
          <t>À confirmer</t>
        </is>
      </c>
      <c r="H25" s="2" t="inlineStr">
        <is>
          <t>Voiture de tourisme</t>
        </is>
      </c>
      <c r="I25" s="2" t="inlineStr">
        <is>
          <t>À définir</t>
        </is>
      </c>
      <c r="J25" s="2" t="n"/>
      <c r="K25" s="2" t="n"/>
      <c r="L25" s="2" t="n"/>
      <c r="M25" s="2" t="n"/>
      <c r="N25" s="2" t="n"/>
      <c r="O25" s="2" t="n"/>
      <c r="P25" s="2" t="inlineStr">
        <is>
          <t>Essence : 4 cylindres en ligne à soupapes latérales, moteur Morris Type UB, environ 0,92 L.</t>
        </is>
      </c>
      <c r="Q25" s="2" t="n"/>
      <c r="R25" s="2" t="n"/>
      <c r="S25" s="2" t="inlineStr">
        <is>
          <t>À confirmer</t>
        </is>
      </c>
      <c r="T25" s="2" t="n"/>
      <c r="U25" s="2" t="n"/>
      <c r="V25" s="2" t="n"/>
      <c r="W25" s="2" t="n"/>
      <c r="X25" s="2" t="inlineStr">
        <is>
          <t>À documenter</t>
        </is>
      </c>
      <c r="Y25" s="2" t="inlineStr">
        <is>
          <t>À documenter</t>
        </is>
      </c>
      <c r="Z25" s="2" t="inlineStr">
        <is>
          <t>À documenter</t>
        </is>
      </c>
      <c r="AA25" s="2" t="inlineStr">
        <is>
          <t>À documenter</t>
        </is>
      </c>
      <c r="AB25" s="2" t="inlineStr">
        <is>
          <t>À documenter</t>
        </is>
      </c>
      <c r="AC25" s="2" t="inlineStr">
        <is>
          <t>Aucun armement fixe standard identifié; arme individuelle/affût de campagne possible selon usage</t>
        </is>
      </c>
      <c r="AD25" s="2" t="inlineStr">
        <is>
          <t>À documenter</t>
        </is>
      </c>
      <c r="AE25" s="2" t="inlineStr">
        <is>
          <t>À documenter</t>
        </is>
      </c>
      <c r="AF25" s="2" t="inlineStr">
        <is>
          <t>À définir</t>
        </is>
      </c>
      <c r="AG25" s="2" t="inlineStr">
        <is>
          <t>À définir</t>
        </is>
      </c>
      <c r="AH25" s="2" t="inlineStr">
        <is>
          <t>Réparation d’origine si véhicule complet ; démontage si incomplet</t>
        </is>
      </c>
      <c r="AI25" s="2" t="inlineStr">
        <is>
          <t>À documenter</t>
        </is>
      </c>
      <c r="AJ25" s="2" t="inlineStr">
        <is>
          <t>Famille compacte distincte de l'Austin 10 ; compatibilité avec d'autres moteurs britanniques à vérifier.</t>
        </is>
      </c>
      <c r="AK25" s="2" t="inlineStr">
        <is>
          <t>À documenter</t>
        </is>
      </c>
      <c r="AL25" s="2" t="inlineStr">
        <is>
          <t>À rechercher / voir sources historiques</t>
        </is>
      </c>
      <c r="AM25" s="2" t="inlineStr">
        <is>
          <t>https://www.christies.com/en/lot/lot-889151 ; https://www.motor-car.net/morris/item/12152-eight-series-i-1935-37</t>
        </is>
      </c>
      <c r="AN25" s="2" t="inlineStr">
        <is>
          <t>Source de niveau variable ; contrôle par variante nécessaire</t>
        </is>
      </c>
      <c r="AO25" s="2" t="inlineStr">
        <is>
          <t>Non renseigné</t>
        </is>
      </c>
      <c r="AP25" s="2" t="inlineStr">
        <is>
          <t>Faible</t>
        </is>
      </c>
      <c r="AQ25" s="2" t="inlineStr">
        <is>
          <t>Élevé</t>
        </is>
      </c>
      <c r="AR25" s="2" t="inlineStr">
        <is>
          <t>Partiel — fiche à compléter</t>
        </is>
      </c>
      <c r="AS25" s="2" t="inlineStr">
        <is>
          <t>P2/P3</t>
        </is>
      </c>
      <c r="AT25" s="2" t="inlineStr">
        <is>
          <t>Les caractéristiques citées concernent les premières séries Morris Eight.</t>
        </is>
      </c>
      <c r="AU25" s="2" t="inlineStr">
        <is>
          <t>À intégrer après validation du prototype</t>
        </is>
      </c>
      <c r="AV25" s="2" t="inlineStr">
        <is>
          <t>Morris 8 : véhicule de catégorie « Voiture de tourisme », d'origine Royaume-Uni. Motorisation recensée : Essence : 4 cylindres en ligne à soupapes latérales, moteur Morris Type UB, environ 0,92 L.. Fiche de catalogue à compléter avec le rôle tactique et les caractéristiques de jeu.</t>
        </is>
      </c>
    </row>
    <row r="26" ht="60" customHeight="1">
      <c r="A26" s="2" t="inlineStr">
        <is>
          <t>VEH-025</t>
        </is>
      </c>
      <c r="B26" s="2" t="inlineStr">
        <is>
          <t>Motos et side-cars</t>
        </is>
      </c>
      <c r="C26" s="2" t="inlineStr">
        <is>
          <t>Harley-Davidson WLA</t>
        </is>
      </c>
      <c r="D26" s="2" t="inlineStr">
        <is>
          <t>À distinguer si plusieurs variantes</t>
        </is>
      </c>
      <c r="E26" s="2" t="inlineStr">
        <is>
          <t>États-Unis</t>
        </is>
      </c>
      <c r="F26" s="2" t="inlineStr">
        <is>
          <t>À documenter</t>
        </is>
      </c>
      <c r="G26" s="2" t="inlineStr">
        <is>
          <t>À confirmer</t>
        </is>
      </c>
      <c r="H26" s="2" t="inlineStr">
        <is>
          <t>Moto militaire</t>
        </is>
      </c>
      <c r="I26" s="2" t="inlineStr">
        <is>
          <t>À définir</t>
        </is>
      </c>
      <c r="J26" s="2" t="n"/>
      <c r="K26" s="2" t="n"/>
      <c r="L26" s="2" t="n"/>
      <c r="M26" s="2" t="n"/>
      <c r="N26" s="2" t="n"/>
      <c r="O26" s="2" t="n"/>
      <c r="P26" s="2" t="inlineStr">
        <is>
          <t>À rechercher</t>
        </is>
      </c>
      <c r="Q26" s="2" t="n"/>
      <c r="R26" s="2" t="n"/>
      <c r="S26" s="2" t="inlineStr">
        <is>
          <t>À confirmer</t>
        </is>
      </c>
      <c r="T26" s="2" t="n"/>
      <c r="U26" s="2" t="n"/>
      <c r="V26" s="2" t="n"/>
      <c r="W26" s="2" t="n"/>
      <c r="X26" s="2" t="inlineStr">
        <is>
          <t>À documenter</t>
        </is>
      </c>
      <c r="Y26" s="2" t="inlineStr">
        <is>
          <t>À documenter</t>
        </is>
      </c>
      <c r="Z26" s="2" t="inlineStr">
        <is>
          <t>À documenter</t>
        </is>
      </c>
      <c r="AA26" s="2" t="inlineStr">
        <is>
          <t>À documenter</t>
        </is>
      </c>
      <c r="AB26" s="2" t="inlineStr">
        <is>
          <t>À documenter</t>
        </is>
      </c>
      <c r="AC26" s="2" t="inlineStr">
        <is>
          <t>Aucun armement d'origine</t>
        </is>
      </c>
      <c r="AD26" s="2" t="inlineStr">
        <is>
          <t>À documenter</t>
        </is>
      </c>
      <c r="AE26" s="2" t="inlineStr">
        <is>
          <t>À documenter</t>
        </is>
      </c>
      <c r="AF26" s="2" t="inlineStr">
        <is>
          <t>À définir</t>
        </is>
      </c>
      <c r="AG26" s="2" t="inlineStr">
        <is>
          <t>À définir</t>
        </is>
      </c>
      <c r="AH26" s="2" t="inlineStr">
        <is>
          <t>Réparation d’origine si véhicule complet ; démontage si incomplet</t>
        </is>
      </c>
      <c r="AI26" s="2" t="inlineStr">
        <is>
          <t>À documenter</t>
        </is>
      </c>
      <c r="AJ26" s="2" t="inlineStr">
        <is>
          <t>À définir</t>
        </is>
      </c>
      <c r="AK26" s="2" t="inlineStr">
        <is>
          <t>À documenter</t>
        </is>
      </c>
      <c r="AL26" s="2" t="inlineStr">
        <is>
          <t>À rechercher / voir sources historiques</t>
        </is>
      </c>
      <c r="AM26" s="2" t="inlineStr">
        <is>
          <t>À rechercher</t>
        </is>
      </c>
      <c r="AN26" s="2" t="inlineStr">
        <is>
          <t>Source de niveau variable ; contrôle par variante nécessaire</t>
        </is>
      </c>
      <c r="AO26" s="2" t="inlineStr">
        <is>
          <t>Non renseigné</t>
        </is>
      </c>
      <c r="AP26" s="2" t="inlineStr">
        <is>
          <t>Faible</t>
        </is>
      </c>
      <c r="AQ26" s="2" t="inlineStr">
        <is>
          <t>Élevé</t>
        </is>
      </c>
      <c r="AR26" s="2" t="inlineStr">
        <is>
          <t>Partiel — fiche à compléter</t>
        </is>
      </c>
      <c r="AS26" s="2" t="inlineStr">
        <is>
          <t>P2/P3</t>
        </is>
      </c>
      <c r="AT26" s="2" t="inlineStr">
        <is>
          <t>Modèle à valider historiquement avant verrouillage</t>
        </is>
      </c>
      <c r="AU26" s="2" t="inlineStr">
        <is>
          <t>À intégrer après validation du prototype</t>
        </is>
      </c>
      <c r="AV26" s="2" t="inlineStr">
        <is>
          <t>Harley-Davidson WLA : véhicule de catégorie « Moto militaire », d'origine États-Unis. Motorisation recensée : À rechercher. Fiche de catalogue à compléter avec le rôle tactique et les caractéristiques de jeu.</t>
        </is>
      </c>
    </row>
    <row r="27" ht="60" customHeight="1">
      <c r="A27" s="2" t="inlineStr">
        <is>
          <t>VEH-026</t>
        </is>
      </c>
      <c r="B27" s="2" t="inlineStr">
        <is>
          <t>Motos et side-cars</t>
        </is>
      </c>
      <c r="C27" s="2" t="inlineStr">
        <is>
          <t>Indian 741</t>
        </is>
      </c>
      <c r="D27" s="2" t="inlineStr">
        <is>
          <t>À distinguer si plusieurs variantes</t>
        </is>
      </c>
      <c r="E27" s="2" t="inlineStr">
        <is>
          <t>États-Unis</t>
        </is>
      </c>
      <c r="F27" s="2" t="inlineStr">
        <is>
          <t>À documenter</t>
        </is>
      </c>
      <c r="G27" s="2" t="inlineStr">
        <is>
          <t>À confirmer</t>
        </is>
      </c>
      <c r="H27" s="2" t="inlineStr">
        <is>
          <t>Moto militaire</t>
        </is>
      </c>
      <c r="I27" s="2" t="inlineStr">
        <is>
          <t>À définir</t>
        </is>
      </c>
      <c r="J27" s="2" t="n"/>
      <c r="K27" s="2" t="n"/>
      <c r="L27" s="2" t="n"/>
      <c r="M27" s="2" t="n"/>
      <c r="N27" s="2" t="n"/>
      <c r="O27" s="2" t="n"/>
      <c r="P27" s="2" t="inlineStr">
        <is>
          <t>À rechercher</t>
        </is>
      </c>
      <c r="Q27" s="2" t="n"/>
      <c r="R27" s="2" t="n"/>
      <c r="S27" s="2" t="inlineStr">
        <is>
          <t>À confirmer</t>
        </is>
      </c>
      <c r="T27" s="2" t="n"/>
      <c r="U27" s="2" t="n"/>
      <c r="V27" s="2" t="n"/>
      <c r="W27" s="2" t="n"/>
      <c r="X27" s="2" t="inlineStr">
        <is>
          <t>À documenter</t>
        </is>
      </c>
      <c r="Y27" s="2" t="inlineStr">
        <is>
          <t>À documenter</t>
        </is>
      </c>
      <c r="Z27" s="2" t="inlineStr">
        <is>
          <t>À documenter</t>
        </is>
      </c>
      <c r="AA27" s="2" t="inlineStr">
        <is>
          <t>À documenter</t>
        </is>
      </c>
      <c r="AB27" s="2" t="inlineStr">
        <is>
          <t>À documenter</t>
        </is>
      </c>
      <c r="AC27" s="2" t="inlineStr">
        <is>
          <t>Aucun armement d'origine</t>
        </is>
      </c>
      <c r="AD27" s="2" t="inlineStr">
        <is>
          <t>À documenter</t>
        </is>
      </c>
      <c r="AE27" s="2" t="inlineStr">
        <is>
          <t>À documenter</t>
        </is>
      </c>
      <c r="AF27" s="2" t="inlineStr">
        <is>
          <t>À définir</t>
        </is>
      </c>
      <c r="AG27" s="2" t="inlineStr">
        <is>
          <t>À définir</t>
        </is>
      </c>
      <c r="AH27" s="2" t="inlineStr">
        <is>
          <t>Réparation d’origine si véhicule complet ; démontage si incomplet</t>
        </is>
      </c>
      <c r="AI27" s="2" t="inlineStr">
        <is>
          <t>À documenter</t>
        </is>
      </c>
      <c r="AJ27" s="2" t="inlineStr">
        <is>
          <t>À définir</t>
        </is>
      </c>
      <c r="AK27" s="2" t="inlineStr">
        <is>
          <t>À documenter</t>
        </is>
      </c>
      <c r="AL27" s="2" t="inlineStr">
        <is>
          <t>À rechercher / voir sources historiques</t>
        </is>
      </c>
      <c r="AM27" s="2" t="inlineStr">
        <is>
          <t>À rechercher</t>
        </is>
      </c>
      <c r="AN27" s="2" t="inlineStr">
        <is>
          <t>Source de niveau variable ; contrôle par variante nécessaire</t>
        </is>
      </c>
      <c r="AO27" s="2" t="inlineStr">
        <is>
          <t>Non renseigné</t>
        </is>
      </c>
      <c r="AP27" s="2" t="inlineStr">
        <is>
          <t>Faible</t>
        </is>
      </c>
      <c r="AQ27" s="2" t="inlineStr">
        <is>
          <t>Élevé</t>
        </is>
      </c>
      <c r="AR27" s="2" t="inlineStr">
        <is>
          <t>Partiel — fiche à compléter</t>
        </is>
      </c>
      <c r="AS27" s="2" t="inlineStr">
        <is>
          <t>P2/P3</t>
        </is>
      </c>
      <c r="AT27" s="2" t="inlineStr">
        <is>
          <t>Modèle à valider historiquement avant verrouillage</t>
        </is>
      </c>
      <c r="AU27" s="2" t="inlineStr">
        <is>
          <t>À intégrer après validation du prototype</t>
        </is>
      </c>
      <c r="AV27" s="2" t="inlineStr">
        <is>
          <t>Indian 741 : véhicule de catégorie « Moto militaire », d'origine États-Unis. Motorisation recensée : À rechercher. Fiche de catalogue à compléter avec le rôle tactique et les caractéristiques de jeu.</t>
        </is>
      </c>
    </row>
    <row r="28" ht="60" customHeight="1">
      <c r="A28" s="2" t="inlineStr">
        <is>
          <t>VEH-027</t>
        </is>
      </c>
      <c r="B28" s="2" t="inlineStr">
        <is>
          <t>Motos et side-cars</t>
        </is>
      </c>
      <c r="C28" s="2" t="inlineStr">
        <is>
          <t>BMW R75</t>
        </is>
      </c>
      <c r="D28" s="2" t="inlineStr">
        <is>
          <t>R75 militaire avec side-car moteur; distinguer les modifications de production</t>
        </is>
      </c>
      <c r="E28" s="2" t="inlineStr">
        <is>
          <t>Allemagne</t>
        </is>
      </c>
      <c r="F28" s="2" t="inlineStr">
        <is>
          <t>1941–1944</t>
        </is>
      </c>
      <c r="G28" s="2" t="inlineStr">
        <is>
          <t>Production en série limitée pendant la Seconde Guerre mondiale</t>
        </is>
      </c>
      <c r="H28" s="2" t="inlineStr">
        <is>
          <t>Moto militaire avec side-car moteur et marche arrière</t>
        </is>
      </c>
      <c r="I28" s="2" t="inlineStr">
        <is>
          <t>Éclaireur rapide; faible charge et protection</t>
        </is>
      </c>
      <c r="J28" s="2" t="inlineStr">
        <is>
          <t>≈ 420–430 avec side-car (selon équipement; à confirmer)</t>
        </is>
      </c>
      <c r="K28" s="2" t="n"/>
      <c r="L28" s="2" t="n">
        <v>2.35</v>
      </c>
      <c r="M28" s="2" t="n">
        <v>1.7</v>
      </c>
      <c r="N28" s="2" t="n">
        <v>1.1</v>
      </c>
      <c r="O28" s="2" t="n"/>
      <c r="P28" s="2" t="inlineStr">
        <is>
          <t>BMW 275/2, bicylindre boxer 4 temps refroidi par air</t>
        </is>
      </c>
      <c r="Q28" s="2" t="n">
        <v>0.745</v>
      </c>
      <c r="R28" s="2" t="inlineStr">
        <is>
          <t>≈ 26</t>
        </is>
      </c>
      <c r="S28" s="2" t="inlineStr">
        <is>
          <t>Essence</t>
        </is>
      </c>
      <c r="T28" s="2" t="n">
        <v>24</v>
      </c>
      <c r="U28" s="2" t="n"/>
      <c r="V28" s="2" t="n">
        <v>95</v>
      </c>
      <c r="W28" s="2" t="n"/>
      <c r="X28" s="2" t="inlineStr">
        <is>
          <t>2 sur moto + side-car (configuration)</t>
        </is>
      </c>
      <c r="Y28" s="2" t="inlineStr">
        <is>
          <t>À documenter</t>
        </is>
      </c>
      <c r="Z28" s="2" t="inlineStr">
        <is>
          <t>Boîte 4 rapports avec marche arrière; entraînement de la roue du side-car selon configuration</t>
        </is>
      </c>
      <c r="AA28" s="2" t="inlineStr">
        <is>
          <t>Fourche télescopique avant; roue du side-car motrice</t>
        </is>
      </c>
      <c r="AB28" s="2" t="inlineStr">
        <is>
          <t>À documenter</t>
        </is>
      </c>
      <c r="AC28" s="2" t="inlineStr">
        <is>
          <t>Aucun armement d'origine</t>
        </is>
      </c>
      <c r="AD28" s="2" t="inlineStr">
        <is>
          <t>À documenter</t>
        </is>
      </c>
      <c r="AE28" s="2" t="inlineStr">
        <is>
          <t>À documenter</t>
        </is>
      </c>
      <c r="AF28" s="2" t="inlineStr">
        <is>
          <t>À définir</t>
        </is>
      </c>
      <c r="AG28" s="2" t="inlineStr">
        <is>
          <t>À définir</t>
        </is>
      </c>
      <c r="AH28" s="2" t="inlineStr">
        <is>
          <t>Réparation d’origine si véhicule complet ; démontage si incomplet</t>
        </is>
      </c>
      <c r="AI28" s="2" t="inlineStr">
        <is>
          <t>À documenter</t>
        </is>
      </c>
      <c r="AJ28" s="2" t="inlineStr">
        <is>
          <t>À définir</t>
        </is>
      </c>
      <c r="AK28" s="2" t="inlineStr">
        <is>
          <t>À documenter</t>
        </is>
      </c>
      <c r="AL28" s="2" t="inlineStr">
        <is>
          <t>BMW Group Archives, fiche/présentation historique R75</t>
        </is>
      </c>
      <c r="AM28" s="2" t="inlineStr">
        <is>
          <t>https://docs.bmwmcq.org.au/journals/2024/2024_03_Journal.pdf ; https://bmbikes.bmw-club.org.uk/PDF%20Downloads/R75sidecarunitSpec.pdf</t>
        </is>
      </c>
      <c r="AN28" s="2" t="inlineStr">
        <is>
          <t>Source d’archives et documentation de club; manuel technique primaire à retrouver</t>
        </is>
      </c>
      <c r="AO28" s="2" t="inlineStr">
        <is>
          <t>Faible à moyenne</t>
        </is>
      </c>
      <c r="AP28" s="2" t="inlineStr">
        <is>
          <t>Moyenne à élevée</t>
        </is>
      </c>
      <c r="AQ28" s="2" t="inlineStr">
        <is>
          <t>Élevé</t>
        </is>
      </c>
      <c r="AR28" s="2" t="inlineStr">
        <is>
          <t>Partiellement documenté</t>
        </is>
      </c>
      <c r="AS28" s="2" t="inlineStr">
        <is>
          <t>P1</t>
        </is>
      </c>
      <c r="AT28" s="2" t="inlineStr">
        <is>
          <t>Ne pas utiliser les spécifications de la BMW R75/5 civile d’après-guerre. La R75 militaire est une machine spécifique avec side-car.</t>
        </is>
      </c>
      <c r="AU28" s="2" t="inlineStr">
        <is>
          <t>Éclaireur initial potentiel</t>
        </is>
      </c>
      <c r="AV28" s="2" t="inlineStr">
        <is>
          <t>Moto militaire à side-car moteur, agile sur les pistes mais vulnérable et peu chargée.</t>
        </is>
      </c>
    </row>
    <row r="29" ht="60" customHeight="1">
      <c r="A29" s="2" t="inlineStr">
        <is>
          <t>VEH-028</t>
        </is>
      </c>
      <c r="B29" s="2" t="inlineStr">
        <is>
          <t>Motos et side-cars</t>
        </is>
      </c>
      <c r="C29" s="2" t="inlineStr">
        <is>
          <t>Zündapp KS 750</t>
        </is>
      </c>
      <c r="D29" s="2" t="inlineStr">
        <is>
          <t>À distinguer si plusieurs variantes</t>
        </is>
      </c>
      <c r="E29" s="2" t="inlineStr">
        <is>
          <t>Allemagne</t>
        </is>
      </c>
      <c r="F29" s="2" t="inlineStr">
        <is>
          <t>À documenter</t>
        </is>
      </c>
      <c r="G29" s="2" t="inlineStr">
        <is>
          <t>À confirmer</t>
        </is>
      </c>
      <c r="H29" s="2" t="inlineStr">
        <is>
          <t>Moto avec side-car</t>
        </is>
      </c>
      <c r="I29" s="2" t="inlineStr">
        <is>
          <t>À définir</t>
        </is>
      </c>
      <c r="J29" s="2" t="n"/>
      <c r="K29" s="2" t="n"/>
      <c r="L29" s="2" t="n"/>
      <c r="M29" s="2" t="n"/>
      <c r="N29" s="2" t="n"/>
      <c r="O29" s="2" t="n"/>
      <c r="P29" s="2" t="inlineStr">
        <is>
          <t>À rechercher</t>
        </is>
      </c>
      <c r="Q29" s="2" t="n"/>
      <c r="R29" s="2" t="n"/>
      <c r="S29" s="2" t="inlineStr">
        <is>
          <t>À confirmer</t>
        </is>
      </c>
      <c r="T29" s="2" t="n"/>
      <c r="U29" s="2" t="n"/>
      <c r="V29" s="2" t="n"/>
      <c r="W29" s="2" t="n"/>
      <c r="X29" s="2" t="inlineStr">
        <is>
          <t>À documenter</t>
        </is>
      </c>
      <c r="Y29" s="2" t="inlineStr">
        <is>
          <t>À documenter</t>
        </is>
      </c>
      <c r="Z29" s="2" t="inlineStr">
        <is>
          <t>À documenter</t>
        </is>
      </c>
      <c r="AA29" s="2" t="inlineStr">
        <is>
          <t>À documenter</t>
        </is>
      </c>
      <c r="AB29" s="2" t="inlineStr">
        <is>
          <t>À documenter</t>
        </is>
      </c>
      <c r="AC29" s="2" t="inlineStr">
        <is>
          <t>Aucun armement d'origine</t>
        </is>
      </c>
      <c r="AD29" s="2" t="inlineStr">
        <is>
          <t>À documenter</t>
        </is>
      </c>
      <c r="AE29" s="2" t="inlineStr">
        <is>
          <t>À documenter</t>
        </is>
      </c>
      <c r="AF29" s="2" t="inlineStr">
        <is>
          <t>À définir</t>
        </is>
      </c>
      <c r="AG29" s="2" t="inlineStr">
        <is>
          <t>À définir</t>
        </is>
      </c>
      <c r="AH29" s="2" t="inlineStr">
        <is>
          <t>Réparation d’origine si véhicule complet ; démontage si incomplet</t>
        </is>
      </c>
      <c r="AI29" s="2" t="inlineStr">
        <is>
          <t>À documenter</t>
        </is>
      </c>
      <c r="AJ29" s="2" t="inlineStr">
        <is>
          <t>À définir</t>
        </is>
      </c>
      <c r="AK29" s="2" t="inlineStr">
        <is>
          <t>À documenter</t>
        </is>
      </c>
      <c r="AL29" s="2" t="inlineStr">
        <is>
          <t>À rechercher / voir sources historiques</t>
        </is>
      </c>
      <c r="AM29" s="2" t="inlineStr">
        <is>
          <t>À rechercher</t>
        </is>
      </c>
      <c r="AN29" s="2" t="inlineStr">
        <is>
          <t>Source de niveau variable ; contrôle par variante nécessaire</t>
        </is>
      </c>
      <c r="AO29" s="2" t="inlineStr">
        <is>
          <t>Non renseigné</t>
        </is>
      </c>
      <c r="AP29" s="2" t="inlineStr">
        <is>
          <t>Faible</t>
        </is>
      </c>
      <c r="AQ29" s="2" t="inlineStr">
        <is>
          <t>Élevé</t>
        </is>
      </c>
      <c r="AR29" s="2" t="inlineStr">
        <is>
          <t>Partiel — fiche à compléter</t>
        </is>
      </c>
      <c r="AS29" s="2" t="inlineStr">
        <is>
          <t>P2/P3</t>
        </is>
      </c>
      <c r="AT29" s="2" t="inlineStr">
        <is>
          <t>Modèle à valider historiquement avant verrouillage</t>
        </is>
      </c>
      <c r="AU29" s="2" t="inlineStr">
        <is>
          <t>À intégrer après validation du prototype</t>
        </is>
      </c>
      <c r="AV29" s="2" t="inlineStr">
        <is>
          <t>Zündapp KS 750 : véhicule de catégorie « Moto avec side-car », d'origine Allemagne. Motorisation recensée : À rechercher. Fiche de catalogue à compléter avec le rôle tactique et les caractéristiques de jeu.</t>
        </is>
      </c>
    </row>
    <row r="30" ht="60" customHeight="1">
      <c r="A30" s="2" t="inlineStr">
        <is>
          <t>VEH-029</t>
        </is>
      </c>
      <c r="B30" s="2" t="inlineStr">
        <is>
          <t>Motos et side-cars</t>
        </is>
      </c>
      <c r="C30" s="2" t="inlineStr">
        <is>
          <t>NSU 251 OSL</t>
        </is>
      </c>
      <c r="D30" s="2" t="inlineStr">
        <is>
          <t>À distinguer si plusieurs variantes</t>
        </is>
      </c>
      <c r="E30" s="2" t="inlineStr">
        <is>
          <t>Allemagne</t>
        </is>
      </c>
      <c r="F30" s="2" t="inlineStr">
        <is>
          <t>À documenter</t>
        </is>
      </c>
      <c r="G30" s="2" t="inlineStr">
        <is>
          <t>À confirmer</t>
        </is>
      </c>
      <c r="H30" s="2" t="inlineStr">
        <is>
          <t>Moto</t>
        </is>
      </c>
      <c r="I30" s="2" t="inlineStr">
        <is>
          <t>À définir</t>
        </is>
      </c>
      <c r="J30" s="2" t="n"/>
      <c r="K30" s="2" t="n"/>
      <c r="L30" s="2" t="n"/>
      <c r="M30" s="2" t="n"/>
      <c r="N30" s="2" t="n"/>
      <c r="O30" s="2" t="n"/>
      <c r="P30" s="2" t="inlineStr">
        <is>
          <t>À rechercher</t>
        </is>
      </c>
      <c r="Q30" s="2" t="n"/>
      <c r="R30" s="2" t="n"/>
      <c r="S30" s="2" t="inlineStr">
        <is>
          <t>À confirmer</t>
        </is>
      </c>
      <c r="T30" s="2" t="n"/>
      <c r="U30" s="2" t="n"/>
      <c r="V30" s="2" t="n"/>
      <c r="W30" s="2" t="n"/>
      <c r="X30" s="2" t="inlineStr">
        <is>
          <t>À documenter</t>
        </is>
      </c>
      <c r="Y30" s="2" t="inlineStr">
        <is>
          <t>À documenter</t>
        </is>
      </c>
      <c r="Z30" s="2" t="inlineStr">
        <is>
          <t>À documenter</t>
        </is>
      </c>
      <c r="AA30" s="2" t="inlineStr">
        <is>
          <t>À documenter</t>
        </is>
      </c>
      <c r="AB30" s="2" t="inlineStr">
        <is>
          <t>À documenter</t>
        </is>
      </c>
      <c r="AC30" s="2" t="inlineStr">
        <is>
          <t>Aucun armement d'origine</t>
        </is>
      </c>
      <c r="AD30" s="2" t="inlineStr">
        <is>
          <t>À documenter</t>
        </is>
      </c>
      <c r="AE30" s="2" t="inlineStr">
        <is>
          <t>À documenter</t>
        </is>
      </c>
      <c r="AF30" s="2" t="inlineStr">
        <is>
          <t>À définir</t>
        </is>
      </c>
      <c r="AG30" s="2" t="inlineStr">
        <is>
          <t>À définir</t>
        </is>
      </c>
      <c r="AH30" s="2" t="inlineStr">
        <is>
          <t>Réparation d’origine si véhicule complet ; démontage si incomplet</t>
        </is>
      </c>
      <c r="AI30" s="2" t="inlineStr">
        <is>
          <t>À documenter</t>
        </is>
      </c>
      <c r="AJ30" s="2" t="inlineStr">
        <is>
          <t>À définir</t>
        </is>
      </c>
      <c r="AK30" s="2" t="inlineStr">
        <is>
          <t>À documenter</t>
        </is>
      </c>
      <c r="AL30" s="2" t="inlineStr">
        <is>
          <t>À rechercher / voir sources historiques</t>
        </is>
      </c>
      <c r="AM30" s="2" t="inlineStr">
        <is>
          <t>À rechercher</t>
        </is>
      </c>
      <c r="AN30" s="2" t="inlineStr">
        <is>
          <t>Source de niveau variable ; contrôle par variante nécessaire</t>
        </is>
      </c>
      <c r="AO30" s="2" t="inlineStr">
        <is>
          <t>Non renseigné</t>
        </is>
      </c>
      <c r="AP30" s="2" t="inlineStr">
        <is>
          <t>Faible</t>
        </is>
      </c>
      <c r="AQ30" s="2" t="inlineStr">
        <is>
          <t>Élevé</t>
        </is>
      </c>
      <c r="AR30" s="2" t="inlineStr">
        <is>
          <t>Partiel — fiche à compléter</t>
        </is>
      </c>
      <c r="AS30" s="2" t="inlineStr">
        <is>
          <t>P2/P3</t>
        </is>
      </c>
      <c r="AT30" s="2" t="inlineStr">
        <is>
          <t>Modèle à valider historiquement avant verrouillage</t>
        </is>
      </c>
      <c r="AU30" s="2" t="inlineStr">
        <is>
          <t>À intégrer après validation du prototype</t>
        </is>
      </c>
      <c r="AV30" s="2" t="inlineStr">
        <is>
          <t>NSU 251 OSL : véhicule de catégorie « Moto », d'origine Allemagne. Motorisation recensée : À rechercher. Fiche de catalogue à compléter avec le rôle tactique et les caractéristiques de jeu.</t>
        </is>
      </c>
    </row>
    <row r="31" ht="60" customHeight="1">
      <c r="A31" s="2" t="inlineStr">
        <is>
          <t>VEH-030</t>
        </is>
      </c>
      <c r="B31" s="2" t="inlineStr">
        <is>
          <t>Motos et side-cars</t>
        </is>
      </c>
      <c r="C31" s="2" t="inlineStr">
        <is>
          <t>BSA M20</t>
        </is>
      </c>
      <c r="D31" s="2" t="inlineStr">
        <is>
          <t>À distinguer si plusieurs variantes</t>
        </is>
      </c>
      <c r="E31" s="2" t="inlineStr">
        <is>
          <t>Royaume-Uni</t>
        </is>
      </c>
      <c r="F31" s="2" t="inlineStr">
        <is>
          <t>À documenter</t>
        </is>
      </c>
      <c r="G31" s="2" t="inlineStr">
        <is>
          <t>À confirmer</t>
        </is>
      </c>
      <c r="H31" s="2" t="inlineStr">
        <is>
          <t>Moto militaire</t>
        </is>
      </c>
      <c r="I31" s="2" t="inlineStr">
        <is>
          <t>À définir</t>
        </is>
      </c>
      <c r="J31" s="2" t="n"/>
      <c r="K31" s="2" t="n"/>
      <c r="L31" s="2" t="n"/>
      <c r="M31" s="2" t="n"/>
      <c r="N31" s="2" t="n"/>
      <c r="O31" s="2" t="n"/>
      <c r="P31" s="2" t="inlineStr">
        <is>
          <t>À rechercher</t>
        </is>
      </c>
      <c r="Q31" s="2" t="n"/>
      <c r="R31" s="2" t="n"/>
      <c r="S31" s="2" t="inlineStr">
        <is>
          <t>À confirmer</t>
        </is>
      </c>
      <c r="T31" s="2" t="n"/>
      <c r="U31" s="2" t="n"/>
      <c r="V31" s="2" t="n"/>
      <c r="W31" s="2" t="n"/>
      <c r="X31" s="2" t="inlineStr">
        <is>
          <t>À documenter</t>
        </is>
      </c>
      <c r="Y31" s="2" t="inlineStr">
        <is>
          <t>À documenter</t>
        </is>
      </c>
      <c r="Z31" s="2" t="inlineStr">
        <is>
          <t>À documenter</t>
        </is>
      </c>
      <c r="AA31" s="2" t="inlineStr">
        <is>
          <t>À documenter</t>
        </is>
      </c>
      <c r="AB31" s="2" t="inlineStr">
        <is>
          <t>À documenter</t>
        </is>
      </c>
      <c r="AC31" s="2" t="inlineStr">
        <is>
          <t>Aucun armement d'origine</t>
        </is>
      </c>
      <c r="AD31" s="2" t="inlineStr">
        <is>
          <t>À documenter</t>
        </is>
      </c>
      <c r="AE31" s="2" t="inlineStr">
        <is>
          <t>À documenter</t>
        </is>
      </c>
      <c r="AF31" s="2" t="inlineStr">
        <is>
          <t>À définir</t>
        </is>
      </c>
      <c r="AG31" s="2" t="inlineStr">
        <is>
          <t>À définir</t>
        </is>
      </c>
      <c r="AH31" s="2" t="inlineStr">
        <is>
          <t>Réparation d’origine si véhicule complet ; démontage si incomplet</t>
        </is>
      </c>
      <c r="AI31" s="2" t="inlineStr">
        <is>
          <t>À documenter</t>
        </is>
      </c>
      <c r="AJ31" s="2" t="inlineStr">
        <is>
          <t>À définir</t>
        </is>
      </c>
      <c r="AK31" s="2" t="inlineStr">
        <is>
          <t>À documenter</t>
        </is>
      </c>
      <c r="AL31" s="2" t="inlineStr">
        <is>
          <t>À rechercher / voir sources historiques</t>
        </is>
      </c>
      <c r="AM31" s="2" t="inlineStr">
        <is>
          <t>À rechercher</t>
        </is>
      </c>
      <c r="AN31" s="2" t="inlineStr">
        <is>
          <t>Source de niveau variable ; contrôle par variante nécessaire</t>
        </is>
      </c>
      <c r="AO31" s="2" t="inlineStr">
        <is>
          <t>Non renseigné</t>
        </is>
      </c>
      <c r="AP31" s="2" t="inlineStr">
        <is>
          <t>Faible</t>
        </is>
      </c>
      <c r="AQ31" s="2" t="inlineStr">
        <is>
          <t>Élevé</t>
        </is>
      </c>
      <c r="AR31" s="2" t="inlineStr">
        <is>
          <t>Partiel — fiche à compléter</t>
        </is>
      </c>
      <c r="AS31" s="2" t="inlineStr">
        <is>
          <t>P2/P3</t>
        </is>
      </c>
      <c r="AT31" s="2" t="inlineStr">
        <is>
          <t>Modèle à valider historiquement avant verrouillage</t>
        </is>
      </c>
      <c r="AU31" s="2" t="inlineStr">
        <is>
          <t>À intégrer après validation du prototype</t>
        </is>
      </c>
      <c r="AV31" s="2" t="inlineStr">
        <is>
          <t>BSA M20 : véhicule de catégorie « Moto militaire », d'origine Royaume-Uni. Motorisation recensée : À rechercher. Fiche de catalogue à compléter avec le rôle tactique et les caractéristiques de jeu.</t>
        </is>
      </c>
    </row>
    <row r="32" ht="60" customHeight="1">
      <c r="A32" s="2" t="inlineStr">
        <is>
          <t>VEH-031</t>
        </is>
      </c>
      <c r="B32" s="2" t="inlineStr">
        <is>
          <t>Motos et side-cars</t>
        </is>
      </c>
      <c r="C32" s="2" t="inlineStr">
        <is>
          <t>Norton 16H</t>
        </is>
      </c>
      <c r="D32" s="2" t="inlineStr">
        <is>
          <t>À distinguer si plusieurs variantes</t>
        </is>
      </c>
      <c r="E32" s="2" t="inlineStr">
        <is>
          <t>Royaume-Uni</t>
        </is>
      </c>
      <c r="F32" s="2" t="inlineStr">
        <is>
          <t>À documenter</t>
        </is>
      </c>
      <c r="G32" s="2" t="inlineStr">
        <is>
          <t>À confirmer</t>
        </is>
      </c>
      <c r="H32" s="2" t="inlineStr">
        <is>
          <t>Moto militaire</t>
        </is>
      </c>
      <c r="I32" s="2" t="inlineStr">
        <is>
          <t>À définir</t>
        </is>
      </c>
      <c r="J32" s="2" t="n"/>
      <c r="K32" s="2" t="n"/>
      <c r="L32" s="2" t="n"/>
      <c r="M32" s="2" t="n"/>
      <c r="N32" s="2" t="n"/>
      <c r="O32" s="2" t="n"/>
      <c r="P32" s="2" t="inlineStr">
        <is>
          <t>À rechercher</t>
        </is>
      </c>
      <c r="Q32" s="2" t="n"/>
      <c r="R32" s="2" t="n"/>
      <c r="S32" s="2" t="inlineStr">
        <is>
          <t>À confirmer</t>
        </is>
      </c>
      <c r="T32" s="2" t="n"/>
      <c r="U32" s="2" t="n"/>
      <c r="V32" s="2" t="n"/>
      <c r="W32" s="2" t="n"/>
      <c r="X32" s="2" t="inlineStr">
        <is>
          <t>À documenter</t>
        </is>
      </c>
      <c r="Y32" s="2" t="inlineStr">
        <is>
          <t>À documenter</t>
        </is>
      </c>
      <c r="Z32" s="2" t="inlineStr">
        <is>
          <t>À documenter</t>
        </is>
      </c>
      <c r="AA32" s="2" t="inlineStr">
        <is>
          <t>À documenter</t>
        </is>
      </c>
      <c r="AB32" s="2" t="inlineStr">
        <is>
          <t>À documenter</t>
        </is>
      </c>
      <c r="AC32" s="2" t="inlineStr">
        <is>
          <t>Aucun armement d'origine</t>
        </is>
      </c>
      <c r="AD32" s="2" t="inlineStr">
        <is>
          <t>À documenter</t>
        </is>
      </c>
      <c r="AE32" s="2" t="inlineStr">
        <is>
          <t>À documenter</t>
        </is>
      </c>
      <c r="AF32" s="2" t="inlineStr">
        <is>
          <t>À définir</t>
        </is>
      </c>
      <c r="AG32" s="2" t="inlineStr">
        <is>
          <t>À définir</t>
        </is>
      </c>
      <c r="AH32" s="2" t="inlineStr">
        <is>
          <t>Réparation d’origine si véhicule complet ; démontage si incomplet</t>
        </is>
      </c>
      <c r="AI32" s="2" t="inlineStr">
        <is>
          <t>À documenter</t>
        </is>
      </c>
      <c r="AJ32" s="2" t="inlineStr">
        <is>
          <t>À définir</t>
        </is>
      </c>
      <c r="AK32" s="2" t="inlineStr">
        <is>
          <t>À documenter</t>
        </is>
      </c>
      <c r="AL32" s="2" t="inlineStr">
        <is>
          <t>À rechercher / voir sources historiques</t>
        </is>
      </c>
      <c r="AM32" s="2" t="inlineStr">
        <is>
          <t>À rechercher</t>
        </is>
      </c>
      <c r="AN32" s="2" t="inlineStr">
        <is>
          <t>Source de niveau variable ; contrôle par variante nécessaire</t>
        </is>
      </c>
      <c r="AO32" s="2" t="inlineStr">
        <is>
          <t>Non renseigné</t>
        </is>
      </c>
      <c r="AP32" s="2" t="inlineStr">
        <is>
          <t>Faible</t>
        </is>
      </c>
      <c r="AQ32" s="2" t="inlineStr">
        <is>
          <t>Élevé</t>
        </is>
      </c>
      <c r="AR32" s="2" t="inlineStr">
        <is>
          <t>Partiel — fiche à compléter</t>
        </is>
      </c>
      <c r="AS32" s="2" t="inlineStr">
        <is>
          <t>P2/P3</t>
        </is>
      </c>
      <c r="AT32" s="2" t="inlineStr">
        <is>
          <t>Modèle à valider historiquement avant verrouillage</t>
        </is>
      </c>
      <c r="AU32" s="2" t="inlineStr">
        <is>
          <t>À intégrer après validation du prototype</t>
        </is>
      </c>
      <c r="AV32" s="2" t="inlineStr">
        <is>
          <t>Norton 16H : véhicule de catégorie « Moto militaire », d'origine Royaume-Uni. Motorisation recensée : À rechercher. Fiche de catalogue à compléter avec le rôle tactique et les caractéristiques de jeu.</t>
        </is>
      </c>
    </row>
    <row r="33" ht="60" customHeight="1">
      <c r="A33" s="2" t="inlineStr">
        <is>
          <t>VEH-032</t>
        </is>
      </c>
      <c r="B33" s="2" t="inlineStr">
        <is>
          <t>Motos et side-cars</t>
        </is>
      </c>
      <c r="C33" s="2" t="inlineStr">
        <is>
          <t>Royal Enfield WD/RE</t>
        </is>
      </c>
      <c r="D33" s="2" t="inlineStr">
        <is>
          <t>À distinguer si plusieurs variantes</t>
        </is>
      </c>
      <c r="E33" s="2" t="inlineStr">
        <is>
          <t>Royaume-Uni</t>
        </is>
      </c>
      <c r="F33" s="2" t="inlineStr">
        <is>
          <t>À documenter</t>
        </is>
      </c>
      <c r="G33" s="2" t="inlineStr">
        <is>
          <t>À confirmer</t>
        </is>
      </c>
      <c r="H33" s="2" t="inlineStr">
        <is>
          <t>Moto légère</t>
        </is>
      </c>
      <c r="I33" s="2" t="inlineStr">
        <is>
          <t>À définir</t>
        </is>
      </c>
      <c r="J33" s="2" t="n"/>
      <c r="K33" s="2" t="n"/>
      <c r="L33" s="2" t="n"/>
      <c r="M33" s="2" t="n"/>
      <c r="N33" s="2" t="n"/>
      <c r="O33" s="2" t="n"/>
      <c r="P33" s="2" t="inlineStr">
        <is>
          <t>À rechercher</t>
        </is>
      </c>
      <c r="Q33" s="2" t="n"/>
      <c r="R33" s="2" t="n"/>
      <c r="S33" s="2" t="inlineStr">
        <is>
          <t>À confirmer</t>
        </is>
      </c>
      <c r="T33" s="2" t="n"/>
      <c r="U33" s="2" t="n"/>
      <c r="V33" s="2" t="n"/>
      <c r="W33" s="2" t="n"/>
      <c r="X33" s="2" t="inlineStr">
        <is>
          <t>À documenter</t>
        </is>
      </c>
      <c r="Y33" s="2" t="inlineStr">
        <is>
          <t>À documenter</t>
        </is>
      </c>
      <c r="Z33" s="2" t="inlineStr">
        <is>
          <t>À documenter</t>
        </is>
      </c>
      <c r="AA33" s="2" t="inlineStr">
        <is>
          <t>À documenter</t>
        </is>
      </c>
      <c r="AB33" s="2" t="inlineStr">
        <is>
          <t>À documenter</t>
        </is>
      </c>
      <c r="AC33" s="2" t="inlineStr">
        <is>
          <t>Aucun armement d'origine</t>
        </is>
      </c>
      <c r="AD33" s="2" t="inlineStr">
        <is>
          <t>À documenter</t>
        </is>
      </c>
      <c r="AE33" s="2" t="inlineStr">
        <is>
          <t>À documenter</t>
        </is>
      </c>
      <c r="AF33" s="2" t="inlineStr">
        <is>
          <t>À définir</t>
        </is>
      </c>
      <c r="AG33" s="2" t="inlineStr">
        <is>
          <t>À définir</t>
        </is>
      </c>
      <c r="AH33" s="2" t="inlineStr">
        <is>
          <t>Réparation d’origine si véhicule complet ; démontage si incomplet</t>
        </is>
      </c>
      <c r="AI33" s="2" t="inlineStr">
        <is>
          <t>À documenter</t>
        </is>
      </c>
      <c r="AJ33" s="2" t="inlineStr">
        <is>
          <t>À définir</t>
        </is>
      </c>
      <c r="AK33" s="2" t="inlineStr">
        <is>
          <t>À documenter</t>
        </is>
      </c>
      <c r="AL33" s="2" t="inlineStr">
        <is>
          <t>À rechercher / voir sources historiques</t>
        </is>
      </c>
      <c r="AM33" s="2" t="inlineStr">
        <is>
          <t>À rechercher</t>
        </is>
      </c>
      <c r="AN33" s="2" t="inlineStr">
        <is>
          <t>Source de niveau variable ; contrôle par variante nécessaire</t>
        </is>
      </c>
      <c r="AO33" s="2" t="inlineStr">
        <is>
          <t>Non renseigné</t>
        </is>
      </c>
      <c r="AP33" s="2" t="inlineStr">
        <is>
          <t>Faible</t>
        </is>
      </c>
      <c r="AQ33" s="2" t="inlineStr">
        <is>
          <t>Élevé</t>
        </is>
      </c>
      <c r="AR33" s="2" t="inlineStr">
        <is>
          <t>Partiel — fiche à compléter</t>
        </is>
      </c>
      <c r="AS33" s="2" t="inlineStr">
        <is>
          <t>P2/P3</t>
        </is>
      </c>
      <c r="AT33" s="2" t="inlineStr">
        <is>
          <t>Modèle à valider historiquement avant verrouillage</t>
        </is>
      </c>
      <c r="AU33" s="2" t="inlineStr">
        <is>
          <t>À intégrer après validation du prototype</t>
        </is>
      </c>
      <c r="AV33" s="2" t="inlineStr">
        <is>
          <t>Royal Enfield WD/RE : véhicule de catégorie « Moto légère », d'origine Royaume-Uni. Motorisation recensée : À rechercher. Fiche de catalogue à compléter avec le rôle tactique et les caractéristiques de jeu.</t>
        </is>
      </c>
    </row>
    <row r="34" ht="60" customHeight="1">
      <c r="A34" s="2" t="inlineStr">
        <is>
          <t>VEH-033</t>
        </is>
      </c>
      <c r="B34" s="2" t="inlineStr">
        <is>
          <t>Motos et side-cars</t>
        </is>
      </c>
      <c r="C34" s="2" t="inlineStr">
        <is>
          <t>Terrot RDA / modèles militaires d'époque</t>
        </is>
      </c>
      <c r="D34" s="2" t="inlineStr">
        <is>
          <t>À distinguer si plusieurs variantes</t>
        </is>
      </c>
      <c r="E34" s="2" t="inlineStr">
        <is>
          <t>France</t>
        </is>
      </c>
      <c r="F34" s="2" t="inlineStr">
        <is>
          <t>À documenter</t>
        </is>
      </c>
      <c r="G34" s="2" t="inlineStr">
        <is>
          <t>À confirmer</t>
        </is>
      </c>
      <c r="H34" s="2" t="inlineStr">
        <is>
          <t>Moto</t>
        </is>
      </c>
      <c r="I34" s="2" t="inlineStr">
        <is>
          <t>À définir</t>
        </is>
      </c>
      <c r="J34" s="2" t="n"/>
      <c r="K34" s="2" t="n"/>
      <c r="L34" s="2" t="n"/>
      <c r="M34" s="2" t="n"/>
      <c r="N34" s="2" t="n"/>
      <c r="O34" s="2" t="n"/>
      <c r="P34" s="2" t="inlineStr">
        <is>
          <t>À rechercher</t>
        </is>
      </c>
      <c r="Q34" s="2" t="n"/>
      <c r="R34" s="2" t="n"/>
      <c r="S34" s="2" t="inlineStr">
        <is>
          <t>À confirmer</t>
        </is>
      </c>
      <c r="T34" s="2" t="n"/>
      <c r="U34" s="2" t="n"/>
      <c r="V34" s="2" t="n"/>
      <c r="W34" s="2" t="n"/>
      <c r="X34" s="2" t="inlineStr">
        <is>
          <t>À documenter</t>
        </is>
      </c>
      <c r="Y34" s="2" t="inlineStr">
        <is>
          <t>À documenter</t>
        </is>
      </c>
      <c r="Z34" s="2" t="inlineStr">
        <is>
          <t>À documenter</t>
        </is>
      </c>
      <c r="AA34" s="2" t="inlineStr">
        <is>
          <t>À documenter</t>
        </is>
      </c>
      <c r="AB34" s="2" t="inlineStr">
        <is>
          <t>À documenter</t>
        </is>
      </c>
      <c r="AC34" s="2" t="inlineStr">
        <is>
          <t>Aucun armement d'origine</t>
        </is>
      </c>
      <c r="AD34" s="2" t="inlineStr">
        <is>
          <t>À documenter</t>
        </is>
      </c>
      <c r="AE34" s="2" t="inlineStr">
        <is>
          <t>À documenter</t>
        </is>
      </c>
      <c r="AF34" s="2" t="inlineStr">
        <is>
          <t>À définir</t>
        </is>
      </c>
      <c r="AG34" s="2" t="inlineStr">
        <is>
          <t>À définir</t>
        </is>
      </c>
      <c r="AH34" s="2" t="inlineStr">
        <is>
          <t>Réparation d’origine si véhicule complet ; démontage si incomplet</t>
        </is>
      </c>
      <c r="AI34" s="2" t="inlineStr">
        <is>
          <t>À documenter</t>
        </is>
      </c>
      <c r="AJ34" s="2" t="inlineStr">
        <is>
          <t>À définir</t>
        </is>
      </c>
      <c r="AK34" s="2" t="inlineStr">
        <is>
          <t>À documenter</t>
        </is>
      </c>
      <c r="AL34" s="2" t="inlineStr">
        <is>
          <t>À rechercher / voir sources historiques</t>
        </is>
      </c>
      <c r="AM34" s="2" t="inlineStr">
        <is>
          <t>À rechercher</t>
        </is>
      </c>
      <c r="AN34" s="2" t="inlineStr">
        <is>
          <t>Source de niveau variable ; contrôle par variante nécessaire</t>
        </is>
      </c>
      <c r="AO34" s="2" t="inlineStr">
        <is>
          <t>Non renseigné</t>
        </is>
      </c>
      <c r="AP34" s="2" t="inlineStr">
        <is>
          <t>Faible</t>
        </is>
      </c>
      <c r="AQ34" s="2" t="inlineStr">
        <is>
          <t>Élevé</t>
        </is>
      </c>
      <c r="AR34" s="2" t="inlineStr">
        <is>
          <t>Partiel — fiche à compléter</t>
        </is>
      </c>
      <c r="AS34" s="2" t="inlineStr">
        <is>
          <t>P2/P3</t>
        </is>
      </c>
      <c r="AT34" s="2" t="inlineStr">
        <is>
          <t>Modèle à valider historiquement avant verrouillage</t>
        </is>
      </c>
      <c r="AU34" s="2" t="inlineStr">
        <is>
          <t>À intégrer après validation du prototype</t>
        </is>
      </c>
      <c r="AV34" s="2" t="inlineStr">
        <is>
          <t>Terrot RDA / modèles militaires d'époque : véhicule de catégorie « Moto », d'origine France. Motorisation recensée : À rechercher. Fiche de catalogue à compléter avec le rôle tactique et les caractéristiques de jeu.</t>
        </is>
      </c>
    </row>
    <row r="35" ht="60" customHeight="1">
      <c r="A35" s="2" t="inlineStr">
        <is>
          <t>VEH-034</t>
        </is>
      </c>
      <c r="B35" s="2" t="inlineStr">
        <is>
          <t>Camions légers et moyens</t>
        </is>
      </c>
      <c r="C35" s="2" t="inlineStr">
        <is>
          <t>Dodge WC-51 / WC-52</t>
        </is>
      </c>
      <c r="D35" s="2" t="inlineStr">
        <is>
          <t>À distinguer si plusieurs variantes</t>
        </is>
      </c>
      <c r="E35" s="2" t="inlineStr">
        <is>
          <t>États-Unis</t>
        </is>
      </c>
      <c r="F35" s="2" t="inlineStr">
        <is>
          <t>À documenter</t>
        </is>
      </c>
      <c r="G35" s="2" t="inlineStr">
        <is>
          <t>À confirmer</t>
        </is>
      </c>
      <c r="H35" s="2" t="inlineStr">
        <is>
          <t>4x4 utilitaire</t>
        </is>
      </c>
      <c r="I35" s="2" t="inlineStr">
        <is>
          <t>À définir</t>
        </is>
      </c>
      <c r="J35" s="2" t="n"/>
      <c r="K35" s="2" t="n"/>
      <c r="L35" s="2" t="n"/>
      <c r="M35" s="2" t="n"/>
      <c r="N35" s="2" t="n"/>
      <c r="O35" s="2" t="n"/>
      <c r="P35" s="2" t="inlineStr">
        <is>
          <t>À rechercher</t>
        </is>
      </c>
      <c r="Q35" s="2" t="n"/>
      <c r="R35" s="2" t="n"/>
      <c r="S35" s="2" t="inlineStr">
        <is>
          <t>À confirmer</t>
        </is>
      </c>
      <c r="T35" s="2" t="n"/>
      <c r="U35" s="2" t="n"/>
      <c r="V35" s="2" t="n"/>
      <c r="W35" s="2" t="n"/>
      <c r="X35" s="2" t="inlineStr">
        <is>
          <t>À documenter</t>
        </is>
      </c>
      <c r="Y35" s="2" t="inlineStr">
        <is>
          <t>À documenter</t>
        </is>
      </c>
      <c r="Z35" s="2" t="inlineStr">
        <is>
          <t>À documenter</t>
        </is>
      </c>
      <c r="AA35" s="2" t="inlineStr">
        <is>
          <t>À documenter</t>
        </is>
      </c>
      <c r="AB35" s="2" t="inlineStr">
        <is>
          <t>À documenter</t>
        </is>
      </c>
      <c r="AC35" s="2" t="inlineStr">
        <is>
          <t>Pas d'arme fixe standard; affût/mitrailleuse possible sur certaines versions ou conversions</t>
        </is>
      </c>
      <c r="AD35" s="2" t="inlineStr">
        <is>
          <t>À documenter</t>
        </is>
      </c>
      <c r="AE35" s="2" t="inlineStr">
        <is>
          <t>À documenter</t>
        </is>
      </c>
      <c r="AF35" s="2" t="inlineStr">
        <is>
          <t>À définir</t>
        </is>
      </c>
      <c r="AG35" s="2" t="inlineStr">
        <is>
          <t>À définir</t>
        </is>
      </c>
      <c r="AH35" s="2" t="inlineStr">
        <is>
          <t>Réparation d’origine si véhicule complet ; démontage si incomplet</t>
        </is>
      </c>
      <c r="AI35" s="2" t="inlineStr">
        <is>
          <t>À documenter</t>
        </is>
      </c>
      <c r="AJ35" s="2" t="inlineStr">
        <is>
          <t>À définir</t>
        </is>
      </c>
      <c r="AK35" s="2" t="inlineStr">
        <is>
          <t>À documenter</t>
        </is>
      </c>
      <c r="AL35" s="2" t="inlineStr">
        <is>
          <t>À rechercher / voir sources historiques</t>
        </is>
      </c>
      <c r="AM35" s="2" t="inlineStr">
        <is>
          <t>À rechercher</t>
        </is>
      </c>
      <c r="AN35" s="2" t="inlineStr">
        <is>
          <t>Source de niveau variable ; contrôle par variante nécessaire</t>
        </is>
      </c>
      <c r="AO35" s="2" t="inlineStr">
        <is>
          <t>Non renseigné</t>
        </is>
      </c>
      <c r="AP35" s="2" t="inlineStr">
        <is>
          <t>Faible</t>
        </is>
      </c>
      <c r="AQ35" s="2" t="inlineStr">
        <is>
          <t>Partiel</t>
        </is>
      </c>
      <c r="AR35" s="2" t="inlineStr">
        <is>
          <t>Partiel — fiche à compléter</t>
        </is>
      </c>
      <c r="AS35" s="2" t="inlineStr">
        <is>
          <t>P2/P3</t>
        </is>
      </c>
      <c r="AT35" s="2" t="inlineStr">
        <is>
          <t>Modèle à valider historiquement avant verrouillage</t>
        </is>
      </c>
      <c r="AU35" s="2" t="inlineStr">
        <is>
          <t>À intégrer après validation du prototype</t>
        </is>
      </c>
      <c r="AV35" s="2" t="inlineStr">
        <is>
          <t>Dodge WC-51 / WC-52 : véhicule de catégorie « 4x4 utilitaire », d'origine États-Unis. Motorisation recensée : À rechercher. Fiche de catalogue à compléter avec le rôle tactique et les caractéristiques de jeu.</t>
        </is>
      </c>
    </row>
    <row r="36" ht="60" customHeight="1">
      <c r="A36" s="2" t="inlineStr">
        <is>
          <t>VEH-035</t>
        </is>
      </c>
      <c r="B36" s="2" t="inlineStr">
        <is>
          <t>Camions légers et moyens</t>
        </is>
      </c>
      <c r="C36" s="2" t="inlineStr">
        <is>
          <t>Dodge WC-54</t>
        </is>
      </c>
      <c r="D36" s="2" t="inlineStr">
        <is>
          <t>À distinguer si plusieurs variantes</t>
        </is>
      </c>
      <c r="E36" s="2" t="inlineStr">
        <is>
          <t>États-Unis</t>
        </is>
      </c>
      <c r="F36" s="2" t="inlineStr">
        <is>
          <t>À documenter</t>
        </is>
      </c>
      <c r="G36" s="2" t="inlineStr">
        <is>
          <t>À confirmer</t>
        </is>
      </c>
      <c r="H36" s="2" t="inlineStr">
        <is>
          <t>Ambulance</t>
        </is>
      </c>
      <c r="I36" s="2" t="inlineStr">
        <is>
          <t>À définir</t>
        </is>
      </c>
      <c r="J36" s="2" t="n"/>
      <c r="K36" s="2" t="n"/>
      <c r="L36" s="2" t="n"/>
      <c r="M36" s="2" t="n"/>
      <c r="N36" s="2" t="n"/>
      <c r="O36" s="2" t="n"/>
      <c r="P36" s="2" t="inlineStr">
        <is>
          <t>À rechercher</t>
        </is>
      </c>
      <c r="Q36" s="2" t="n"/>
      <c r="R36" s="2" t="n"/>
      <c r="S36" s="2" t="inlineStr">
        <is>
          <t>À confirmer</t>
        </is>
      </c>
      <c r="T36" s="2" t="n"/>
      <c r="U36" s="2" t="n"/>
      <c r="V36" s="2" t="n"/>
      <c r="W36" s="2" t="n"/>
      <c r="X36" s="2" t="inlineStr">
        <is>
          <t>À documenter</t>
        </is>
      </c>
      <c r="Y36" s="2" t="inlineStr">
        <is>
          <t>À documenter</t>
        </is>
      </c>
      <c r="Z36" s="2" t="inlineStr">
        <is>
          <t>À documenter</t>
        </is>
      </c>
      <c r="AA36" s="2" t="inlineStr">
        <is>
          <t>À documenter</t>
        </is>
      </c>
      <c r="AB36" s="2" t="inlineStr">
        <is>
          <t>À documenter</t>
        </is>
      </c>
      <c r="AC36" s="2" t="inlineStr">
        <is>
          <t>Pas d'arme fixe standard; affût/mitrailleuse possible sur certaines versions ou conversions</t>
        </is>
      </c>
      <c r="AD36" s="2" t="inlineStr">
        <is>
          <t>À documenter</t>
        </is>
      </c>
      <c r="AE36" s="2" t="inlineStr">
        <is>
          <t>À documenter</t>
        </is>
      </c>
      <c r="AF36" s="2" t="inlineStr">
        <is>
          <t>À définir</t>
        </is>
      </c>
      <c r="AG36" s="2" t="inlineStr">
        <is>
          <t>À définir</t>
        </is>
      </c>
      <c r="AH36" s="2" t="inlineStr">
        <is>
          <t>Réparation d’origine si véhicule complet ; démontage si incomplet</t>
        </is>
      </c>
      <c r="AI36" s="2" t="inlineStr">
        <is>
          <t>À documenter</t>
        </is>
      </c>
      <c r="AJ36" s="2" t="inlineStr">
        <is>
          <t>À définir</t>
        </is>
      </c>
      <c r="AK36" s="2" t="inlineStr">
        <is>
          <t>À documenter</t>
        </is>
      </c>
      <c r="AL36" s="2" t="inlineStr">
        <is>
          <t>À rechercher / voir sources historiques</t>
        </is>
      </c>
      <c r="AM36" s="2" t="inlineStr">
        <is>
          <t>À rechercher</t>
        </is>
      </c>
      <c r="AN36" s="2" t="inlineStr">
        <is>
          <t>Source de niveau variable ; contrôle par variante nécessaire</t>
        </is>
      </c>
      <c r="AO36" s="2" t="inlineStr">
        <is>
          <t>Non renseigné</t>
        </is>
      </c>
      <c r="AP36" s="2" t="inlineStr">
        <is>
          <t>Faible</t>
        </is>
      </c>
      <c r="AQ36" s="2" t="inlineStr">
        <is>
          <t>Partiel</t>
        </is>
      </c>
      <c r="AR36" s="2" t="inlineStr">
        <is>
          <t>Partiel — fiche à compléter</t>
        </is>
      </c>
      <c r="AS36" s="2" t="inlineStr">
        <is>
          <t>P2/P3</t>
        </is>
      </c>
      <c r="AT36" s="2" t="inlineStr">
        <is>
          <t>Modèle à valider historiquement avant verrouillage</t>
        </is>
      </c>
      <c r="AU36" s="2" t="inlineStr">
        <is>
          <t>À intégrer après validation du prototype</t>
        </is>
      </c>
      <c r="AV36" s="2" t="inlineStr">
        <is>
          <t>Dodge WC-54 : véhicule de catégorie « Ambulance », d'origine États-Unis. Motorisation recensée : À rechercher. Fiche de catalogue à compléter avec le rôle tactique et les caractéristiques de jeu.</t>
        </is>
      </c>
    </row>
    <row r="37" ht="60" customHeight="1">
      <c r="A37" s="2" t="inlineStr">
        <is>
          <t>VEH-036</t>
        </is>
      </c>
      <c r="B37" s="2" t="inlineStr">
        <is>
          <t>Camions légers et moyens</t>
        </is>
      </c>
      <c r="C37" s="2" t="inlineStr">
        <is>
          <t>Chevrolet G506</t>
        </is>
      </c>
      <c r="D37" s="2" t="inlineStr">
        <is>
          <t>À distinguer si plusieurs variantes</t>
        </is>
      </c>
      <c r="E37" s="2" t="inlineStr">
        <is>
          <t>États-Unis</t>
        </is>
      </c>
      <c r="F37" s="2" t="inlineStr">
        <is>
          <t>À documenter</t>
        </is>
      </c>
      <c r="G37" s="2" t="inlineStr">
        <is>
          <t>À confirmer</t>
        </is>
      </c>
      <c r="H37" s="2" t="inlineStr">
        <is>
          <t>Camion 1,5 tonne</t>
        </is>
      </c>
      <c r="I37" s="2" t="inlineStr">
        <is>
          <t>À définir</t>
        </is>
      </c>
      <c r="J37" s="2" t="n"/>
      <c r="K37" s="2" t="n"/>
      <c r="L37" s="2" t="n"/>
      <c r="M37" s="2" t="n"/>
      <c r="N37" s="2" t="n"/>
      <c r="O37" s="2" t="n"/>
      <c r="P37" s="2" t="inlineStr">
        <is>
          <t>À rechercher</t>
        </is>
      </c>
      <c r="Q37" s="2" t="n"/>
      <c r="R37" s="2" t="n"/>
      <c r="S37" s="2" t="inlineStr">
        <is>
          <t>À confirmer</t>
        </is>
      </c>
      <c r="T37" s="2" t="n"/>
      <c r="U37" s="2" t="n"/>
      <c r="V37" s="2" t="n"/>
      <c r="W37" s="2" t="n"/>
      <c r="X37" s="2" t="inlineStr">
        <is>
          <t>À documenter</t>
        </is>
      </c>
      <c r="Y37" s="2" t="inlineStr">
        <is>
          <t>À documenter</t>
        </is>
      </c>
      <c r="Z37" s="2" t="inlineStr">
        <is>
          <t>À documenter</t>
        </is>
      </c>
      <c r="AA37" s="2" t="inlineStr">
        <is>
          <t>À documenter</t>
        </is>
      </c>
      <c r="AB37" s="2" t="inlineStr">
        <is>
          <t>À documenter</t>
        </is>
      </c>
      <c r="AC37" s="2" t="inlineStr">
        <is>
          <t>Aucun armement fixe standard identifié; arme individuelle/affût de campagne possible selon usage</t>
        </is>
      </c>
      <c r="AD37" s="2" t="inlineStr">
        <is>
          <t>À documenter</t>
        </is>
      </c>
      <c r="AE37" s="2" t="inlineStr">
        <is>
          <t>À documenter</t>
        </is>
      </c>
      <c r="AF37" s="2" t="inlineStr">
        <is>
          <t>À définir</t>
        </is>
      </c>
      <c r="AG37" s="2" t="inlineStr">
        <is>
          <t>À définir</t>
        </is>
      </c>
      <c r="AH37" s="2" t="inlineStr">
        <is>
          <t>Réparation d’origine si véhicule complet ; démontage si incomplet</t>
        </is>
      </c>
      <c r="AI37" s="2" t="inlineStr">
        <is>
          <t>À documenter</t>
        </is>
      </c>
      <c r="AJ37" s="2" t="inlineStr">
        <is>
          <t>À définir</t>
        </is>
      </c>
      <c r="AK37" s="2" t="inlineStr">
        <is>
          <t>À documenter</t>
        </is>
      </c>
      <c r="AL37" s="2" t="inlineStr">
        <is>
          <t>À rechercher / voir sources historiques</t>
        </is>
      </c>
      <c r="AM37" s="2" t="inlineStr">
        <is>
          <t>À rechercher</t>
        </is>
      </c>
      <c r="AN37" s="2" t="inlineStr">
        <is>
          <t>Source de niveau variable ; contrôle par variante nécessaire</t>
        </is>
      </c>
      <c r="AO37" s="2" t="inlineStr">
        <is>
          <t>Non renseigné</t>
        </is>
      </c>
      <c r="AP37" s="2" t="inlineStr">
        <is>
          <t>Faible</t>
        </is>
      </c>
      <c r="AQ37" s="2" t="inlineStr">
        <is>
          <t>Élevé</t>
        </is>
      </c>
      <c r="AR37" s="2" t="inlineStr">
        <is>
          <t>Partiel — fiche à compléter</t>
        </is>
      </c>
      <c r="AS37" s="2" t="inlineStr">
        <is>
          <t>P2/P3</t>
        </is>
      </c>
      <c r="AT37" s="2" t="inlineStr">
        <is>
          <t>Modèle à valider historiquement avant verrouillage</t>
        </is>
      </c>
      <c r="AU37" s="2" t="inlineStr">
        <is>
          <t>À intégrer après validation du prototype</t>
        </is>
      </c>
      <c r="AV37" s="2" t="inlineStr">
        <is>
          <t>Chevrolet G506 : véhicule de catégorie « Camion 1,5 tonne », d'origine États-Unis. Motorisation recensée : À rechercher. Fiche de catalogue à compléter avec le rôle tactique et les caractéristiques de jeu.</t>
        </is>
      </c>
    </row>
    <row r="38" ht="60" customHeight="1">
      <c r="A38" s="2" t="inlineStr">
        <is>
          <t>VEH-037</t>
        </is>
      </c>
      <c r="B38" s="2" t="inlineStr">
        <is>
          <t>Camions légers et moyens</t>
        </is>
      </c>
      <c r="C38" s="2" t="inlineStr">
        <is>
          <t>GMC CCKW 353</t>
        </is>
      </c>
      <c r="D38" s="2" t="inlineStr">
        <is>
          <t>CCKW-353 empattement long; distinguer caisse cargo, citerne, atelier, dépannage et autres carrosseries</t>
        </is>
      </c>
      <c r="E38" s="2" t="inlineStr">
        <is>
          <t>États-Unis</t>
        </is>
      </c>
      <c r="F38" s="2" t="inlineStr">
        <is>
          <t>1941–1945</t>
        </is>
      </c>
      <c r="G38" s="2" t="inlineStr">
        <is>
          <t>Production en grande série</t>
        </is>
      </c>
      <c r="H38" s="2" t="inlineStr">
        <is>
          <t>Camion militaire 2,5 tonnes, 6x6</t>
        </is>
      </c>
      <c r="I38" s="2" t="inlineStr">
        <is>
          <t>Transport de troupes, fret, carburant ou pièces selon carrosserie</t>
        </is>
      </c>
      <c r="J38" s="2" t="inlineStr">
        <is>
          <t>≈ 4 500–5 000 selon carrosserie; valeur à ne pas figer</t>
        </is>
      </c>
      <c r="K38" s="2" t="n"/>
      <c r="L38" s="2" t="inlineStr">
        <is>
          <t>≈ 6.5–6.7 selon configuration</t>
        </is>
      </c>
      <c r="M38" s="2" t="inlineStr">
        <is>
          <t>≈ 2.2–2.3 selon pneus/carrosserie</t>
        </is>
      </c>
      <c r="N38" s="2" t="n">
        <v>2.74</v>
      </c>
      <c r="O38" s="2" t="n"/>
      <c r="P38" s="2" t="inlineStr">
        <is>
          <t>GMC 270, 6 cylindres en ligne essence</t>
        </is>
      </c>
      <c r="Q38" s="2" t="n">
        <v>4.4</v>
      </c>
      <c r="R38" s="2" t="inlineStr">
        <is>
          <t>≈ 91–104 selon définition/régime et version</t>
        </is>
      </c>
      <c r="S38" s="2" t="inlineStr">
        <is>
          <t>Essence</t>
        </is>
      </c>
      <c r="T38" s="2" t="n"/>
      <c r="U38" s="2" t="n"/>
      <c r="V38" s="2" t="n"/>
      <c r="W38" s="2" t="n"/>
      <c r="X38" s="2" t="inlineStr">
        <is>
          <t>À documenter</t>
        </is>
      </c>
      <c r="Y38" s="2" t="inlineStr">
        <is>
          <t>À documenter</t>
        </is>
      </c>
      <c r="Z38" s="2" t="inlineStr">
        <is>
          <t>6x6; boîte manuelle; gamme transfert</t>
        </is>
      </c>
      <c r="AA38" s="2" t="inlineStr">
        <is>
          <t>Essieux rigides; ressorts à lames</t>
        </is>
      </c>
      <c r="AB38" s="2" t="inlineStr">
        <is>
          <t>À documenter</t>
        </is>
      </c>
      <c r="AC38" s="2" t="inlineStr">
        <is>
          <t>Pas d'arme fixe standard; affût/mitrailleuse possible sur certaines versions ou conversions</t>
        </is>
      </c>
      <c r="AD38" s="2" t="inlineStr">
        <is>
          <t>À documenter</t>
        </is>
      </c>
      <c r="AE38" s="2" t="inlineStr">
        <is>
          <t>À documenter</t>
        </is>
      </c>
      <c r="AF38" s="2" t="inlineStr">
        <is>
          <t>À définir</t>
        </is>
      </c>
      <c r="AG38" s="2" t="inlineStr">
        <is>
          <t>À définir</t>
        </is>
      </c>
      <c r="AH38" s="2" t="inlineStr">
        <is>
          <t>Réparation d’origine si véhicule complet ; démontage si incomplet</t>
        </is>
      </c>
      <c r="AI38" s="2" t="inlineStr">
        <is>
          <t>À documenter</t>
        </is>
      </c>
      <c r="AJ38" s="2" t="inlineStr">
        <is>
          <t>À définir</t>
        </is>
      </c>
      <c r="AK38" s="2" t="inlineStr">
        <is>
          <t>À documenter</t>
        </is>
      </c>
      <c r="AL38" s="2" t="inlineStr">
        <is>
          <t>TM 9-801, manuel technique GMC CCKW-352/353</t>
        </is>
      </c>
      <c r="AM38" s="2" t="inlineStr">
        <is>
          <t>https://ibiblio.org/hyperwar/USA/ref/TM/pdfs/TM9-801.pdf ; https://www.gmccckw.nl/bronnenENG.php</t>
        </is>
      </c>
      <c r="AN38" s="2" t="inlineStr">
        <is>
          <t>Manuel primaire identifié; fiche technique exacte à extraire selon carrosserie</t>
        </is>
      </c>
      <c r="AO38" s="2" t="inlineStr">
        <is>
          <t>Moyenne; carrosseries multiples</t>
        </is>
      </c>
      <c r="AP38" s="2" t="inlineStr">
        <is>
          <t>Moyenne à élevée</t>
        </is>
      </c>
      <c r="AQ38" s="2" t="inlineStr">
        <is>
          <t>Partiel</t>
        </is>
      </c>
      <c r="AR38" s="2" t="inlineStr">
        <is>
          <t>Partiellement documenté</t>
        </is>
      </c>
      <c r="AS38" s="2" t="inlineStr">
        <is>
          <t>P1</t>
        </is>
      </c>
      <c r="AT38" s="2" t="inlineStr">
        <is>
          <t>Le modèle 353 correspond à l’empattement long; les poids et dimensions changent sensiblement avec la carrosserie. Ne pas appliquer une consommation unique à toutes les variantes.</t>
        </is>
      </c>
      <c r="AU38" s="2" t="inlineStr">
        <is>
          <t>Premier transport lourd potentiel</t>
        </is>
      </c>
      <c r="AV38" s="2" t="inlineStr">
        <is>
          <t>Camion 6x6 robuste à forte capacité de transport; coûteux en carburant et dépendant des pièces lourdes.</t>
        </is>
      </c>
    </row>
    <row r="39" ht="60" customHeight="1">
      <c r="A39" s="2" t="inlineStr">
        <is>
          <t>VEH-038</t>
        </is>
      </c>
      <c r="B39" s="2" t="inlineStr">
        <is>
          <t>Camions légers et moyens</t>
        </is>
      </c>
      <c r="C39" s="2" t="inlineStr">
        <is>
          <t>Studebaker US6</t>
        </is>
      </c>
      <c r="D39" s="2" t="inlineStr">
        <is>
          <t>À distinguer si plusieurs variantes</t>
        </is>
      </c>
      <c r="E39" s="2" t="inlineStr">
        <is>
          <t>États-Unis</t>
        </is>
      </c>
      <c r="F39" s="2" t="inlineStr">
        <is>
          <t>À documenter</t>
        </is>
      </c>
      <c r="G39" s="2" t="inlineStr">
        <is>
          <t>À confirmer</t>
        </is>
      </c>
      <c r="H39" s="2" t="inlineStr">
        <is>
          <t>Camion 2,5 tonnes</t>
        </is>
      </c>
      <c r="I39" s="2" t="inlineStr">
        <is>
          <t>À définir</t>
        </is>
      </c>
      <c r="J39" s="2" t="n"/>
      <c r="K39" s="2" t="n"/>
      <c r="L39" s="2" t="n"/>
      <c r="M39" s="2" t="n"/>
      <c r="N39" s="2" t="n"/>
      <c r="O39" s="2" t="n"/>
      <c r="P39" s="2" t="inlineStr">
        <is>
          <t>À rechercher</t>
        </is>
      </c>
      <c r="Q39" s="2" t="n"/>
      <c r="R39" s="2" t="n"/>
      <c r="S39" s="2" t="inlineStr">
        <is>
          <t>À confirmer</t>
        </is>
      </c>
      <c r="T39" s="2" t="n"/>
      <c r="U39" s="2" t="n"/>
      <c r="V39" s="2" t="n"/>
      <c r="W39" s="2" t="n"/>
      <c r="X39" s="2" t="inlineStr">
        <is>
          <t>À documenter</t>
        </is>
      </c>
      <c r="Y39" s="2" t="inlineStr">
        <is>
          <t>À documenter</t>
        </is>
      </c>
      <c r="Z39" s="2" t="inlineStr">
        <is>
          <t>À documenter</t>
        </is>
      </c>
      <c r="AA39" s="2" t="inlineStr">
        <is>
          <t>À documenter</t>
        </is>
      </c>
      <c r="AB39" s="2" t="inlineStr">
        <is>
          <t>À documenter</t>
        </is>
      </c>
      <c r="AC39" s="2" t="inlineStr">
        <is>
          <t>Aucun armement fixe standard identifié; arme individuelle/affût de campagne possible selon usage</t>
        </is>
      </c>
      <c r="AD39" s="2" t="inlineStr">
        <is>
          <t>À documenter</t>
        </is>
      </c>
      <c r="AE39" s="2" t="inlineStr">
        <is>
          <t>À documenter</t>
        </is>
      </c>
      <c r="AF39" s="2" t="inlineStr">
        <is>
          <t>À définir</t>
        </is>
      </c>
      <c r="AG39" s="2" t="inlineStr">
        <is>
          <t>À définir</t>
        </is>
      </c>
      <c r="AH39" s="2" t="inlineStr">
        <is>
          <t>Réparation d’origine si véhicule complet ; démontage si incomplet</t>
        </is>
      </c>
      <c r="AI39" s="2" t="inlineStr">
        <is>
          <t>À documenter</t>
        </is>
      </c>
      <c r="AJ39" s="2" t="inlineStr">
        <is>
          <t>À définir</t>
        </is>
      </c>
      <c r="AK39" s="2" t="inlineStr">
        <is>
          <t>À documenter</t>
        </is>
      </c>
      <c r="AL39" s="2" t="inlineStr">
        <is>
          <t>À rechercher / voir sources historiques</t>
        </is>
      </c>
      <c r="AM39" s="2" t="inlineStr">
        <is>
          <t>À rechercher</t>
        </is>
      </c>
      <c r="AN39" s="2" t="inlineStr">
        <is>
          <t>Source de niveau variable ; contrôle par variante nécessaire</t>
        </is>
      </c>
      <c r="AO39" s="2" t="inlineStr">
        <is>
          <t>Non renseigné</t>
        </is>
      </c>
      <c r="AP39" s="2" t="inlineStr">
        <is>
          <t>Faible</t>
        </is>
      </c>
      <c r="AQ39" s="2" t="inlineStr">
        <is>
          <t>Élevé</t>
        </is>
      </c>
      <c r="AR39" s="2" t="inlineStr">
        <is>
          <t>Partiel — fiche à compléter</t>
        </is>
      </c>
      <c r="AS39" s="2" t="inlineStr">
        <is>
          <t>P2/P3</t>
        </is>
      </c>
      <c r="AT39" s="2" t="inlineStr">
        <is>
          <t>Modèle à valider historiquement avant verrouillage</t>
        </is>
      </c>
      <c r="AU39" s="2" t="inlineStr">
        <is>
          <t>À intégrer après validation du prototype</t>
        </is>
      </c>
      <c r="AV39" s="2" t="inlineStr">
        <is>
          <t>Studebaker US6 : véhicule de catégorie « Camion 2,5 tonnes », d'origine États-Unis. Motorisation recensée : À rechercher. Fiche de catalogue à compléter avec le rôle tactique et les caractéristiques de jeu.</t>
        </is>
      </c>
    </row>
    <row r="40" ht="60" customHeight="1">
      <c r="A40" s="2" t="inlineStr">
        <is>
          <t>VEH-039</t>
        </is>
      </c>
      <c r="B40" s="2" t="inlineStr">
        <is>
          <t>Camions légers et moyens</t>
        </is>
      </c>
      <c r="C40" s="2" t="inlineStr">
        <is>
          <t>Ford F-series pré-guerre / Model 50</t>
        </is>
      </c>
      <c r="D40" s="2" t="inlineStr">
        <is>
          <t>À distinguer si plusieurs variantes</t>
        </is>
      </c>
      <c r="E40" s="2" t="inlineStr">
        <is>
          <t>États-Unis</t>
        </is>
      </c>
      <c r="F40" s="2" t="inlineStr">
        <is>
          <t>À documenter</t>
        </is>
      </c>
      <c r="G40" s="2" t="inlineStr">
        <is>
          <t>À confirmer</t>
        </is>
      </c>
      <c r="H40" s="2" t="inlineStr">
        <is>
          <t>Camion léger</t>
        </is>
      </c>
      <c r="I40" s="2" t="inlineStr">
        <is>
          <t>À définir</t>
        </is>
      </c>
      <c r="J40" s="2" t="n"/>
      <c r="K40" s="2" t="n"/>
      <c r="L40" s="2" t="n"/>
      <c r="M40" s="2" t="n"/>
      <c r="N40" s="2" t="n"/>
      <c r="O40" s="2" t="n"/>
      <c r="P40" s="2" t="inlineStr">
        <is>
          <t>À rechercher</t>
        </is>
      </c>
      <c r="Q40" s="2" t="n"/>
      <c r="R40" s="2" t="n"/>
      <c r="S40" s="2" t="inlineStr">
        <is>
          <t>À confirmer</t>
        </is>
      </c>
      <c r="T40" s="2" t="n"/>
      <c r="U40" s="2" t="n"/>
      <c r="V40" s="2" t="n"/>
      <c r="W40" s="2" t="n"/>
      <c r="X40" s="2" t="inlineStr">
        <is>
          <t>À documenter</t>
        </is>
      </c>
      <c r="Y40" s="2" t="inlineStr">
        <is>
          <t>À documenter</t>
        </is>
      </c>
      <c r="Z40" s="2" t="inlineStr">
        <is>
          <t>À documenter</t>
        </is>
      </c>
      <c r="AA40" s="2" t="inlineStr">
        <is>
          <t>À documenter</t>
        </is>
      </c>
      <c r="AB40" s="2" t="inlineStr">
        <is>
          <t>À documenter</t>
        </is>
      </c>
      <c r="AC40" s="2" t="inlineStr">
        <is>
          <t>Aucun armement fixe standard identifié; arme individuelle/affût de campagne possible selon usage</t>
        </is>
      </c>
      <c r="AD40" s="2" t="inlineStr">
        <is>
          <t>À documenter</t>
        </is>
      </c>
      <c r="AE40" s="2" t="inlineStr">
        <is>
          <t>À documenter</t>
        </is>
      </c>
      <c r="AF40" s="2" t="inlineStr">
        <is>
          <t>À définir</t>
        </is>
      </c>
      <c r="AG40" s="2" t="inlineStr">
        <is>
          <t>À définir</t>
        </is>
      </c>
      <c r="AH40" s="2" t="inlineStr">
        <is>
          <t>Réparation d’origine si véhicule complet ; démontage si incomplet</t>
        </is>
      </c>
      <c r="AI40" s="2" t="inlineStr">
        <is>
          <t>À documenter</t>
        </is>
      </c>
      <c r="AJ40" s="2" t="inlineStr">
        <is>
          <t>À définir</t>
        </is>
      </c>
      <c r="AK40" s="2" t="inlineStr">
        <is>
          <t>À documenter</t>
        </is>
      </c>
      <c r="AL40" s="2" t="inlineStr">
        <is>
          <t>À rechercher / voir sources historiques</t>
        </is>
      </c>
      <c r="AM40" s="2" t="inlineStr">
        <is>
          <t>À rechercher</t>
        </is>
      </c>
      <c r="AN40" s="2" t="inlineStr">
        <is>
          <t>Source de niveau variable ; contrôle par variante nécessaire</t>
        </is>
      </c>
      <c r="AO40" s="2" t="inlineStr">
        <is>
          <t>Non renseigné</t>
        </is>
      </c>
      <c r="AP40" s="2" t="inlineStr">
        <is>
          <t>Faible</t>
        </is>
      </c>
      <c r="AQ40" s="2" t="inlineStr">
        <is>
          <t>Élevé</t>
        </is>
      </c>
      <c r="AR40" s="2" t="inlineStr">
        <is>
          <t>Partiel — fiche à compléter</t>
        </is>
      </c>
      <c r="AS40" s="2" t="inlineStr">
        <is>
          <t>P2/P3</t>
        </is>
      </c>
      <c r="AT40" s="2" t="inlineStr">
        <is>
          <t>Modèle à valider historiquement avant verrouillage</t>
        </is>
      </c>
      <c r="AU40" s="2" t="inlineStr">
        <is>
          <t>À intégrer après validation du prototype</t>
        </is>
      </c>
      <c r="AV40" s="2" t="inlineStr">
        <is>
          <t>Ford F-series pré-guerre / Model 50 : véhicule de catégorie « Camion léger », d'origine États-Unis. Motorisation recensée : À rechercher. Fiche de catalogue à compléter avec le rôle tactique et les caractéristiques de jeu.</t>
        </is>
      </c>
    </row>
    <row r="41" ht="60" customHeight="1">
      <c r="A41" s="2" t="inlineStr">
        <is>
          <t>VEH-040</t>
        </is>
      </c>
      <c r="B41" s="2" t="inlineStr">
        <is>
          <t>Camions légers et moyens</t>
        </is>
      </c>
      <c r="C41" s="2" t="inlineStr">
        <is>
          <t>Bedford QL</t>
        </is>
      </c>
      <c r="D41" s="2" t="inlineStr">
        <is>
          <t>À distinguer si plusieurs variantes</t>
        </is>
      </c>
      <c r="E41" s="2" t="inlineStr">
        <is>
          <t>Royaume-Uni</t>
        </is>
      </c>
      <c r="F41" s="2" t="inlineStr">
        <is>
          <t>À documenter</t>
        </is>
      </c>
      <c r="G41" s="2" t="inlineStr">
        <is>
          <t>À confirmer</t>
        </is>
      </c>
      <c r="H41" s="2" t="inlineStr">
        <is>
          <t>Camion militaire 4x4</t>
        </is>
      </c>
      <c r="I41" s="2" t="inlineStr">
        <is>
          <t>À définir</t>
        </is>
      </c>
      <c r="J41" s="2" t="n"/>
      <c r="K41" s="2" t="n"/>
      <c r="L41" s="2" t="n"/>
      <c r="M41" s="2" t="n"/>
      <c r="N41" s="2" t="n"/>
      <c r="O41" s="2" t="n"/>
      <c r="P41" s="2" t="inlineStr">
        <is>
          <t>À rechercher</t>
        </is>
      </c>
      <c r="Q41" s="2" t="n"/>
      <c r="R41" s="2" t="n"/>
      <c r="S41" s="2" t="inlineStr">
        <is>
          <t>À confirmer</t>
        </is>
      </c>
      <c r="T41" s="2" t="n"/>
      <c r="U41" s="2" t="n"/>
      <c r="V41" s="2" t="n"/>
      <c r="W41" s="2" t="n"/>
      <c r="X41" s="2" t="inlineStr">
        <is>
          <t>À documenter</t>
        </is>
      </c>
      <c r="Y41" s="2" t="inlineStr">
        <is>
          <t>À documenter</t>
        </is>
      </c>
      <c r="Z41" s="2" t="inlineStr">
        <is>
          <t>À documenter</t>
        </is>
      </c>
      <c r="AA41" s="2" t="inlineStr">
        <is>
          <t>À documenter</t>
        </is>
      </c>
      <c r="AB41" s="2" t="inlineStr">
        <is>
          <t>À documenter</t>
        </is>
      </c>
      <c r="AC41" s="2" t="inlineStr">
        <is>
          <t>Pas d'arme fixe standard; affût/mitrailleuse possible sur certaines versions ou conversions</t>
        </is>
      </c>
      <c r="AD41" s="2" t="inlineStr">
        <is>
          <t>À documenter</t>
        </is>
      </c>
      <c r="AE41" s="2" t="inlineStr">
        <is>
          <t>À documenter</t>
        </is>
      </c>
      <c r="AF41" s="2" t="inlineStr">
        <is>
          <t>À définir</t>
        </is>
      </c>
      <c r="AG41" s="2" t="inlineStr">
        <is>
          <t>À définir</t>
        </is>
      </c>
      <c r="AH41" s="2" t="inlineStr">
        <is>
          <t>Réparation d’origine si véhicule complet ; démontage si incomplet</t>
        </is>
      </c>
      <c r="AI41" s="2" t="inlineStr">
        <is>
          <t>À documenter</t>
        </is>
      </c>
      <c r="AJ41" s="2" t="inlineStr">
        <is>
          <t>À définir</t>
        </is>
      </c>
      <c r="AK41" s="2" t="inlineStr">
        <is>
          <t>À documenter</t>
        </is>
      </c>
      <c r="AL41" s="2" t="inlineStr">
        <is>
          <t>À rechercher / voir sources historiques</t>
        </is>
      </c>
      <c r="AM41" s="2" t="inlineStr">
        <is>
          <t>À rechercher</t>
        </is>
      </c>
      <c r="AN41" s="2" t="inlineStr">
        <is>
          <t>Source de niveau variable ; contrôle par variante nécessaire</t>
        </is>
      </c>
      <c r="AO41" s="2" t="inlineStr">
        <is>
          <t>Non renseigné</t>
        </is>
      </c>
      <c r="AP41" s="2" t="inlineStr">
        <is>
          <t>Faible</t>
        </is>
      </c>
      <c r="AQ41" s="2" t="inlineStr">
        <is>
          <t>Partiel</t>
        </is>
      </c>
      <c r="AR41" s="2" t="inlineStr">
        <is>
          <t>Partiel — fiche à compléter</t>
        </is>
      </c>
      <c r="AS41" s="2" t="inlineStr">
        <is>
          <t>P2/P3</t>
        </is>
      </c>
      <c r="AT41" s="2" t="inlineStr">
        <is>
          <t>Modèle à valider historiquement avant verrouillage</t>
        </is>
      </c>
      <c r="AU41" s="2" t="inlineStr">
        <is>
          <t>À intégrer après validation du prototype</t>
        </is>
      </c>
      <c r="AV41" s="2" t="inlineStr">
        <is>
          <t>Bedford QL : véhicule de catégorie « Camion militaire 4x4 », d'origine Royaume-Uni. Motorisation recensée : À rechercher. Fiche de catalogue à compléter avec le rôle tactique et les caractéristiques de jeu.</t>
        </is>
      </c>
    </row>
    <row r="42" ht="60" customHeight="1">
      <c r="A42" s="2" t="inlineStr">
        <is>
          <t>VEH-041</t>
        </is>
      </c>
      <c r="B42" s="2" t="inlineStr">
        <is>
          <t>Camions légers et moyens</t>
        </is>
      </c>
      <c r="C42" s="2" t="inlineStr">
        <is>
          <t>Austin K5</t>
        </is>
      </c>
      <c r="D42" s="2" t="inlineStr">
        <is>
          <t>À distinguer si plusieurs variantes</t>
        </is>
      </c>
      <c r="E42" s="2" t="inlineStr">
        <is>
          <t>Royaume-Uni</t>
        </is>
      </c>
      <c r="F42" s="2" t="inlineStr">
        <is>
          <t>À documenter</t>
        </is>
      </c>
      <c r="G42" s="2" t="inlineStr">
        <is>
          <t>À confirmer</t>
        </is>
      </c>
      <c r="H42" s="2" t="inlineStr">
        <is>
          <t>Camion militaire</t>
        </is>
      </c>
      <c r="I42" s="2" t="inlineStr">
        <is>
          <t>À définir</t>
        </is>
      </c>
      <c r="J42" s="2" t="n"/>
      <c r="K42" s="2" t="n"/>
      <c r="L42" s="2" t="n"/>
      <c r="M42" s="2" t="n"/>
      <c r="N42" s="2" t="n"/>
      <c r="O42" s="2" t="n"/>
      <c r="P42" s="2" t="inlineStr">
        <is>
          <t>À rechercher</t>
        </is>
      </c>
      <c r="Q42" s="2" t="n"/>
      <c r="R42" s="2" t="n"/>
      <c r="S42" s="2" t="inlineStr">
        <is>
          <t>À confirmer</t>
        </is>
      </c>
      <c r="T42" s="2" t="n"/>
      <c r="U42" s="2" t="n"/>
      <c r="V42" s="2" t="n"/>
      <c r="W42" s="2" t="n"/>
      <c r="X42" s="2" t="inlineStr">
        <is>
          <t>À documenter</t>
        </is>
      </c>
      <c r="Y42" s="2" t="inlineStr">
        <is>
          <t>À documenter</t>
        </is>
      </c>
      <c r="Z42" s="2" t="inlineStr">
        <is>
          <t>À documenter</t>
        </is>
      </c>
      <c r="AA42" s="2" t="inlineStr">
        <is>
          <t>À documenter</t>
        </is>
      </c>
      <c r="AB42" s="2" t="inlineStr">
        <is>
          <t>À documenter</t>
        </is>
      </c>
      <c r="AC42" s="2" t="inlineStr">
        <is>
          <t>Aucun armement fixe standard identifié; arme individuelle/affût de campagne possible selon usage</t>
        </is>
      </c>
      <c r="AD42" s="2" t="inlineStr">
        <is>
          <t>À documenter</t>
        </is>
      </c>
      <c r="AE42" s="2" t="inlineStr">
        <is>
          <t>À documenter</t>
        </is>
      </c>
      <c r="AF42" s="2" t="inlineStr">
        <is>
          <t>À définir</t>
        </is>
      </c>
      <c r="AG42" s="2" t="inlineStr">
        <is>
          <t>À définir</t>
        </is>
      </c>
      <c r="AH42" s="2" t="inlineStr">
        <is>
          <t>Réparation d’origine si véhicule complet ; démontage si incomplet</t>
        </is>
      </c>
      <c r="AI42" s="2" t="inlineStr">
        <is>
          <t>À documenter</t>
        </is>
      </c>
      <c r="AJ42" s="2" t="inlineStr">
        <is>
          <t>À définir</t>
        </is>
      </c>
      <c r="AK42" s="2" t="inlineStr">
        <is>
          <t>À documenter</t>
        </is>
      </c>
      <c r="AL42" s="2" t="inlineStr">
        <is>
          <t>À rechercher / voir sources historiques</t>
        </is>
      </c>
      <c r="AM42" s="2" t="inlineStr">
        <is>
          <t>À rechercher</t>
        </is>
      </c>
      <c r="AN42" s="2" t="inlineStr">
        <is>
          <t>Source de niveau variable ; contrôle par variante nécessaire</t>
        </is>
      </c>
      <c r="AO42" s="2" t="inlineStr">
        <is>
          <t>Non renseigné</t>
        </is>
      </c>
      <c r="AP42" s="2" t="inlineStr">
        <is>
          <t>Faible</t>
        </is>
      </c>
      <c r="AQ42" s="2" t="inlineStr">
        <is>
          <t>Élevé</t>
        </is>
      </c>
      <c r="AR42" s="2" t="inlineStr">
        <is>
          <t>Partiel — fiche à compléter</t>
        </is>
      </c>
      <c r="AS42" s="2" t="inlineStr">
        <is>
          <t>P2/P3</t>
        </is>
      </c>
      <c r="AT42" s="2" t="inlineStr">
        <is>
          <t>Modèle à valider historiquement avant verrouillage</t>
        </is>
      </c>
      <c r="AU42" s="2" t="inlineStr">
        <is>
          <t>À intégrer après validation du prototype</t>
        </is>
      </c>
      <c r="AV42" s="2" t="inlineStr">
        <is>
          <t>Austin K5 : véhicule de catégorie « Camion militaire », d'origine Royaume-Uni. Motorisation recensée : À rechercher. Fiche de catalogue à compléter avec le rôle tactique et les caractéristiques de jeu.</t>
        </is>
      </c>
    </row>
    <row r="43" ht="60" customHeight="1">
      <c r="A43" s="2" t="inlineStr">
        <is>
          <t>VEH-042</t>
        </is>
      </c>
      <c r="B43" s="2" t="inlineStr">
        <is>
          <t>Camions légers et moyens</t>
        </is>
      </c>
      <c r="C43" s="2" t="inlineStr">
        <is>
          <t>Morris Commercial C8</t>
        </is>
      </c>
      <c r="D43" s="2" t="inlineStr">
        <is>
          <t>À distinguer si plusieurs variantes</t>
        </is>
      </c>
      <c r="E43" s="2" t="inlineStr">
        <is>
          <t>Royaume-Uni</t>
        </is>
      </c>
      <c r="F43" s="2" t="inlineStr">
        <is>
          <t>À documenter</t>
        </is>
      </c>
      <c r="G43" s="2" t="inlineStr">
        <is>
          <t>À confirmer</t>
        </is>
      </c>
      <c r="H43" s="2" t="inlineStr">
        <is>
          <t>Tracteur d'artillerie / utilitaire</t>
        </is>
      </c>
      <c r="I43" s="2" t="inlineStr">
        <is>
          <t>À définir</t>
        </is>
      </c>
      <c r="J43" s="2" t="n"/>
      <c r="K43" s="2" t="n"/>
      <c r="L43" s="2" t="n"/>
      <c r="M43" s="2" t="n"/>
      <c r="N43" s="2" t="n"/>
      <c r="O43" s="2" t="n"/>
      <c r="P43" s="2" t="inlineStr">
        <is>
          <t>À rechercher</t>
        </is>
      </c>
      <c r="Q43" s="2" t="n"/>
      <c r="R43" s="2" t="n"/>
      <c r="S43" s="2" t="inlineStr">
        <is>
          <t>À confirmer</t>
        </is>
      </c>
      <c r="T43" s="2" t="n"/>
      <c r="U43" s="2" t="n"/>
      <c r="V43" s="2" t="n"/>
      <c r="W43" s="2" t="n"/>
      <c r="X43" s="2" t="inlineStr">
        <is>
          <t>À documenter</t>
        </is>
      </c>
      <c r="Y43" s="2" t="inlineStr">
        <is>
          <t>À documenter</t>
        </is>
      </c>
      <c r="Z43" s="2" t="inlineStr">
        <is>
          <t>À documenter</t>
        </is>
      </c>
      <c r="AA43" s="2" t="inlineStr">
        <is>
          <t>À documenter</t>
        </is>
      </c>
      <c r="AB43" s="2" t="inlineStr">
        <is>
          <t>À documenter</t>
        </is>
      </c>
      <c r="AC43" s="2" t="inlineStr">
        <is>
          <t>Aucun armement fixe standard identifié; arme individuelle/affût de campagne possible selon usage</t>
        </is>
      </c>
      <c r="AD43" s="2" t="inlineStr">
        <is>
          <t>À documenter</t>
        </is>
      </c>
      <c r="AE43" s="2" t="inlineStr">
        <is>
          <t>À documenter</t>
        </is>
      </c>
      <c r="AF43" s="2" t="inlineStr">
        <is>
          <t>À définir</t>
        </is>
      </c>
      <c r="AG43" s="2" t="inlineStr">
        <is>
          <t>À définir</t>
        </is>
      </c>
      <c r="AH43" s="2" t="inlineStr">
        <is>
          <t>Réparation d’origine si véhicule complet ; démontage si incomplet</t>
        </is>
      </c>
      <c r="AI43" s="2" t="inlineStr">
        <is>
          <t>À documenter</t>
        </is>
      </c>
      <c r="AJ43" s="2" t="inlineStr">
        <is>
          <t>À définir</t>
        </is>
      </c>
      <c r="AK43" s="2" t="inlineStr">
        <is>
          <t>À documenter</t>
        </is>
      </c>
      <c r="AL43" s="2" t="inlineStr">
        <is>
          <t>À rechercher / voir sources historiques</t>
        </is>
      </c>
      <c r="AM43" s="2" t="inlineStr">
        <is>
          <t>À rechercher</t>
        </is>
      </c>
      <c r="AN43" s="2" t="inlineStr">
        <is>
          <t>Source de niveau variable ; contrôle par variante nécessaire</t>
        </is>
      </c>
      <c r="AO43" s="2" t="inlineStr">
        <is>
          <t>Non renseigné</t>
        </is>
      </c>
      <c r="AP43" s="2" t="inlineStr">
        <is>
          <t>Faible</t>
        </is>
      </c>
      <c r="AQ43" s="2" t="inlineStr">
        <is>
          <t>Élevé</t>
        </is>
      </c>
      <c r="AR43" s="2" t="inlineStr">
        <is>
          <t>Partiel — fiche à compléter</t>
        </is>
      </c>
      <c r="AS43" s="2" t="inlineStr">
        <is>
          <t>P2/P3</t>
        </is>
      </c>
      <c r="AT43" s="2" t="inlineStr">
        <is>
          <t>Modèle à valider historiquement avant verrouillage</t>
        </is>
      </c>
      <c r="AU43" s="2" t="inlineStr">
        <is>
          <t>À intégrer après validation du prototype</t>
        </is>
      </c>
      <c r="AV43" s="2" t="inlineStr">
        <is>
          <t>Morris Commercial C8 : véhicule de catégorie « Tracteur d'artillerie / utilitaire », d'origine Royaume-Uni. Motorisation recensée : À rechercher. Fiche de catalogue à compléter avec le rôle tactique et les caractéristiques de jeu.</t>
        </is>
      </c>
    </row>
    <row r="44" ht="60" customHeight="1">
      <c r="A44" s="2" t="inlineStr">
        <is>
          <t>VEH-043</t>
        </is>
      </c>
      <c r="B44" s="2" t="inlineStr">
        <is>
          <t>Camions légers et moyens</t>
        </is>
      </c>
      <c r="C44" s="2" t="inlineStr">
        <is>
          <t>AEC Matador</t>
        </is>
      </c>
      <c r="D44" s="2" t="inlineStr">
        <is>
          <t>À distinguer si plusieurs variantes</t>
        </is>
      </c>
      <c r="E44" s="2" t="inlineStr">
        <is>
          <t>Royaume-Uni</t>
        </is>
      </c>
      <c r="F44" s="2" t="inlineStr">
        <is>
          <t>À documenter</t>
        </is>
      </c>
      <c r="G44" s="2" t="inlineStr">
        <is>
          <t>À confirmer</t>
        </is>
      </c>
      <c r="H44" s="2" t="inlineStr">
        <is>
          <t>Tracteur d'artillerie</t>
        </is>
      </c>
      <c r="I44" s="2" t="inlineStr">
        <is>
          <t>À définir</t>
        </is>
      </c>
      <c r="J44" s="2" t="n"/>
      <c r="K44" s="2" t="n"/>
      <c r="L44" s="2" t="n"/>
      <c r="M44" s="2" t="n"/>
      <c r="N44" s="2" t="n"/>
      <c r="O44" s="2" t="n"/>
      <c r="P44" s="2" t="inlineStr">
        <is>
          <t>À rechercher</t>
        </is>
      </c>
      <c r="Q44" s="2" t="n"/>
      <c r="R44" s="2" t="n"/>
      <c r="S44" s="2" t="inlineStr">
        <is>
          <t>À confirmer</t>
        </is>
      </c>
      <c r="T44" s="2" t="n"/>
      <c r="U44" s="2" t="n"/>
      <c r="V44" s="2" t="n"/>
      <c r="W44" s="2" t="n"/>
      <c r="X44" s="2" t="inlineStr">
        <is>
          <t>À documenter</t>
        </is>
      </c>
      <c r="Y44" s="2" t="inlineStr">
        <is>
          <t>À documenter</t>
        </is>
      </c>
      <c r="Z44" s="2" t="inlineStr">
        <is>
          <t>À documenter</t>
        </is>
      </c>
      <c r="AA44" s="2" t="inlineStr">
        <is>
          <t>À documenter</t>
        </is>
      </c>
      <c r="AB44" s="2" t="inlineStr">
        <is>
          <t>À documenter</t>
        </is>
      </c>
      <c r="AC44" s="2" t="inlineStr">
        <is>
          <t>Aucun armement fixe standard identifié; arme individuelle/affût de campagne possible selon usage</t>
        </is>
      </c>
      <c r="AD44" s="2" t="inlineStr">
        <is>
          <t>À documenter</t>
        </is>
      </c>
      <c r="AE44" s="2" t="inlineStr">
        <is>
          <t>À documenter</t>
        </is>
      </c>
      <c r="AF44" s="2" t="inlineStr">
        <is>
          <t>À définir</t>
        </is>
      </c>
      <c r="AG44" s="2" t="inlineStr">
        <is>
          <t>À définir</t>
        </is>
      </c>
      <c r="AH44" s="2" t="inlineStr">
        <is>
          <t>Réparation d’origine si véhicule complet ; démontage si incomplet</t>
        </is>
      </c>
      <c r="AI44" s="2" t="inlineStr">
        <is>
          <t>À documenter</t>
        </is>
      </c>
      <c r="AJ44" s="2" t="inlineStr">
        <is>
          <t>À définir</t>
        </is>
      </c>
      <c r="AK44" s="2" t="inlineStr">
        <is>
          <t>À documenter</t>
        </is>
      </c>
      <c r="AL44" s="2" t="inlineStr">
        <is>
          <t>À rechercher / voir sources historiques</t>
        </is>
      </c>
      <c r="AM44" s="2" t="inlineStr">
        <is>
          <t>À rechercher</t>
        </is>
      </c>
      <c r="AN44" s="2" t="inlineStr">
        <is>
          <t>Source de niveau variable ; contrôle par variante nécessaire</t>
        </is>
      </c>
      <c r="AO44" s="2" t="inlineStr">
        <is>
          <t>Non renseigné</t>
        </is>
      </c>
      <c r="AP44" s="2" t="inlineStr">
        <is>
          <t>Faible</t>
        </is>
      </c>
      <c r="AQ44" s="2" t="inlineStr">
        <is>
          <t>Élevé</t>
        </is>
      </c>
      <c r="AR44" s="2" t="inlineStr">
        <is>
          <t>Partiel — fiche à compléter</t>
        </is>
      </c>
      <c r="AS44" s="2" t="inlineStr">
        <is>
          <t>P2/P3</t>
        </is>
      </c>
      <c r="AT44" s="2" t="inlineStr">
        <is>
          <t>Modèle à valider historiquement avant verrouillage</t>
        </is>
      </c>
      <c r="AU44" s="2" t="inlineStr">
        <is>
          <t>À intégrer après validation du prototype</t>
        </is>
      </c>
      <c r="AV44" s="2" t="inlineStr">
        <is>
          <t>AEC Matador : véhicule de catégorie « Tracteur d'artillerie », d'origine Royaume-Uni. Motorisation recensée : À rechercher. Fiche de catalogue à compléter avec le rôle tactique et les caractéristiques de jeu.</t>
        </is>
      </c>
    </row>
    <row r="45" ht="60" customHeight="1">
      <c r="A45" s="2" t="inlineStr">
        <is>
          <t>VEH-044</t>
        </is>
      </c>
      <c r="B45" s="2" t="inlineStr">
        <is>
          <t>Camions légers et moyens</t>
        </is>
      </c>
      <c r="C45" s="2" t="inlineStr">
        <is>
          <t>Leyland Retriever</t>
        </is>
      </c>
      <c r="D45" s="2" t="inlineStr">
        <is>
          <t>À distinguer si plusieurs variantes</t>
        </is>
      </c>
      <c r="E45" s="2" t="inlineStr">
        <is>
          <t>Royaume-Uni</t>
        </is>
      </c>
      <c r="F45" s="2" t="inlineStr">
        <is>
          <t>À documenter</t>
        </is>
      </c>
      <c r="G45" s="2" t="inlineStr">
        <is>
          <t>À confirmer</t>
        </is>
      </c>
      <c r="H45" s="2" t="inlineStr">
        <is>
          <t>Camion militaire</t>
        </is>
      </c>
      <c r="I45" s="2" t="inlineStr">
        <is>
          <t>À définir</t>
        </is>
      </c>
      <c r="J45" s="2" t="n"/>
      <c r="K45" s="2" t="n"/>
      <c r="L45" s="2" t="n"/>
      <c r="M45" s="2" t="n"/>
      <c r="N45" s="2" t="n"/>
      <c r="O45" s="2" t="n"/>
      <c r="P45" s="2" t="inlineStr">
        <is>
          <t>À rechercher</t>
        </is>
      </c>
      <c r="Q45" s="2" t="n"/>
      <c r="R45" s="2" t="n"/>
      <c r="S45" s="2" t="inlineStr">
        <is>
          <t>À confirmer</t>
        </is>
      </c>
      <c r="T45" s="2" t="n"/>
      <c r="U45" s="2" t="n"/>
      <c r="V45" s="2" t="n"/>
      <c r="W45" s="2" t="n"/>
      <c r="X45" s="2" t="inlineStr">
        <is>
          <t>À documenter</t>
        </is>
      </c>
      <c r="Y45" s="2" t="inlineStr">
        <is>
          <t>À documenter</t>
        </is>
      </c>
      <c r="Z45" s="2" t="inlineStr">
        <is>
          <t>À documenter</t>
        </is>
      </c>
      <c r="AA45" s="2" t="inlineStr">
        <is>
          <t>À documenter</t>
        </is>
      </c>
      <c r="AB45" s="2" t="inlineStr">
        <is>
          <t>À documenter</t>
        </is>
      </c>
      <c r="AC45" s="2" t="inlineStr">
        <is>
          <t>Aucun armement fixe standard identifié; arme individuelle/affût de campagne possible selon usage</t>
        </is>
      </c>
      <c r="AD45" s="2" t="inlineStr">
        <is>
          <t>À documenter</t>
        </is>
      </c>
      <c r="AE45" s="2" t="inlineStr">
        <is>
          <t>À documenter</t>
        </is>
      </c>
      <c r="AF45" s="2" t="inlineStr">
        <is>
          <t>À définir</t>
        </is>
      </c>
      <c r="AG45" s="2" t="inlineStr">
        <is>
          <t>À définir</t>
        </is>
      </c>
      <c r="AH45" s="2" t="inlineStr">
        <is>
          <t>Réparation d’origine si véhicule complet ; démontage si incomplet</t>
        </is>
      </c>
      <c r="AI45" s="2" t="inlineStr">
        <is>
          <t>À documenter</t>
        </is>
      </c>
      <c r="AJ45" s="2" t="inlineStr">
        <is>
          <t>À définir</t>
        </is>
      </c>
      <c r="AK45" s="2" t="inlineStr">
        <is>
          <t>À documenter</t>
        </is>
      </c>
      <c r="AL45" s="2" t="inlineStr">
        <is>
          <t>À rechercher / voir sources historiques</t>
        </is>
      </c>
      <c r="AM45" s="2" t="inlineStr">
        <is>
          <t>À rechercher</t>
        </is>
      </c>
      <c r="AN45" s="2" t="inlineStr">
        <is>
          <t>Source de niveau variable ; contrôle par variante nécessaire</t>
        </is>
      </c>
      <c r="AO45" s="2" t="inlineStr">
        <is>
          <t>Non renseigné</t>
        </is>
      </c>
      <c r="AP45" s="2" t="inlineStr">
        <is>
          <t>Faible</t>
        </is>
      </c>
      <c r="AQ45" s="2" t="inlineStr">
        <is>
          <t>Élevé</t>
        </is>
      </c>
      <c r="AR45" s="2" t="inlineStr">
        <is>
          <t>Partiel — fiche à compléter</t>
        </is>
      </c>
      <c r="AS45" s="2" t="inlineStr">
        <is>
          <t>P2/P3</t>
        </is>
      </c>
      <c r="AT45" s="2" t="inlineStr">
        <is>
          <t>Modèle à valider historiquement avant verrouillage</t>
        </is>
      </c>
      <c r="AU45" s="2" t="inlineStr">
        <is>
          <t>À intégrer après validation du prototype</t>
        </is>
      </c>
      <c r="AV45" s="2" t="inlineStr">
        <is>
          <t>Leyland Retriever : véhicule de catégorie « Camion militaire », d'origine Royaume-Uni. Motorisation recensée : À rechercher. Fiche de catalogue à compléter avec le rôle tactique et les caractéristiques de jeu.</t>
        </is>
      </c>
    </row>
    <row r="46" ht="60" customHeight="1">
      <c r="A46" s="2" t="inlineStr">
        <is>
          <t>VEH-045</t>
        </is>
      </c>
      <c r="B46" s="2" t="inlineStr">
        <is>
          <t>Camions légers et moyens</t>
        </is>
      </c>
      <c r="C46" s="2" t="inlineStr">
        <is>
          <t>Opel Blitz 3.6-36S</t>
        </is>
      </c>
      <c r="D46" s="2" t="inlineStr">
        <is>
          <t>À distinguer si plusieurs variantes</t>
        </is>
      </c>
      <c r="E46" s="2" t="inlineStr">
        <is>
          <t>Allemagne</t>
        </is>
      </c>
      <c r="F46" s="2" t="inlineStr">
        <is>
          <t>À documenter</t>
        </is>
      </c>
      <c r="G46" s="2" t="inlineStr">
        <is>
          <t>À confirmer</t>
        </is>
      </c>
      <c r="H46" s="2" t="inlineStr">
        <is>
          <t>Camion moyen</t>
        </is>
      </c>
      <c r="I46" s="2" t="inlineStr">
        <is>
          <t>À définir</t>
        </is>
      </c>
      <c r="J46" s="2" t="n"/>
      <c r="K46" s="2" t="n"/>
      <c r="L46" s="2" t="n"/>
      <c r="M46" s="2" t="n"/>
      <c r="N46" s="2" t="n"/>
      <c r="O46" s="2" t="n"/>
      <c r="P46" s="2" t="inlineStr">
        <is>
          <t>À rechercher</t>
        </is>
      </c>
      <c r="Q46" s="2" t="n"/>
      <c r="R46" s="2" t="n"/>
      <c r="S46" s="2" t="inlineStr">
        <is>
          <t>À confirmer</t>
        </is>
      </c>
      <c r="T46" s="2" t="n"/>
      <c r="U46" s="2" t="n"/>
      <c r="V46" s="2" t="n"/>
      <c r="W46" s="2" t="n"/>
      <c r="X46" s="2" t="inlineStr">
        <is>
          <t>À documenter</t>
        </is>
      </c>
      <c r="Y46" s="2" t="inlineStr">
        <is>
          <t>À documenter</t>
        </is>
      </c>
      <c r="Z46" s="2" t="inlineStr">
        <is>
          <t>À documenter</t>
        </is>
      </c>
      <c r="AA46" s="2" t="inlineStr">
        <is>
          <t>À documenter</t>
        </is>
      </c>
      <c r="AB46" s="2" t="inlineStr">
        <is>
          <t>À documenter</t>
        </is>
      </c>
      <c r="AC46" s="2" t="inlineStr">
        <is>
          <t>Pas d'arme fixe standard; affût/mitrailleuse possible sur certaines versions ou conversions</t>
        </is>
      </c>
      <c r="AD46" s="2" t="inlineStr">
        <is>
          <t>À documenter</t>
        </is>
      </c>
      <c r="AE46" s="2" t="inlineStr">
        <is>
          <t>À documenter</t>
        </is>
      </c>
      <c r="AF46" s="2" t="inlineStr">
        <is>
          <t>À définir</t>
        </is>
      </c>
      <c r="AG46" s="2" t="inlineStr">
        <is>
          <t>À définir</t>
        </is>
      </c>
      <c r="AH46" s="2" t="inlineStr">
        <is>
          <t>Réparation d’origine si véhicule complet ; démontage si incomplet</t>
        </is>
      </c>
      <c r="AI46" s="2" t="inlineStr">
        <is>
          <t>À documenter</t>
        </is>
      </c>
      <c r="AJ46" s="2" t="inlineStr">
        <is>
          <t>À définir</t>
        </is>
      </c>
      <c r="AK46" s="2" t="inlineStr">
        <is>
          <t>À documenter</t>
        </is>
      </c>
      <c r="AL46" s="2" t="inlineStr">
        <is>
          <t>À rechercher / voir sources historiques</t>
        </is>
      </c>
      <c r="AM46" s="2" t="inlineStr">
        <is>
          <t>À rechercher</t>
        </is>
      </c>
      <c r="AN46" s="2" t="inlineStr">
        <is>
          <t>Source de niveau variable ; contrôle par variante nécessaire</t>
        </is>
      </c>
      <c r="AO46" s="2" t="inlineStr">
        <is>
          <t>Non renseigné</t>
        </is>
      </c>
      <c r="AP46" s="2" t="inlineStr">
        <is>
          <t>Faible</t>
        </is>
      </c>
      <c r="AQ46" s="2" t="inlineStr">
        <is>
          <t>Partiel</t>
        </is>
      </c>
      <c r="AR46" s="2" t="inlineStr">
        <is>
          <t>Partiel — fiche à compléter</t>
        </is>
      </c>
      <c r="AS46" s="2" t="inlineStr">
        <is>
          <t>P2/P3</t>
        </is>
      </c>
      <c r="AT46" s="2" t="inlineStr">
        <is>
          <t>Modèle à valider historiquement avant verrouillage</t>
        </is>
      </c>
      <c r="AU46" s="2" t="inlineStr">
        <is>
          <t>À intégrer après validation du prototype</t>
        </is>
      </c>
      <c r="AV46" s="2" t="inlineStr">
        <is>
          <t>Opel Blitz 3.6-36S : véhicule de catégorie « Camion moyen », d'origine Allemagne. Motorisation recensée : À rechercher. Fiche de catalogue à compléter avec le rôle tactique et les caractéristiques de jeu.</t>
        </is>
      </c>
    </row>
    <row r="47" ht="60" customHeight="1">
      <c r="A47" s="2" t="inlineStr">
        <is>
          <t>VEH-046</t>
        </is>
      </c>
      <c r="B47" s="2" t="inlineStr">
        <is>
          <t>Camions légers et moyens</t>
        </is>
      </c>
      <c r="C47" s="2" t="inlineStr">
        <is>
          <t>Mercedes-Benz L 3000</t>
        </is>
      </c>
      <c r="D47" s="2" t="inlineStr">
        <is>
          <t>À distinguer si plusieurs variantes</t>
        </is>
      </c>
      <c r="E47" s="2" t="inlineStr">
        <is>
          <t>Allemagne</t>
        </is>
      </c>
      <c r="F47" s="2" t="inlineStr">
        <is>
          <t>À documenter</t>
        </is>
      </c>
      <c r="G47" s="2" t="inlineStr">
        <is>
          <t>À confirmer</t>
        </is>
      </c>
      <c r="H47" s="2" t="inlineStr">
        <is>
          <t>Camion moyen</t>
        </is>
      </c>
      <c r="I47" s="2" t="inlineStr">
        <is>
          <t>À définir</t>
        </is>
      </c>
      <c r="J47" s="2" t="n"/>
      <c r="K47" s="2" t="n"/>
      <c r="L47" s="2" t="n"/>
      <c r="M47" s="2" t="n"/>
      <c r="N47" s="2" t="n"/>
      <c r="O47" s="2" t="n"/>
      <c r="P47" s="2" t="inlineStr">
        <is>
          <t>À rechercher</t>
        </is>
      </c>
      <c r="Q47" s="2" t="n"/>
      <c r="R47" s="2" t="n"/>
      <c r="S47" s="2" t="inlineStr">
        <is>
          <t>À confirmer</t>
        </is>
      </c>
      <c r="T47" s="2" t="n"/>
      <c r="U47" s="2" t="n"/>
      <c r="V47" s="2" t="n"/>
      <c r="W47" s="2" t="n"/>
      <c r="X47" s="2" t="inlineStr">
        <is>
          <t>À documenter</t>
        </is>
      </c>
      <c r="Y47" s="2" t="inlineStr">
        <is>
          <t>À documenter</t>
        </is>
      </c>
      <c r="Z47" s="2" t="inlineStr">
        <is>
          <t>À documenter</t>
        </is>
      </c>
      <c r="AA47" s="2" t="inlineStr">
        <is>
          <t>À documenter</t>
        </is>
      </c>
      <c r="AB47" s="2" t="inlineStr">
        <is>
          <t>À documenter</t>
        </is>
      </c>
      <c r="AC47" s="2" t="inlineStr">
        <is>
          <t>Aucun armement fixe standard identifié; arme individuelle/affût de campagne possible selon usage</t>
        </is>
      </c>
      <c r="AD47" s="2" t="inlineStr">
        <is>
          <t>À documenter</t>
        </is>
      </c>
      <c r="AE47" s="2" t="inlineStr">
        <is>
          <t>À documenter</t>
        </is>
      </c>
      <c r="AF47" s="2" t="inlineStr">
        <is>
          <t>À définir</t>
        </is>
      </c>
      <c r="AG47" s="2" t="inlineStr">
        <is>
          <t>À définir</t>
        </is>
      </c>
      <c r="AH47" s="2" t="inlineStr">
        <is>
          <t>Réparation d’origine si véhicule complet ; démontage si incomplet</t>
        </is>
      </c>
      <c r="AI47" s="2" t="inlineStr">
        <is>
          <t>À documenter</t>
        </is>
      </c>
      <c r="AJ47" s="2" t="inlineStr">
        <is>
          <t>À définir</t>
        </is>
      </c>
      <c r="AK47" s="2" t="inlineStr">
        <is>
          <t>À documenter</t>
        </is>
      </c>
      <c r="AL47" s="2" t="inlineStr">
        <is>
          <t>À rechercher / voir sources historiques</t>
        </is>
      </c>
      <c r="AM47" s="2" t="inlineStr">
        <is>
          <t>À rechercher</t>
        </is>
      </c>
      <c r="AN47" s="2" t="inlineStr">
        <is>
          <t>Source de niveau variable ; contrôle par variante nécessaire</t>
        </is>
      </c>
      <c r="AO47" s="2" t="inlineStr">
        <is>
          <t>Non renseigné</t>
        </is>
      </c>
      <c r="AP47" s="2" t="inlineStr">
        <is>
          <t>Faible</t>
        </is>
      </c>
      <c r="AQ47" s="2" t="inlineStr">
        <is>
          <t>Élevé</t>
        </is>
      </c>
      <c r="AR47" s="2" t="inlineStr">
        <is>
          <t>Partiel — fiche à compléter</t>
        </is>
      </c>
      <c r="AS47" s="2" t="inlineStr">
        <is>
          <t>P2/P3</t>
        </is>
      </c>
      <c r="AT47" s="2" t="inlineStr">
        <is>
          <t>Modèle à valider historiquement avant verrouillage</t>
        </is>
      </c>
      <c r="AU47" s="2" t="inlineStr">
        <is>
          <t>À intégrer après validation du prototype</t>
        </is>
      </c>
      <c r="AV47" s="2" t="inlineStr">
        <is>
          <t>Mercedes-Benz L 3000 : véhicule de catégorie « Camion moyen », d'origine Allemagne. Motorisation recensée : À rechercher. Fiche de catalogue à compléter avec le rôle tactique et les caractéristiques de jeu.</t>
        </is>
      </c>
    </row>
    <row r="48" ht="60" customHeight="1">
      <c r="A48" s="2" t="inlineStr">
        <is>
          <t>VEH-047</t>
        </is>
      </c>
      <c r="B48" s="2" t="inlineStr">
        <is>
          <t>Camions légers et moyens</t>
        </is>
      </c>
      <c r="C48" s="2" t="inlineStr">
        <is>
          <t>Büssing-NAG 4500</t>
        </is>
      </c>
      <c r="D48" s="2" t="inlineStr">
        <is>
          <t>À distinguer si plusieurs variantes</t>
        </is>
      </c>
      <c r="E48" s="2" t="inlineStr">
        <is>
          <t>Allemagne</t>
        </is>
      </c>
      <c r="F48" s="2" t="inlineStr">
        <is>
          <t>À documenter</t>
        </is>
      </c>
      <c r="G48" s="2" t="inlineStr">
        <is>
          <t>À confirmer</t>
        </is>
      </c>
      <c r="H48" s="2" t="inlineStr">
        <is>
          <t>Camion moyen/lourd</t>
        </is>
      </c>
      <c r="I48" s="2" t="inlineStr">
        <is>
          <t>À définir</t>
        </is>
      </c>
      <c r="J48" s="2" t="n"/>
      <c r="K48" s="2" t="n"/>
      <c r="L48" s="2" t="n"/>
      <c r="M48" s="2" t="n"/>
      <c r="N48" s="2" t="n"/>
      <c r="O48" s="2" t="n"/>
      <c r="P48" s="2" t="inlineStr">
        <is>
          <t>À rechercher</t>
        </is>
      </c>
      <c r="Q48" s="2" t="n"/>
      <c r="R48" s="2" t="n"/>
      <c r="S48" s="2" t="inlineStr">
        <is>
          <t>À confirmer</t>
        </is>
      </c>
      <c r="T48" s="2" t="n"/>
      <c r="U48" s="2" t="n"/>
      <c r="V48" s="2" t="n"/>
      <c r="W48" s="2" t="n"/>
      <c r="X48" s="2" t="inlineStr">
        <is>
          <t>À documenter</t>
        </is>
      </c>
      <c r="Y48" s="2" t="inlineStr">
        <is>
          <t>À documenter</t>
        </is>
      </c>
      <c r="Z48" s="2" t="inlineStr">
        <is>
          <t>À documenter</t>
        </is>
      </c>
      <c r="AA48" s="2" t="inlineStr">
        <is>
          <t>À documenter</t>
        </is>
      </c>
      <c r="AB48" s="2" t="inlineStr">
        <is>
          <t>À documenter</t>
        </is>
      </c>
      <c r="AC48" s="2" t="inlineStr">
        <is>
          <t>Aucun armement fixe standard identifié; arme individuelle/affût de campagne possible selon usage</t>
        </is>
      </c>
      <c r="AD48" s="2" t="inlineStr">
        <is>
          <t>À documenter</t>
        </is>
      </c>
      <c r="AE48" s="2" t="inlineStr">
        <is>
          <t>À documenter</t>
        </is>
      </c>
      <c r="AF48" s="2" t="inlineStr">
        <is>
          <t>À définir</t>
        </is>
      </c>
      <c r="AG48" s="2" t="inlineStr">
        <is>
          <t>À définir</t>
        </is>
      </c>
      <c r="AH48" s="2" t="inlineStr">
        <is>
          <t>Réparation d’origine si véhicule complet ; démontage si incomplet</t>
        </is>
      </c>
      <c r="AI48" s="2" t="inlineStr">
        <is>
          <t>À documenter</t>
        </is>
      </c>
      <c r="AJ48" s="2" t="inlineStr">
        <is>
          <t>À définir</t>
        </is>
      </c>
      <c r="AK48" s="2" t="inlineStr">
        <is>
          <t>À documenter</t>
        </is>
      </c>
      <c r="AL48" s="2" t="inlineStr">
        <is>
          <t>À rechercher / voir sources historiques</t>
        </is>
      </c>
      <c r="AM48" s="2" t="inlineStr">
        <is>
          <t>À rechercher</t>
        </is>
      </c>
      <c r="AN48" s="2" t="inlineStr">
        <is>
          <t>Source de niveau variable ; contrôle par variante nécessaire</t>
        </is>
      </c>
      <c r="AO48" s="2" t="inlineStr">
        <is>
          <t>Non renseigné</t>
        </is>
      </c>
      <c r="AP48" s="2" t="inlineStr">
        <is>
          <t>Faible</t>
        </is>
      </c>
      <c r="AQ48" s="2" t="inlineStr">
        <is>
          <t>Élevé</t>
        </is>
      </c>
      <c r="AR48" s="2" t="inlineStr">
        <is>
          <t>Partiel — fiche à compléter</t>
        </is>
      </c>
      <c r="AS48" s="2" t="inlineStr">
        <is>
          <t>P2/P3</t>
        </is>
      </c>
      <c r="AT48" s="2" t="inlineStr">
        <is>
          <t>Modèle à valider historiquement avant verrouillage</t>
        </is>
      </c>
      <c r="AU48" s="2" t="inlineStr">
        <is>
          <t>À intégrer après validation du prototype</t>
        </is>
      </c>
      <c r="AV48" s="2" t="inlineStr">
        <is>
          <t>Büssing-NAG 4500 : véhicule de catégorie « Camion moyen/lourd », d'origine Allemagne. Motorisation recensée : À rechercher. Fiche de catalogue à compléter avec le rôle tactique et les caractéristiques de jeu.</t>
        </is>
      </c>
    </row>
    <row r="49" ht="60" customHeight="1">
      <c r="A49" s="2" t="inlineStr">
        <is>
          <t>VEH-048</t>
        </is>
      </c>
      <c r="B49" s="2" t="inlineStr">
        <is>
          <t>Camions légers et moyens</t>
        </is>
      </c>
      <c r="C49" s="2" t="inlineStr">
        <is>
          <t>MAN ML 4500</t>
        </is>
      </c>
      <c r="D49" s="2" t="inlineStr">
        <is>
          <t>À distinguer si plusieurs variantes</t>
        </is>
      </c>
      <c r="E49" s="2" t="inlineStr">
        <is>
          <t>Allemagne</t>
        </is>
      </c>
      <c r="F49" s="2" t="inlineStr">
        <is>
          <t>À documenter</t>
        </is>
      </c>
      <c r="G49" s="2" t="inlineStr">
        <is>
          <t>À confirmer</t>
        </is>
      </c>
      <c r="H49" s="2" t="inlineStr">
        <is>
          <t>Camion moyen</t>
        </is>
      </c>
      <c r="I49" s="2" t="inlineStr">
        <is>
          <t>À définir</t>
        </is>
      </c>
      <c r="J49" s="2" t="n"/>
      <c r="K49" s="2" t="n"/>
      <c r="L49" s="2" t="n"/>
      <c r="M49" s="2" t="n"/>
      <c r="N49" s="2" t="n"/>
      <c r="O49" s="2" t="n"/>
      <c r="P49" s="2" t="inlineStr">
        <is>
          <t>À rechercher</t>
        </is>
      </c>
      <c r="Q49" s="2" t="n"/>
      <c r="R49" s="2" t="n"/>
      <c r="S49" s="2" t="inlineStr">
        <is>
          <t>À confirmer</t>
        </is>
      </c>
      <c r="T49" s="2" t="n"/>
      <c r="U49" s="2" t="n"/>
      <c r="V49" s="2" t="n"/>
      <c r="W49" s="2" t="n"/>
      <c r="X49" s="2" t="inlineStr">
        <is>
          <t>À documenter</t>
        </is>
      </c>
      <c r="Y49" s="2" t="inlineStr">
        <is>
          <t>À documenter</t>
        </is>
      </c>
      <c r="Z49" s="2" t="inlineStr">
        <is>
          <t>À documenter</t>
        </is>
      </c>
      <c r="AA49" s="2" t="inlineStr">
        <is>
          <t>À documenter</t>
        </is>
      </c>
      <c r="AB49" s="2" t="inlineStr">
        <is>
          <t>À documenter</t>
        </is>
      </c>
      <c r="AC49" s="2" t="inlineStr">
        <is>
          <t>Aucun armement fixe standard identifié; arme individuelle/affût de campagne possible selon usage</t>
        </is>
      </c>
      <c r="AD49" s="2" t="inlineStr">
        <is>
          <t>À documenter</t>
        </is>
      </c>
      <c r="AE49" s="2" t="inlineStr">
        <is>
          <t>À documenter</t>
        </is>
      </c>
      <c r="AF49" s="2" t="inlineStr">
        <is>
          <t>À définir</t>
        </is>
      </c>
      <c r="AG49" s="2" t="inlineStr">
        <is>
          <t>À définir</t>
        </is>
      </c>
      <c r="AH49" s="2" t="inlineStr">
        <is>
          <t>Réparation d’origine si véhicule complet ; démontage si incomplet</t>
        </is>
      </c>
      <c r="AI49" s="2" t="inlineStr">
        <is>
          <t>À documenter</t>
        </is>
      </c>
      <c r="AJ49" s="2" t="inlineStr">
        <is>
          <t>À définir</t>
        </is>
      </c>
      <c r="AK49" s="2" t="inlineStr">
        <is>
          <t>À documenter</t>
        </is>
      </c>
      <c r="AL49" s="2" t="inlineStr">
        <is>
          <t>À rechercher / voir sources historiques</t>
        </is>
      </c>
      <c r="AM49" s="2" t="inlineStr">
        <is>
          <t>À rechercher</t>
        </is>
      </c>
      <c r="AN49" s="2" t="inlineStr">
        <is>
          <t>Source de niveau variable ; contrôle par variante nécessaire</t>
        </is>
      </c>
      <c r="AO49" s="2" t="inlineStr">
        <is>
          <t>Non renseigné</t>
        </is>
      </c>
      <c r="AP49" s="2" t="inlineStr">
        <is>
          <t>Faible</t>
        </is>
      </c>
      <c r="AQ49" s="2" t="inlineStr">
        <is>
          <t>Élevé</t>
        </is>
      </c>
      <c r="AR49" s="2" t="inlineStr">
        <is>
          <t>Partiel — fiche à compléter</t>
        </is>
      </c>
      <c r="AS49" s="2" t="inlineStr">
        <is>
          <t>P2/P3</t>
        </is>
      </c>
      <c r="AT49" s="2" t="inlineStr">
        <is>
          <t>Modèle à valider historiquement avant verrouillage</t>
        </is>
      </c>
      <c r="AU49" s="2" t="inlineStr">
        <is>
          <t>À intégrer après validation du prototype</t>
        </is>
      </c>
      <c r="AV49" s="2" t="inlineStr">
        <is>
          <t>MAN ML 4500 : véhicule de catégorie « Camion moyen », d'origine Allemagne. Motorisation recensée : À rechercher. Fiche de catalogue à compléter avec le rôle tactique et les caractéristiques de jeu.</t>
        </is>
      </c>
    </row>
    <row r="50" ht="60" customHeight="1">
      <c r="A50" s="2" t="inlineStr">
        <is>
          <t>VEH-049</t>
        </is>
      </c>
      <c r="B50" s="2" t="inlineStr">
        <is>
          <t>Camions légers et moyens</t>
        </is>
      </c>
      <c r="C50" s="2" t="inlineStr">
        <is>
          <t>Fiat 626</t>
        </is>
      </c>
      <c r="D50" s="2" t="inlineStr">
        <is>
          <t>À distinguer si plusieurs variantes</t>
        </is>
      </c>
      <c r="E50" s="2" t="inlineStr">
        <is>
          <t>Italie</t>
        </is>
      </c>
      <c r="F50" s="2" t="inlineStr">
        <is>
          <t>À documenter</t>
        </is>
      </c>
      <c r="G50" s="2" t="inlineStr">
        <is>
          <t>À confirmer</t>
        </is>
      </c>
      <c r="H50" s="2" t="inlineStr">
        <is>
          <t>Camion moyen</t>
        </is>
      </c>
      <c r="I50" s="2" t="inlineStr">
        <is>
          <t>À définir</t>
        </is>
      </c>
      <c r="J50" s="2" t="n"/>
      <c r="K50" s="2" t="n"/>
      <c r="L50" s="2" t="n"/>
      <c r="M50" s="2" t="n"/>
      <c r="N50" s="2" t="n"/>
      <c r="O50" s="2" t="n"/>
      <c r="P50" s="2" t="inlineStr">
        <is>
          <t>À rechercher</t>
        </is>
      </c>
      <c r="Q50" s="2" t="n"/>
      <c r="R50" s="2" t="n"/>
      <c r="S50" s="2" t="inlineStr">
        <is>
          <t>À confirmer</t>
        </is>
      </c>
      <c r="T50" s="2" t="n"/>
      <c r="U50" s="2" t="n"/>
      <c r="V50" s="2" t="n"/>
      <c r="W50" s="2" t="n"/>
      <c r="X50" s="2" t="inlineStr">
        <is>
          <t>À documenter</t>
        </is>
      </c>
      <c r="Y50" s="2" t="inlineStr">
        <is>
          <t>À documenter</t>
        </is>
      </c>
      <c r="Z50" s="2" t="inlineStr">
        <is>
          <t>À documenter</t>
        </is>
      </c>
      <c r="AA50" s="2" t="inlineStr">
        <is>
          <t>À documenter</t>
        </is>
      </c>
      <c r="AB50" s="2" t="inlineStr">
        <is>
          <t>À documenter</t>
        </is>
      </c>
      <c r="AC50" s="2" t="inlineStr">
        <is>
          <t>Pas d'arme fixe standard; affût/mitrailleuse possible sur certaines versions ou conversions</t>
        </is>
      </c>
      <c r="AD50" s="2" t="inlineStr">
        <is>
          <t>À documenter</t>
        </is>
      </c>
      <c r="AE50" s="2" t="inlineStr">
        <is>
          <t>À documenter</t>
        </is>
      </c>
      <c r="AF50" s="2" t="inlineStr">
        <is>
          <t>À définir</t>
        </is>
      </c>
      <c r="AG50" s="2" t="inlineStr">
        <is>
          <t>À définir</t>
        </is>
      </c>
      <c r="AH50" s="2" t="inlineStr">
        <is>
          <t>Réparation d’origine si véhicule complet ; démontage si incomplet</t>
        </is>
      </c>
      <c r="AI50" s="2" t="inlineStr">
        <is>
          <t>À documenter</t>
        </is>
      </c>
      <c r="AJ50" s="2" t="inlineStr">
        <is>
          <t>À définir</t>
        </is>
      </c>
      <c r="AK50" s="2" t="inlineStr">
        <is>
          <t>À documenter</t>
        </is>
      </c>
      <c r="AL50" s="2" t="inlineStr">
        <is>
          <t>À rechercher / voir sources historiques</t>
        </is>
      </c>
      <c r="AM50" s="2" t="inlineStr">
        <is>
          <t>À rechercher</t>
        </is>
      </c>
      <c r="AN50" s="2" t="inlineStr">
        <is>
          <t>Source de niveau variable ; contrôle par variante nécessaire</t>
        </is>
      </c>
      <c r="AO50" s="2" t="inlineStr">
        <is>
          <t>Non renseigné</t>
        </is>
      </c>
      <c r="AP50" s="2" t="inlineStr">
        <is>
          <t>Faible</t>
        </is>
      </c>
      <c r="AQ50" s="2" t="inlineStr">
        <is>
          <t>Partiel</t>
        </is>
      </c>
      <c r="AR50" s="2" t="inlineStr">
        <is>
          <t>Partiel — fiche à compléter</t>
        </is>
      </c>
      <c r="AS50" s="2" t="inlineStr">
        <is>
          <t>P2/P3</t>
        </is>
      </c>
      <c r="AT50" s="2" t="inlineStr">
        <is>
          <t>Modèle à valider historiquement avant verrouillage</t>
        </is>
      </c>
      <c r="AU50" s="2" t="inlineStr">
        <is>
          <t>À intégrer après validation du prototype</t>
        </is>
      </c>
      <c r="AV50" s="2" t="inlineStr">
        <is>
          <t>Fiat 626 : véhicule de catégorie « Camion moyen », d'origine Italie. Motorisation recensée : À rechercher. Fiche de catalogue à compléter avec le rôle tactique et les caractéristiques de jeu.</t>
        </is>
      </c>
    </row>
    <row r="51" ht="60" customHeight="1">
      <c r="A51" s="2" t="inlineStr">
        <is>
          <t>VEH-050</t>
        </is>
      </c>
      <c r="B51" s="2" t="inlineStr">
        <is>
          <t>Camions légers et moyens</t>
        </is>
      </c>
      <c r="C51" s="2" t="inlineStr">
        <is>
          <t>Lancia 3Ro</t>
        </is>
      </c>
      <c r="D51" s="2" t="inlineStr">
        <is>
          <t>À distinguer si plusieurs variantes</t>
        </is>
      </c>
      <c r="E51" s="2" t="inlineStr">
        <is>
          <t>Italie</t>
        </is>
      </c>
      <c r="F51" s="2" t="inlineStr">
        <is>
          <t>À documenter</t>
        </is>
      </c>
      <c r="G51" s="2" t="inlineStr">
        <is>
          <t>À confirmer</t>
        </is>
      </c>
      <c r="H51" s="2" t="inlineStr">
        <is>
          <t>Camion lourd</t>
        </is>
      </c>
      <c r="I51" s="2" t="inlineStr">
        <is>
          <t>À définir</t>
        </is>
      </c>
      <c r="J51" s="2" t="n"/>
      <c r="K51" s="2" t="n"/>
      <c r="L51" s="2" t="n"/>
      <c r="M51" s="2" t="n"/>
      <c r="N51" s="2" t="n"/>
      <c r="O51" s="2" t="n"/>
      <c r="P51" s="2" t="inlineStr">
        <is>
          <t>À rechercher</t>
        </is>
      </c>
      <c r="Q51" s="2" t="n"/>
      <c r="R51" s="2" t="n"/>
      <c r="S51" s="2" t="inlineStr">
        <is>
          <t>À confirmer</t>
        </is>
      </c>
      <c r="T51" s="2" t="n"/>
      <c r="U51" s="2" t="n"/>
      <c r="V51" s="2" t="n"/>
      <c r="W51" s="2" t="n"/>
      <c r="X51" s="2" t="inlineStr">
        <is>
          <t>À documenter</t>
        </is>
      </c>
      <c r="Y51" s="2" t="inlineStr">
        <is>
          <t>À documenter</t>
        </is>
      </c>
      <c r="Z51" s="2" t="inlineStr">
        <is>
          <t>À documenter</t>
        </is>
      </c>
      <c r="AA51" s="2" t="inlineStr">
        <is>
          <t>À documenter</t>
        </is>
      </c>
      <c r="AB51" s="2" t="inlineStr">
        <is>
          <t>À documenter</t>
        </is>
      </c>
      <c r="AC51" s="2" t="inlineStr">
        <is>
          <t>Pas d'arme fixe standard; affût/mitrailleuse possible sur certaines versions ou conversions</t>
        </is>
      </c>
      <c r="AD51" s="2" t="inlineStr">
        <is>
          <t>À documenter</t>
        </is>
      </c>
      <c r="AE51" s="2" t="inlineStr">
        <is>
          <t>À documenter</t>
        </is>
      </c>
      <c r="AF51" s="2" t="inlineStr">
        <is>
          <t>À définir</t>
        </is>
      </c>
      <c r="AG51" s="2" t="inlineStr">
        <is>
          <t>À définir</t>
        </is>
      </c>
      <c r="AH51" s="2" t="inlineStr">
        <is>
          <t>Réparation d’origine si véhicule complet ; démontage si incomplet</t>
        </is>
      </c>
      <c r="AI51" s="2" t="inlineStr">
        <is>
          <t>À documenter</t>
        </is>
      </c>
      <c r="AJ51" s="2" t="inlineStr">
        <is>
          <t>À définir</t>
        </is>
      </c>
      <c r="AK51" s="2" t="inlineStr">
        <is>
          <t>À documenter</t>
        </is>
      </c>
      <c r="AL51" s="2" t="inlineStr">
        <is>
          <t>À rechercher / voir sources historiques</t>
        </is>
      </c>
      <c r="AM51" s="2" t="inlineStr">
        <is>
          <t>À rechercher</t>
        </is>
      </c>
      <c r="AN51" s="2" t="inlineStr">
        <is>
          <t>Source de niveau variable ; contrôle par variante nécessaire</t>
        </is>
      </c>
      <c r="AO51" s="2" t="inlineStr">
        <is>
          <t>Non renseigné</t>
        </is>
      </c>
      <c r="AP51" s="2" t="inlineStr">
        <is>
          <t>Faible</t>
        </is>
      </c>
      <c r="AQ51" s="2" t="inlineStr">
        <is>
          <t>Partiel</t>
        </is>
      </c>
      <c r="AR51" s="2" t="inlineStr">
        <is>
          <t>Partiel — fiche à compléter</t>
        </is>
      </c>
      <c r="AS51" s="2" t="inlineStr">
        <is>
          <t>P2/P3</t>
        </is>
      </c>
      <c r="AT51" s="2" t="inlineStr">
        <is>
          <t>Modèle à valider historiquement avant verrouillage</t>
        </is>
      </c>
      <c r="AU51" s="2" t="inlineStr">
        <is>
          <t>À intégrer après validation du prototype</t>
        </is>
      </c>
      <c r="AV51" s="2" t="inlineStr">
        <is>
          <t>Lancia 3Ro : véhicule de catégorie « Camion lourd », d'origine Italie. Motorisation recensée : À rechercher. Fiche de catalogue à compléter avec le rôle tactique et les caractéristiques de jeu.</t>
        </is>
      </c>
    </row>
    <row r="52" ht="60" customHeight="1">
      <c r="A52" s="2" t="inlineStr">
        <is>
          <t>VEH-051</t>
        </is>
      </c>
      <c r="B52" s="2" t="inlineStr">
        <is>
          <t>Camions légers et moyens</t>
        </is>
      </c>
      <c r="C52" s="2" t="inlineStr">
        <is>
          <t>SPA Dovunque 35</t>
        </is>
      </c>
      <c r="D52" s="2" t="inlineStr">
        <is>
          <t>À distinguer si plusieurs variantes</t>
        </is>
      </c>
      <c r="E52" s="2" t="inlineStr">
        <is>
          <t>Italie</t>
        </is>
      </c>
      <c r="F52" s="2" t="inlineStr">
        <is>
          <t>À documenter</t>
        </is>
      </c>
      <c r="G52" s="2" t="inlineStr">
        <is>
          <t>À confirmer</t>
        </is>
      </c>
      <c r="H52" s="2" t="inlineStr">
        <is>
          <t>Camion tout-terrain</t>
        </is>
      </c>
      <c r="I52" s="2" t="inlineStr">
        <is>
          <t>À définir</t>
        </is>
      </c>
      <c r="J52" s="2" t="n"/>
      <c r="K52" s="2" t="n"/>
      <c r="L52" s="2" t="n"/>
      <c r="M52" s="2" t="n"/>
      <c r="N52" s="2" t="n"/>
      <c r="O52" s="2" t="n"/>
      <c r="P52" s="2" t="inlineStr">
        <is>
          <t>À rechercher</t>
        </is>
      </c>
      <c r="Q52" s="2" t="n"/>
      <c r="R52" s="2" t="n"/>
      <c r="S52" s="2" t="inlineStr">
        <is>
          <t>À confirmer</t>
        </is>
      </c>
      <c r="T52" s="2" t="n"/>
      <c r="U52" s="2" t="n"/>
      <c r="V52" s="2" t="n"/>
      <c r="W52" s="2" t="n"/>
      <c r="X52" s="2" t="inlineStr">
        <is>
          <t>À documenter</t>
        </is>
      </c>
      <c r="Y52" s="2" t="inlineStr">
        <is>
          <t>À documenter</t>
        </is>
      </c>
      <c r="Z52" s="2" t="inlineStr">
        <is>
          <t>À documenter</t>
        </is>
      </c>
      <c r="AA52" s="2" t="inlineStr">
        <is>
          <t>À documenter</t>
        </is>
      </c>
      <c r="AB52" s="2" t="inlineStr">
        <is>
          <t>À documenter</t>
        </is>
      </c>
      <c r="AC52" s="2" t="inlineStr">
        <is>
          <t>Aucun armement fixe standard identifié; arme individuelle/affût de campagne possible selon usage</t>
        </is>
      </c>
      <c r="AD52" s="2" t="inlineStr">
        <is>
          <t>À documenter</t>
        </is>
      </c>
      <c r="AE52" s="2" t="inlineStr">
        <is>
          <t>À documenter</t>
        </is>
      </c>
      <c r="AF52" s="2" t="inlineStr">
        <is>
          <t>À définir</t>
        </is>
      </c>
      <c r="AG52" s="2" t="inlineStr">
        <is>
          <t>À définir</t>
        </is>
      </c>
      <c r="AH52" s="2" t="inlineStr">
        <is>
          <t>Réparation d’origine si véhicule complet ; démontage si incomplet</t>
        </is>
      </c>
      <c r="AI52" s="2" t="inlineStr">
        <is>
          <t>À documenter</t>
        </is>
      </c>
      <c r="AJ52" s="2" t="inlineStr">
        <is>
          <t>À définir</t>
        </is>
      </c>
      <c r="AK52" s="2" t="inlineStr">
        <is>
          <t>À documenter</t>
        </is>
      </c>
      <c r="AL52" s="2" t="inlineStr">
        <is>
          <t>À rechercher / voir sources historiques</t>
        </is>
      </c>
      <c r="AM52" s="2" t="inlineStr">
        <is>
          <t>À rechercher</t>
        </is>
      </c>
      <c r="AN52" s="2" t="inlineStr">
        <is>
          <t>Source de niveau variable ; contrôle par variante nécessaire</t>
        </is>
      </c>
      <c r="AO52" s="2" t="inlineStr">
        <is>
          <t>Non renseigné</t>
        </is>
      </c>
      <c r="AP52" s="2" t="inlineStr">
        <is>
          <t>Faible</t>
        </is>
      </c>
      <c r="AQ52" s="2" t="inlineStr">
        <is>
          <t>Élevé</t>
        </is>
      </c>
      <c r="AR52" s="2" t="inlineStr">
        <is>
          <t>Partiel — fiche à compléter</t>
        </is>
      </c>
      <c r="AS52" s="2" t="inlineStr">
        <is>
          <t>P2/P3</t>
        </is>
      </c>
      <c r="AT52" s="2" t="inlineStr">
        <is>
          <t>Modèle à valider historiquement avant verrouillage</t>
        </is>
      </c>
      <c r="AU52" s="2" t="inlineStr">
        <is>
          <t>À intégrer après validation du prototype</t>
        </is>
      </c>
      <c r="AV52" s="2" t="inlineStr">
        <is>
          <t>SPA Dovunque 35 : véhicule de catégorie « Camion tout-terrain », d'origine Italie. Motorisation recensée : À rechercher. Fiche de catalogue à compléter avec le rôle tactique et les caractéristiques de jeu.</t>
        </is>
      </c>
    </row>
    <row r="53" ht="60" customHeight="1">
      <c r="A53" s="2" t="inlineStr">
        <is>
          <t>VEH-052</t>
        </is>
      </c>
      <c r="B53" s="2" t="inlineStr">
        <is>
          <t>Camions légers et moyens</t>
        </is>
      </c>
      <c r="C53" s="2" t="inlineStr">
        <is>
          <t>ZiS-5</t>
        </is>
      </c>
      <c r="D53" s="2" t="inlineStr">
        <is>
          <t>À distinguer si plusieurs variantes</t>
        </is>
      </c>
      <c r="E53" s="2" t="inlineStr">
        <is>
          <t>URSS</t>
        </is>
      </c>
      <c r="F53" s="2" t="inlineStr">
        <is>
          <t>À documenter</t>
        </is>
      </c>
      <c r="G53" s="2" t="inlineStr">
        <is>
          <t>À confirmer</t>
        </is>
      </c>
      <c r="H53" s="2" t="inlineStr">
        <is>
          <t>Camion moyen</t>
        </is>
      </c>
      <c r="I53" s="2" t="inlineStr">
        <is>
          <t>À définir</t>
        </is>
      </c>
      <c r="J53" s="2" t="n"/>
      <c r="K53" s="2" t="n"/>
      <c r="L53" s="2" t="n"/>
      <c r="M53" s="2" t="n"/>
      <c r="N53" s="2" t="n"/>
      <c r="O53" s="2" t="n"/>
      <c r="P53" s="2" t="inlineStr">
        <is>
          <t>À rechercher</t>
        </is>
      </c>
      <c r="Q53" s="2" t="n"/>
      <c r="R53" s="2" t="n"/>
      <c r="S53" s="2" t="inlineStr">
        <is>
          <t>À confirmer</t>
        </is>
      </c>
      <c r="T53" s="2" t="n"/>
      <c r="U53" s="2" t="n"/>
      <c r="V53" s="2" t="n"/>
      <c r="W53" s="2" t="n"/>
      <c r="X53" s="2" t="inlineStr">
        <is>
          <t>À documenter</t>
        </is>
      </c>
      <c r="Y53" s="2" t="inlineStr">
        <is>
          <t>À documenter</t>
        </is>
      </c>
      <c r="Z53" s="2" t="inlineStr">
        <is>
          <t>À documenter</t>
        </is>
      </c>
      <c r="AA53" s="2" t="inlineStr">
        <is>
          <t>À documenter</t>
        </is>
      </c>
      <c r="AB53" s="2" t="inlineStr">
        <is>
          <t>À documenter</t>
        </is>
      </c>
      <c r="AC53" s="2" t="inlineStr">
        <is>
          <t>Aucun armement fixe standard identifié; arme individuelle/affût de campagne possible selon usage</t>
        </is>
      </c>
      <c r="AD53" s="2" t="inlineStr">
        <is>
          <t>À documenter</t>
        </is>
      </c>
      <c r="AE53" s="2" t="inlineStr">
        <is>
          <t>À documenter</t>
        </is>
      </c>
      <c r="AF53" s="2" t="inlineStr">
        <is>
          <t>À définir</t>
        </is>
      </c>
      <c r="AG53" s="2" t="inlineStr">
        <is>
          <t>À définir</t>
        </is>
      </c>
      <c r="AH53" s="2" t="inlineStr">
        <is>
          <t>Réparation d’origine si véhicule complet ; démontage si incomplet</t>
        </is>
      </c>
      <c r="AI53" s="2" t="inlineStr">
        <is>
          <t>À documenter</t>
        </is>
      </c>
      <c r="AJ53" s="2" t="inlineStr">
        <is>
          <t>À définir</t>
        </is>
      </c>
      <c r="AK53" s="2" t="inlineStr">
        <is>
          <t>À documenter</t>
        </is>
      </c>
      <c r="AL53" s="2" t="inlineStr">
        <is>
          <t>À rechercher / voir sources historiques</t>
        </is>
      </c>
      <c r="AM53" s="2" t="inlineStr">
        <is>
          <t>À rechercher</t>
        </is>
      </c>
      <c r="AN53" s="2" t="inlineStr">
        <is>
          <t>Source de niveau variable ; contrôle par variante nécessaire</t>
        </is>
      </c>
      <c r="AO53" s="2" t="inlineStr">
        <is>
          <t>Non renseigné</t>
        </is>
      </c>
      <c r="AP53" s="2" t="inlineStr">
        <is>
          <t>Faible</t>
        </is>
      </c>
      <c r="AQ53" s="2" t="inlineStr">
        <is>
          <t>Élevé</t>
        </is>
      </c>
      <c r="AR53" s="2" t="inlineStr">
        <is>
          <t>Partiel — fiche à compléter</t>
        </is>
      </c>
      <c r="AS53" s="2" t="inlineStr">
        <is>
          <t>P2/P3</t>
        </is>
      </c>
      <c r="AT53" s="2" t="inlineStr">
        <is>
          <t>Modèle à valider historiquement avant verrouillage</t>
        </is>
      </c>
      <c r="AU53" s="2" t="inlineStr">
        <is>
          <t>À intégrer après validation du prototype</t>
        </is>
      </c>
      <c r="AV53" s="2" t="inlineStr">
        <is>
          <t>ZiS-5 : véhicule de catégorie « Camion moyen », d'origine URSS. Motorisation recensée : À rechercher. Fiche de catalogue à compléter avec le rôle tactique et les caractéristiques de jeu.</t>
        </is>
      </c>
    </row>
    <row r="54" ht="60" customHeight="1">
      <c r="A54" s="2" t="inlineStr">
        <is>
          <t>VEH-053</t>
        </is>
      </c>
      <c r="B54" s="2" t="inlineStr">
        <is>
          <t>Camions légers et moyens</t>
        </is>
      </c>
      <c r="C54" s="2" t="inlineStr">
        <is>
          <t>GAZ-AA / GAZ-MM</t>
        </is>
      </c>
      <c r="D54" s="2" t="inlineStr">
        <is>
          <t>À distinguer si plusieurs variantes</t>
        </is>
      </c>
      <c r="E54" s="2" t="inlineStr">
        <is>
          <t>URSS</t>
        </is>
      </c>
      <c r="F54" s="2" t="inlineStr">
        <is>
          <t>À documenter</t>
        </is>
      </c>
      <c r="G54" s="2" t="inlineStr">
        <is>
          <t>À confirmer</t>
        </is>
      </c>
      <c r="H54" s="2" t="inlineStr">
        <is>
          <t>Camion léger</t>
        </is>
      </c>
      <c r="I54" s="2" t="inlineStr">
        <is>
          <t>À définir</t>
        </is>
      </c>
      <c r="J54" s="2" t="n"/>
      <c r="K54" s="2" t="n"/>
      <c r="L54" s="2" t="n"/>
      <c r="M54" s="2" t="n"/>
      <c r="N54" s="2" t="n"/>
      <c r="O54" s="2" t="n"/>
      <c r="P54" s="2" t="inlineStr">
        <is>
          <t>À rechercher</t>
        </is>
      </c>
      <c r="Q54" s="2" t="n"/>
      <c r="R54" s="2" t="n"/>
      <c r="S54" s="2" t="inlineStr">
        <is>
          <t>À confirmer</t>
        </is>
      </c>
      <c r="T54" s="2" t="n"/>
      <c r="U54" s="2" t="n"/>
      <c r="V54" s="2" t="n"/>
      <c r="W54" s="2" t="n"/>
      <c r="X54" s="2" t="inlineStr">
        <is>
          <t>À documenter</t>
        </is>
      </c>
      <c r="Y54" s="2" t="inlineStr">
        <is>
          <t>À documenter</t>
        </is>
      </c>
      <c r="Z54" s="2" t="inlineStr">
        <is>
          <t>À documenter</t>
        </is>
      </c>
      <c r="AA54" s="2" t="inlineStr">
        <is>
          <t>À documenter</t>
        </is>
      </c>
      <c r="AB54" s="2" t="inlineStr">
        <is>
          <t>À documenter</t>
        </is>
      </c>
      <c r="AC54" s="2" t="inlineStr">
        <is>
          <t>Aucun armement fixe standard identifié; arme individuelle/affût de campagne possible selon usage</t>
        </is>
      </c>
      <c r="AD54" s="2" t="inlineStr">
        <is>
          <t>À documenter</t>
        </is>
      </c>
      <c r="AE54" s="2" t="inlineStr">
        <is>
          <t>À documenter</t>
        </is>
      </c>
      <c r="AF54" s="2" t="inlineStr">
        <is>
          <t>À définir</t>
        </is>
      </c>
      <c r="AG54" s="2" t="inlineStr">
        <is>
          <t>À définir</t>
        </is>
      </c>
      <c r="AH54" s="2" t="inlineStr">
        <is>
          <t>Réparation d’origine si véhicule complet ; démontage si incomplet</t>
        </is>
      </c>
      <c r="AI54" s="2" t="inlineStr">
        <is>
          <t>À documenter</t>
        </is>
      </c>
      <c r="AJ54" s="2" t="inlineStr">
        <is>
          <t>À définir</t>
        </is>
      </c>
      <c r="AK54" s="2" t="inlineStr">
        <is>
          <t>À documenter</t>
        </is>
      </c>
      <c r="AL54" s="2" t="inlineStr">
        <is>
          <t>À rechercher / voir sources historiques</t>
        </is>
      </c>
      <c r="AM54" s="2" t="inlineStr">
        <is>
          <t>À rechercher</t>
        </is>
      </c>
      <c r="AN54" s="2" t="inlineStr">
        <is>
          <t>Source de niveau variable ; contrôle par variante nécessaire</t>
        </is>
      </c>
      <c r="AO54" s="2" t="inlineStr">
        <is>
          <t>Non renseigné</t>
        </is>
      </c>
      <c r="AP54" s="2" t="inlineStr">
        <is>
          <t>Faible</t>
        </is>
      </c>
      <c r="AQ54" s="2" t="inlineStr">
        <is>
          <t>Élevé</t>
        </is>
      </c>
      <c r="AR54" s="2" t="inlineStr">
        <is>
          <t>Partiel — fiche à compléter</t>
        </is>
      </c>
      <c r="AS54" s="2" t="inlineStr">
        <is>
          <t>P2/P3</t>
        </is>
      </c>
      <c r="AT54" s="2" t="inlineStr">
        <is>
          <t>Modèle à valider historiquement avant verrouillage</t>
        </is>
      </c>
      <c r="AU54" s="2" t="inlineStr">
        <is>
          <t>À intégrer après validation du prototype</t>
        </is>
      </c>
      <c r="AV54" s="2" t="inlineStr">
        <is>
          <t>GAZ-AA / GAZ-MM : véhicule de catégorie « Camion léger », d'origine URSS. Motorisation recensée : À rechercher. Fiche de catalogue à compléter avec le rôle tactique et les caractéristiques de jeu.</t>
        </is>
      </c>
    </row>
    <row r="55" ht="60" customHeight="1">
      <c r="A55" s="2" t="inlineStr">
        <is>
          <t>VEH-054</t>
        </is>
      </c>
      <c r="B55" s="2" t="inlineStr">
        <is>
          <t>Camions légers et moyens</t>
        </is>
      </c>
      <c r="C55" s="2" t="inlineStr">
        <is>
          <t>ZIS-6</t>
        </is>
      </c>
      <c r="D55" s="2" t="inlineStr">
        <is>
          <t>À distinguer si plusieurs variantes</t>
        </is>
      </c>
      <c r="E55" s="2" t="inlineStr">
        <is>
          <t>URSS</t>
        </is>
      </c>
      <c r="F55" s="2" t="inlineStr">
        <is>
          <t>À documenter</t>
        </is>
      </c>
      <c r="G55" s="2" t="inlineStr">
        <is>
          <t>À confirmer</t>
        </is>
      </c>
      <c r="H55" s="2" t="inlineStr">
        <is>
          <t>Camion 6x4</t>
        </is>
      </c>
      <c r="I55" s="2" t="inlineStr">
        <is>
          <t>À définir</t>
        </is>
      </c>
      <c r="J55" s="2" t="n"/>
      <c r="K55" s="2" t="n"/>
      <c r="L55" s="2" t="n"/>
      <c r="M55" s="2" t="n"/>
      <c r="N55" s="2" t="n"/>
      <c r="O55" s="2" t="n"/>
      <c r="P55" s="2" t="inlineStr">
        <is>
          <t>À rechercher</t>
        </is>
      </c>
      <c r="Q55" s="2" t="n"/>
      <c r="R55" s="2" t="n"/>
      <c r="S55" s="2" t="inlineStr">
        <is>
          <t>À confirmer</t>
        </is>
      </c>
      <c r="T55" s="2" t="n"/>
      <c r="U55" s="2" t="n"/>
      <c r="V55" s="2" t="n"/>
      <c r="W55" s="2" t="n"/>
      <c r="X55" s="2" t="inlineStr">
        <is>
          <t>À documenter</t>
        </is>
      </c>
      <c r="Y55" s="2" t="inlineStr">
        <is>
          <t>À documenter</t>
        </is>
      </c>
      <c r="Z55" s="2" t="inlineStr">
        <is>
          <t>À documenter</t>
        </is>
      </c>
      <c r="AA55" s="2" t="inlineStr">
        <is>
          <t>À documenter</t>
        </is>
      </c>
      <c r="AB55" s="2" t="inlineStr">
        <is>
          <t>À documenter</t>
        </is>
      </c>
      <c r="AC55" s="2" t="inlineStr">
        <is>
          <t>Aucun armement fixe standard identifié; arme individuelle/affût de campagne possible selon usage</t>
        </is>
      </c>
      <c r="AD55" s="2" t="inlineStr">
        <is>
          <t>À documenter</t>
        </is>
      </c>
      <c r="AE55" s="2" t="inlineStr">
        <is>
          <t>À documenter</t>
        </is>
      </c>
      <c r="AF55" s="2" t="inlineStr">
        <is>
          <t>À définir</t>
        </is>
      </c>
      <c r="AG55" s="2" t="inlineStr">
        <is>
          <t>À définir</t>
        </is>
      </c>
      <c r="AH55" s="2" t="inlineStr">
        <is>
          <t>Réparation d’origine si véhicule complet ; démontage si incomplet</t>
        </is>
      </c>
      <c r="AI55" s="2" t="inlineStr">
        <is>
          <t>À documenter</t>
        </is>
      </c>
      <c r="AJ55" s="2" t="inlineStr">
        <is>
          <t>À définir</t>
        </is>
      </c>
      <c r="AK55" s="2" t="inlineStr">
        <is>
          <t>À documenter</t>
        </is>
      </c>
      <c r="AL55" s="2" t="inlineStr">
        <is>
          <t>À rechercher / voir sources historiques</t>
        </is>
      </c>
      <c r="AM55" s="2" t="inlineStr">
        <is>
          <t>À rechercher</t>
        </is>
      </c>
      <c r="AN55" s="2" t="inlineStr">
        <is>
          <t>Source de niveau variable ; contrôle par variante nécessaire</t>
        </is>
      </c>
      <c r="AO55" s="2" t="inlineStr">
        <is>
          <t>Non renseigné</t>
        </is>
      </c>
      <c r="AP55" s="2" t="inlineStr">
        <is>
          <t>Faible</t>
        </is>
      </c>
      <c r="AQ55" s="2" t="inlineStr">
        <is>
          <t>Élevé</t>
        </is>
      </c>
      <c r="AR55" s="2" t="inlineStr">
        <is>
          <t>Partiel — fiche à compléter</t>
        </is>
      </c>
      <c r="AS55" s="2" t="inlineStr">
        <is>
          <t>P2/P3</t>
        </is>
      </c>
      <c r="AT55" s="2" t="inlineStr">
        <is>
          <t>Modèle à valider historiquement avant verrouillage</t>
        </is>
      </c>
      <c r="AU55" s="2" t="inlineStr">
        <is>
          <t>À intégrer après validation du prototype</t>
        </is>
      </c>
      <c r="AV55" s="2" t="inlineStr">
        <is>
          <t>ZIS-6 : véhicule de catégorie « Camion 6x4 », d'origine URSS. Motorisation recensée : À rechercher. Fiche de catalogue à compléter avec le rôle tactique et les caractéristiques de jeu.</t>
        </is>
      </c>
    </row>
    <row r="56" ht="60" customHeight="1">
      <c r="A56" s="2" t="inlineStr">
        <is>
          <t>VEH-055</t>
        </is>
      </c>
      <c r="B56" s="2" t="inlineStr">
        <is>
          <t>Camions lourds, dépannage et grue</t>
        </is>
      </c>
      <c r="C56" s="2" t="inlineStr">
        <is>
          <t>Diamond T 969 Wrecker</t>
        </is>
      </c>
      <c r="D56" s="2" t="inlineStr">
        <is>
          <t>969A standardisé; différencier le 969 initial et les équipements de dépannage</t>
        </is>
      </c>
      <c r="E56" s="2" t="inlineStr">
        <is>
          <t>États-Unis</t>
        </is>
      </c>
      <c r="F56" s="2" t="inlineStr">
        <is>
          <t>Adopté en 1940; production à partir de 1941</t>
        </is>
      </c>
      <c r="G56" s="2" t="inlineStr">
        <is>
          <t>Production en série</t>
        </is>
      </c>
      <c r="H56" s="2" t="inlineStr">
        <is>
          <t>Dépanneuse lourde 6x6 à flèches jumelles et treuils</t>
        </is>
      </c>
      <c r="I56" s="2" t="inlineStr">
        <is>
          <t>Récupération d’épaves, remorquage, extraction sous le feu</t>
        </is>
      </c>
      <c r="J56" s="2" t="n">
        <v>9300</v>
      </c>
      <c r="K56" s="2" t="n">
        <v>10050</v>
      </c>
      <c r="L56" s="2" t="n">
        <v>7.42</v>
      </c>
      <c r="M56" s="2" t="n">
        <v>2.44</v>
      </c>
      <c r="N56" s="2" t="n">
        <v>3</v>
      </c>
      <c r="O56" s="2" t="n"/>
      <c r="P56" s="2" t="inlineStr">
        <is>
          <t>Hercules RXC, 6 cylindres en ligne essence</t>
        </is>
      </c>
      <c r="Q56" s="2" t="n">
        <v>8.6</v>
      </c>
      <c r="R56" s="2" t="n">
        <v>119</v>
      </c>
      <c r="S56" s="2" t="inlineStr">
        <is>
          <t>Essence</t>
        </is>
      </c>
      <c r="T56" s="2" t="n">
        <v>227</v>
      </c>
      <c r="U56" s="2" t="inlineStr">
        <is>
          <t>≈ 80 à vide; jusqu’à 150 avec charge/remorque selon source associative; donnée indicative</t>
        </is>
      </c>
      <c r="V56" s="2" t="n">
        <v>65</v>
      </c>
      <c r="W56" s="2" t="n"/>
      <c r="X56" s="2" t="inlineStr">
        <is>
          <t>À documenter</t>
        </is>
      </c>
      <c r="Y56" s="2" t="inlineStr">
        <is>
          <t>À documenter</t>
        </is>
      </c>
      <c r="Z56" s="2" t="inlineStr">
        <is>
          <t>6x6; boîte 5 rapports; gamme transfert</t>
        </is>
      </c>
      <c r="AA56" s="2" t="inlineStr">
        <is>
          <t>À documenter</t>
        </is>
      </c>
      <c r="AB56" s="2" t="inlineStr">
        <is>
          <t>À documenter</t>
        </is>
      </c>
      <c r="AC56" s="2" t="inlineStr">
        <is>
          <t>Aucun armement fixe standard identifié; arme individuelle/affût de campagne possible selon usage</t>
        </is>
      </c>
      <c r="AD56" s="2" t="inlineStr">
        <is>
          <t>À documenter</t>
        </is>
      </c>
      <c r="AE56" s="2" t="inlineStr">
        <is>
          <t>À documenter</t>
        </is>
      </c>
      <c r="AF56" s="2" t="inlineStr">
        <is>
          <t>À définir</t>
        </is>
      </c>
      <c r="AG56" s="2" t="inlineStr">
        <is>
          <t>À définir</t>
        </is>
      </c>
      <c r="AH56" s="2" t="inlineStr">
        <is>
          <t>Réparation d’origine si véhicule complet ; démontage si incomplet</t>
        </is>
      </c>
      <c r="AI56" s="2" t="inlineStr">
        <is>
          <t>À documenter</t>
        </is>
      </c>
      <c r="AJ56" s="2" t="inlineStr">
        <is>
          <t>À définir</t>
        </is>
      </c>
      <c r="AK56" s="2" t="inlineStr">
        <is>
          <t>À documenter</t>
        </is>
      </c>
      <c r="AL56" s="2" t="inlineStr">
        <is>
          <t>TM 9-811 (1944), 4-ton 6x6 trucks Diamond T</t>
        </is>
      </c>
      <c r="AM56" s="2" t="inlineStr">
        <is>
          <t>https://univem-paris.com/project/diamond-t-969a/ ; https://commons.wikimedia.org/wiki/File%3ATM_9-811_4-Ton%2C_6x6_Trucks_%28Diamond_T_Models_968A_Cargo%2C_969A_Wrecker%2C_970A_Ponton%2C_And_972_Dump%29%2C_1944_%28IA_TM9-811%29.pdf</t>
        </is>
      </c>
      <c r="AN56" s="2" t="inlineStr">
        <is>
          <t>Manuel primaire identifié; valeurs reprises de source muséale/associative</t>
        </is>
      </c>
      <c r="AO56" s="2" t="inlineStr">
        <is>
          <t>Moyenne à élevée</t>
        </is>
      </c>
      <c r="AP56" s="2" t="inlineStr">
        <is>
          <t>Moyenne à élevée</t>
        </is>
      </c>
      <c r="AQ56" s="2" t="inlineStr">
        <is>
          <t>Élevé</t>
        </is>
      </c>
      <c r="AR56" s="2" t="inlineStr">
        <is>
          <t>Partiellement documenté</t>
        </is>
      </c>
      <c r="AS56" s="2" t="inlineStr">
        <is>
          <t>P1</t>
        </is>
      </c>
      <c r="AT56" s="2" t="inlineStr">
        <is>
          <t>Consommation très dépendante de charge, terrain, treuillage et remorque; utiliser une fourchette gameplay, pas une valeur fixe. Les 969 et 969A doivent être distingués quand les pièces changent.</t>
        </is>
      </c>
      <c r="AU56" s="2" t="inlineStr">
        <is>
          <t>Véhicule rare de récupération avancée</t>
        </is>
      </c>
      <c r="AV56" s="2" t="inlineStr">
        <is>
          <t>Dépanneuse lourde 6x6, lente et gourmande, mais capable de déplacer des épaves que les autres véhicules ne peuvent pas récupérer.</t>
        </is>
      </c>
    </row>
    <row r="57" ht="60" customHeight="1">
      <c r="A57" s="2" t="inlineStr">
        <is>
          <t>VEH-056</t>
        </is>
      </c>
      <c r="B57" s="2" t="inlineStr">
        <is>
          <t>Camions lourds, dépannage et grue</t>
        </is>
      </c>
      <c r="C57" s="2" t="inlineStr">
        <is>
          <t>M26 Pacific</t>
        </is>
      </c>
      <c r="D57" s="2" t="inlineStr">
        <is>
          <t>À distinguer si plusieurs variantes</t>
        </is>
      </c>
      <c r="E57" s="2" t="inlineStr">
        <is>
          <t>États-Unis</t>
        </is>
      </c>
      <c r="F57" s="2" t="inlineStr">
        <is>
          <t>À documenter</t>
        </is>
      </c>
      <c r="G57" s="2" t="inlineStr">
        <is>
          <t>À confirmer</t>
        </is>
      </c>
      <c r="H57" s="2" t="inlineStr">
        <is>
          <t>Tracteur lourd de dépannage</t>
        </is>
      </c>
      <c r="I57" s="2" t="inlineStr">
        <is>
          <t>À définir</t>
        </is>
      </c>
      <c r="J57" s="2" t="n"/>
      <c r="K57" s="2" t="n"/>
      <c r="L57" s="2" t="n"/>
      <c r="M57" s="2" t="n"/>
      <c r="N57" s="2" t="n"/>
      <c r="O57" s="2" t="n"/>
      <c r="P57" s="2" t="inlineStr">
        <is>
          <t>À rechercher</t>
        </is>
      </c>
      <c r="Q57" s="2" t="n"/>
      <c r="R57" s="2" t="n"/>
      <c r="S57" s="2" t="inlineStr">
        <is>
          <t>À confirmer</t>
        </is>
      </c>
      <c r="T57" s="2" t="n"/>
      <c r="U57" s="2" t="n"/>
      <c r="V57" s="2" t="n"/>
      <c r="W57" s="2" t="n"/>
      <c r="X57" s="2" t="inlineStr">
        <is>
          <t>À documenter</t>
        </is>
      </c>
      <c r="Y57" s="2" t="inlineStr">
        <is>
          <t>À documenter</t>
        </is>
      </c>
      <c r="Z57" s="2" t="inlineStr">
        <is>
          <t>À documenter</t>
        </is>
      </c>
      <c r="AA57" s="2" t="inlineStr">
        <is>
          <t>À documenter</t>
        </is>
      </c>
      <c r="AB57" s="2" t="inlineStr">
        <is>
          <t>À documenter</t>
        </is>
      </c>
      <c r="AC57" s="2" t="inlineStr">
        <is>
          <t>Aucun armement fixe standard identifié; arme individuelle/affût de campagne possible selon usage</t>
        </is>
      </c>
      <c r="AD57" s="2" t="inlineStr">
        <is>
          <t>À documenter</t>
        </is>
      </c>
      <c r="AE57" s="2" t="inlineStr">
        <is>
          <t>À documenter</t>
        </is>
      </c>
      <c r="AF57" s="2" t="inlineStr">
        <is>
          <t>À définir</t>
        </is>
      </c>
      <c r="AG57" s="2" t="inlineStr">
        <is>
          <t>À définir</t>
        </is>
      </c>
      <c r="AH57" s="2" t="inlineStr">
        <is>
          <t>Réparation d’origine si véhicule complet ; démontage si incomplet</t>
        </is>
      </c>
      <c r="AI57" s="2" t="inlineStr">
        <is>
          <t>À documenter</t>
        </is>
      </c>
      <c r="AJ57" s="2" t="inlineStr">
        <is>
          <t>À définir</t>
        </is>
      </c>
      <c r="AK57" s="2" t="inlineStr">
        <is>
          <t>À documenter</t>
        </is>
      </c>
      <c r="AL57" s="2" t="inlineStr">
        <is>
          <t>À rechercher / voir sources historiques</t>
        </is>
      </c>
      <c r="AM57" s="2" t="inlineStr">
        <is>
          <t>À rechercher</t>
        </is>
      </c>
      <c r="AN57" s="2" t="inlineStr">
        <is>
          <t>Source de niveau variable ; contrôle par variante nécessaire</t>
        </is>
      </c>
      <c r="AO57" s="2" t="inlineStr">
        <is>
          <t>Non renseigné</t>
        </is>
      </c>
      <c r="AP57" s="2" t="inlineStr">
        <is>
          <t>Faible</t>
        </is>
      </c>
      <c r="AQ57" s="2" t="inlineStr">
        <is>
          <t>Élevé</t>
        </is>
      </c>
      <c r="AR57" s="2" t="inlineStr">
        <is>
          <t>Partiel — fiche à compléter</t>
        </is>
      </c>
      <c r="AS57" s="2" t="inlineStr">
        <is>
          <t>P2/P3</t>
        </is>
      </c>
      <c r="AT57" s="2" t="inlineStr">
        <is>
          <t>Modèle à valider historiquement avant verrouillage</t>
        </is>
      </c>
      <c r="AU57" s="2" t="inlineStr">
        <is>
          <t>À intégrer après validation du prototype</t>
        </is>
      </c>
      <c r="AV57" s="2" t="inlineStr">
        <is>
          <t>M26 Pacific : véhicule de catégorie « Tracteur lourd de dépannage », d'origine États-Unis. Motorisation recensée : À rechercher. Fiche de catalogue à compléter avec le rôle tactique et les caractéristiques de jeu.</t>
        </is>
      </c>
    </row>
    <row r="58" ht="60" customHeight="1">
      <c r="A58" s="2" t="inlineStr">
        <is>
          <t>VEH-057</t>
        </is>
      </c>
      <c r="B58" s="2" t="inlineStr">
        <is>
          <t>Camions lourds, dépannage et grue</t>
        </is>
      </c>
      <c r="C58" s="2" t="inlineStr">
        <is>
          <t>Ward LaFrance M1A1</t>
        </is>
      </c>
      <c r="D58" s="2" t="inlineStr">
        <is>
          <t>À distinguer si plusieurs variantes</t>
        </is>
      </c>
      <c r="E58" s="2" t="inlineStr">
        <is>
          <t>États-Unis</t>
        </is>
      </c>
      <c r="F58" s="2" t="inlineStr">
        <is>
          <t>À documenter</t>
        </is>
      </c>
      <c r="G58" s="2" t="inlineStr">
        <is>
          <t>À confirmer</t>
        </is>
      </c>
      <c r="H58" s="2" t="inlineStr">
        <is>
          <t>Dépanneuse lourde</t>
        </is>
      </c>
      <c r="I58" s="2" t="inlineStr">
        <is>
          <t>À définir</t>
        </is>
      </c>
      <c r="J58" s="2" t="n"/>
      <c r="K58" s="2" t="n"/>
      <c r="L58" s="2" t="n"/>
      <c r="M58" s="2" t="n"/>
      <c r="N58" s="2" t="n"/>
      <c r="O58" s="2" t="n"/>
      <c r="P58" s="2" t="inlineStr">
        <is>
          <t>À rechercher</t>
        </is>
      </c>
      <c r="Q58" s="2" t="n"/>
      <c r="R58" s="2" t="n"/>
      <c r="S58" s="2" t="inlineStr">
        <is>
          <t>À confirmer</t>
        </is>
      </c>
      <c r="T58" s="2" t="n"/>
      <c r="U58" s="2" t="n"/>
      <c r="V58" s="2" t="n"/>
      <c r="W58" s="2" t="n"/>
      <c r="X58" s="2" t="inlineStr">
        <is>
          <t>À documenter</t>
        </is>
      </c>
      <c r="Y58" s="2" t="inlineStr">
        <is>
          <t>À documenter</t>
        </is>
      </c>
      <c r="Z58" s="2" t="inlineStr">
        <is>
          <t>À documenter</t>
        </is>
      </c>
      <c r="AA58" s="2" t="inlineStr">
        <is>
          <t>À documenter</t>
        </is>
      </c>
      <c r="AB58" s="2" t="inlineStr">
        <is>
          <t>À documenter</t>
        </is>
      </c>
      <c r="AC58" s="2" t="inlineStr">
        <is>
          <t>Aucun armement fixe standard identifié; arme individuelle/affût de campagne possible selon usage</t>
        </is>
      </c>
      <c r="AD58" s="2" t="inlineStr">
        <is>
          <t>À documenter</t>
        </is>
      </c>
      <c r="AE58" s="2" t="inlineStr">
        <is>
          <t>À documenter</t>
        </is>
      </c>
      <c r="AF58" s="2" t="inlineStr">
        <is>
          <t>À définir</t>
        </is>
      </c>
      <c r="AG58" s="2" t="inlineStr">
        <is>
          <t>À définir</t>
        </is>
      </c>
      <c r="AH58" s="2" t="inlineStr">
        <is>
          <t>Réparation d’origine si véhicule complet ; démontage si incomplet</t>
        </is>
      </c>
      <c r="AI58" s="2" t="inlineStr">
        <is>
          <t>À documenter</t>
        </is>
      </c>
      <c r="AJ58" s="2" t="inlineStr">
        <is>
          <t>À définir</t>
        </is>
      </c>
      <c r="AK58" s="2" t="inlineStr">
        <is>
          <t>À documenter</t>
        </is>
      </c>
      <c r="AL58" s="2" t="inlineStr">
        <is>
          <t>À rechercher / voir sources historiques</t>
        </is>
      </c>
      <c r="AM58" s="2" t="inlineStr">
        <is>
          <t>À rechercher</t>
        </is>
      </c>
      <c r="AN58" s="2" t="inlineStr">
        <is>
          <t>Source de niveau variable ; contrôle par variante nécessaire</t>
        </is>
      </c>
      <c r="AO58" s="2" t="inlineStr">
        <is>
          <t>Non renseigné</t>
        </is>
      </c>
      <c r="AP58" s="2" t="inlineStr">
        <is>
          <t>Faible</t>
        </is>
      </c>
      <c r="AQ58" s="2" t="inlineStr">
        <is>
          <t>Élevé</t>
        </is>
      </c>
      <c r="AR58" s="2" t="inlineStr">
        <is>
          <t>Partiel — fiche à compléter</t>
        </is>
      </c>
      <c r="AS58" s="2" t="inlineStr">
        <is>
          <t>P2/P3</t>
        </is>
      </c>
      <c r="AT58" s="2" t="inlineStr">
        <is>
          <t>Modèle à valider historiquement avant verrouillage</t>
        </is>
      </c>
      <c r="AU58" s="2" t="inlineStr">
        <is>
          <t>À intégrer après validation du prototype</t>
        </is>
      </c>
      <c r="AV58" s="2" t="inlineStr">
        <is>
          <t>Ward LaFrance M1A1 : véhicule de catégorie « Dépanneuse lourde », d'origine États-Unis. Motorisation recensée : À rechercher. Fiche de catalogue à compléter avec le rôle tactique et les caractéristiques de jeu.</t>
        </is>
      </c>
    </row>
    <row r="59" ht="60" customHeight="1">
      <c r="A59" s="2" t="inlineStr">
        <is>
          <t>VEH-058</t>
        </is>
      </c>
      <c r="B59" s="2" t="inlineStr">
        <is>
          <t>Camions lourds, dépannage et grue</t>
        </is>
      </c>
      <c r="C59" s="2" t="inlineStr">
        <is>
          <t>Scammell Pioneer</t>
        </is>
      </c>
      <c r="D59" s="2" t="inlineStr">
        <is>
          <t>À distinguer si plusieurs variantes</t>
        </is>
      </c>
      <c r="E59" s="2" t="inlineStr">
        <is>
          <t>Royaume-Uni</t>
        </is>
      </c>
      <c r="F59" s="2" t="inlineStr">
        <is>
          <t>À documenter</t>
        </is>
      </c>
      <c r="G59" s="2" t="inlineStr">
        <is>
          <t>À confirmer</t>
        </is>
      </c>
      <c r="H59" s="2" t="inlineStr">
        <is>
          <t>Dépanneur / tracteur lourd</t>
        </is>
      </c>
      <c r="I59" s="2" t="inlineStr">
        <is>
          <t>À définir</t>
        </is>
      </c>
      <c r="J59" s="2" t="n"/>
      <c r="K59" s="2" t="n"/>
      <c r="L59" s="2" t="n"/>
      <c r="M59" s="2" t="n"/>
      <c r="N59" s="2" t="n"/>
      <c r="O59" s="2" t="n"/>
      <c r="P59" s="2" t="inlineStr">
        <is>
          <t>À rechercher</t>
        </is>
      </c>
      <c r="Q59" s="2" t="n"/>
      <c r="R59" s="2" t="n"/>
      <c r="S59" s="2" t="inlineStr">
        <is>
          <t>À confirmer</t>
        </is>
      </c>
      <c r="T59" s="2" t="n"/>
      <c r="U59" s="2" t="n"/>
      <c r="V59" s="2" t="n"/>
      <c r="W59" s="2" t="n"/>
      <c r="X59" s="2" t="inlineStr">
        <is>
          <t>À documenter</t>
        </is>
      </c>
      <c r="Y59" s="2" t="inlineStr">
        <is>
          <t>À documenter</t>
        </is>
      </c>
      <c r="Z59" s="2" t="inlineStr">
        <is>
          <t>À documenter</t>
        </is>
      </c>
      <c r="AA59" s="2" t="inlineStr">
        <is>
          <t>À documenter</t>
        </is>
      </c>
      <c r="AB59" s="2" t="inlineStr">
        <is>
          <t>À documenter</t>
        </is>
      </c>
      <c r="AC59" s="2" t="inlineStr">
        <is>
          <t>Aucun armement fixe standard identifié; arme individuelle/affût de campagne possible selon usage</t>
        </is>
      </c>
      <c r="AD59" s="2" t="inlineStr">
        <is>
          <t>À documenter</t>
        </is>
      </c>
      <c r="AE59" s="2" t="inlineStr">
        <is>
          <t>À documenter</t>
        </is>
      </c>
      <c r="AF59" s="2" t="inlineStr">
        <is>
          <t>À définir</t>
        </is>
      </c>
      <c r="AG59" s="2" t="inlineStr">
        <is>
          <t>À définir</t>
        </is>
      </c>
      <c r="AH59" s="2" t="inlineStr">
        <is>
          <t>Réparation d’origine si véhicule complet ; démontage si incomplet</t>
        </is>
      </c>
      <c r="AI59" s="2" t="inlineStr">
        <is>
          <t>À documenter</t>
        </is>
      </c>
      <c r="AJ59" s="2" t="inlineStr">
        <is>
          <t>À définir</t>
        </is>
      </c>
      <c r="AK59" s="2" t="inlineStr">
        <is>
          <t>À documenter</t>
        </is>
      </c>
      <c r="AL59" s="2" t="inlineStr">
        <is>
          <t>À rechercher / voir sources historiques</t>
        </is>
      </c>
      <c r="AM59" s="2" t="inlineStr">
        <is>
          <t>À rechercher</t>
        </is>
      </c>
      <c r="AN59" s="2" t="inlineStr">
        <is>
          <t>Source de niveau variable ; contrôle par variante nécessaire</t>
        </is>
      </c>
      <c r="AO59" s="2" t="inlineStr">
        <is>
          <t>Non renseigné</t>
        </is>
      </c>
      <c r="AP59" s="2" t="inlineStr">
        <is>
          <t>Faible</t>
        </is>
      </c>
      <c r="AQ59" s="2" t="inlineStr">
        <is>
          <t>Élevé</t>
        </is>
      </c>
      <c r="AR59" s="2" t="inlineStr">
        <is>
          <t>Partiel — fiche à compléter</t>
        </is>
      </c>
      <c r="AS59" s="2" t="inlineStr">
        <is>
          <t>P2/P3</t>
        </is>
      </c>
      <c r="AT59" s="2" t="inlineStr">
        <is>
          <t>Modèle à valider historiquement avant verrouillage</t>
        </is>
      </c>
      <c r="AU59" s="2" t="inlineStr">
        <is>
          <t>À intégrer après validation du prototype</t>
        </is>
      </c>
      <c r="AV59" s="2" t="inlineStr">
        <is>
          <t>Scammell Pioneer : véhicule de catégorie « Dépanneur / tracteur lourd », d'origine Royaume-Uni. Motorisation recensée : À rechercher. Fiche de catalogue à compléter avec le rôle tactique et les caractéristiques de jeu.</t>
        </is>
      </c>
    </row>
    <row r="60" ht="60" customHeight="1">
      <c r="A60" s="2" t="inlineStr">
        <is>
          <t>VEH-059</t>
        </is>
      </c>
      <c r="B60" s="2" t="inlineStr">
        <is>
          <t>Camions lourds, dépannage et grue</t>
        </is>
      </c>
      <c r="C60" s="2" t="inlineStr">
        <is>
          <t>FWD Model B</t>
        </is>
      </c>
      <c r="D60" s="2" t="inlineStr">
        <is>
          <t>À distinguer si plusieurs variantes</t>
        </is>
      </c>
      <c r="E60" s="2" t="inlineStr">
        <is>
          <t>États-Unis</t>
        </is>
      </c>
      <c r="F60" s="2" t="inlineStr">
        <is>
          <t>À documenter</t>
        </is>
      </c>
      <c r="G60" s="2" t="inlineStr">
        <is>
          <t>À confirmer</t>
        </is>
      </c>
      <c r="H60" s="2" t="inlineStr">
        <is>
          <t>Camion tout-terrain ancien</t>
        </is>
      </c>
      <c r="I60" s="2" t="inlineStr">
        <is>
          <t>À définir</t>
        </is>
      </c>
      <c r="J60" s="2" t="n"/>
      <c r="K60" s="2" t="n"/>
      <c r="L60" s="2" t="n"/>
      <c r="M60" s="2" t="n"/>
      <c r="N60" s="2" t="n"/>
      <c r="O60" s="2" t="n"/>
      <c r="P60" s="2" t="inlineStr">
        <is>
          <t>À rechercher</t>
        </is>
      </c>
      <c r="Q60" s="2" t="n"/>
      <c r="R60" s="2" t="n"/>
      <c r="S60" s="2" t="inlineStr">
        <is>
          <t>À confirmer</t>
        </is>
      </c>
      <c r="T60" s="2" t="n"/>
      <c r="U60" s="2" t="n"/>
      <c r="V60" s="2" t="n"/>
      <c r="W60" s="2" t="n"/>
      <c r="X60" s="2" t="inlineStr">
        <is>
          <t>À documenter</t>
        </is>
      </c>
      <c r="Y60" s="2" t="inlineStr">
        <is>
          <t>À documenter</t>
        </is>
      </c>
      <c r="Z60" s="2" t="inlineStr">
        <is>
          <t>À documenter</t>
        </is>
      </c>
      <c r="AA60" s="2" t="inlineStr">
        <is>
          <t>À documenter</t>
        </is>
      </c>
      <c r="AB60" s="2" t="inlineStr">
        <is>
          <t>À documenter</t>
        </is>
      </c>
      <c r="AC60" s="2" t="inlineStr">
        <is>
          <t>Aucun armement fixe standard identifié; arme individuelle/affût de campagne possible selon usage</t>
        </is>
      </c>
      <c r="AD60" s="2" t="inlineStr">
        <is>
          <t>À documenter</t>
        </is>
      </c>
      <c r="AE60" s="2" t="inlineStr">
        <is>
          <t>À documenter</t>
        </is>
      </c>
      <c r="AF60" s="2" t="inlineStr">
        <is>
          <t>À définir</t>
        </is>
      </c>
      <c r="AG60" s="2" t="inlineStr">
        <is>
          <t>À définir</t>
        </is>
      </c>
      <c r="AH60" s="2" t="inlineStr">
        <is>
          <t>Réparation d’origine si véhicule complet ; démontage si incomplet</t>
        </is>
      </c>
      <c r="AI60" s="2" t="inlineStr">
        <is>
          <t>À documenter</t>
        </is>
      </c>
      <c r="AJ60" s="2" t="inlineStr">
        <is>
          <t>À définir</t>
        </is>
      </c>
      <c r="AK60" s="2" t="inlineStr">
        <is>
          <t>À documenter</t>
        </is>
      </c>
      <c r="AL60" s="2" t="inlineStr">
        <is>
          <t>À rechercher / voir sources historiques</t>
        </is>
      </c>
      <c r="AM60" s="2" t="inlineStr">
        <is>
          <t>À rechercher</t>
        </is>
      </c>
      <c r="AN60" s="2" t="inlineStr">
        <is>
          <t>Source de niveau variable ; contrôle par variante nécessaire</t>
        </is>
      </c>
      <c r="AO60" s="2" t="inlineStr">
        <is>
          <t>Non renseigné</t>
        </is>
      </c>
      <c r="AP60" s="2" t="inlineStr">
        <is>
          <t>Faible</t>
        </is>
      </c>
      <c r="AQ60" s="2" t="inlineStr">
        <is>
          <t>Élevé</t>
        </is>
      </c>
      <c r="AR60" s="2" t="inlineStr">
        <is>
          <t>Partiel — fiche à compléter</t>
        </is>
      </c>
      <c r="AS60" s="2" t="inlineStr">
        <is>
          <t>P2/P3</t>
        </is>
      </c>
      <c r="AT60" s="2" t="inlineStr">
        <is>
          <t>Modèle à valider historiquement avant verrouillage</t>
        </is>
      </c>
      <c r="AU60" s="2" t="inlineStr">
        <is>
          <t>À intégrer après validation du prototype</t>
        </is>
      </c>
      <c r="AV60" s="2" t="inlineStr">
        <is>
          <t>FWD Model B : véhicule de catégorie « Camion tout-terrain ancien », d'origine États-Unis. Motorisation recensée : À rechercher. Fiche de catalogue à compléter avec le rôle tactique et les caractéristiques de jeu.</t>
        </is>
      </c>
    </row>
    <row r="61" ht="60" customHeight="1">
      <c r="A61" s="2" t="inlineStr">
        <is>
          <t>VEH-060</t>
        </is>
      </c>
      <c r="B61" s="2" t="inlineStr">
        <is>
          <t>Camions lourds, dépannage et grue</t>
        </is>
      </c>
      <c r="C61" s="2" t="inlineStr">
        <is>
          <t>Laffly S15 / S20</t>
        </is>
      </c>
      <c r="D61" s="2" t="inlineStr">
        <is>
          <t>À distinguer si plusieurs variantes</t>
        </is>
      </c>
      <c r="E61" s="2" t="inlineStr">
        <is>
          <t>France</t>
        </is>
      </c>
      <c r="F61" s="2" t="inlineStr">
        <is>
          <t>À documenter</t>
        </is>
      </c>
      <c r="G61" s="2" t="inlineStr">
        <is>
          <t>À confirmer</t>
        </is>
      </c>
      <c r="H61" s="2" t="inlineStr">
        <is>
          <t>Tracteur/utilitaire tout-terrain</t>
        </is>
      </c>
      <c r="I61" s="2" t="inlineStr">
        <is>
          <t>À définir</t>
        </is>
      </c>
      <c r="J61" s="2" t="n"/>
      <c r="K61" s="2" t="n"/>
      <c r="L61" s="2" t="n"/>
      <c r="M61" s="2" t="n"/>
      <c r="N61" s="2" t="n"/>
      <c r="O61" s="2" t="n"/>
      <c r="P61" s="2" t="inlineStr">
        <is>
          <t>À rechercher</t>
        </is>
      </c>
      <c r="Q61" s="2" t="n"/>
      <c r="R61" s="2" t="n"/>
      <c r="S61" s="2" t="inlineStr">
        <is>
          <t>À confirmer</t>
        </is>
      </c>
      <c r="T61" s="2" t="n"/>
      <c r="U61" s="2" t="n"/>
      <c r="V61" s="2" t="n"/>
      <c r="W61" s="2" t="n"/>
      <c r="X61" s="2" t="inlineStr">
        <is>
          <t>À documenter</t>
        </is>
      </c>
      <c r="Y61" s="2" t="inlineStr">
        <is>
          <t>À documenter</t>
        </is>
      </c>
      <c r="Z61" s="2" t="inlineStr">
        <is>
          <t>À documenter</t>
        </is>
      </c>
      <c r="AA61" s="2" t="inlineStr">
        <is>
          <t>À documenter</t>
        </is>
      </c>
      <c r="AB61" s="2" t="inlineStr">
        <is>
          <t>À documenter</t>
        </is>
      </c>
      <c r="AC61" s="2" t="inlineStr">
        <is>
          <t>Aucun armement fixe standard identifié; arme individuelle/affût de campagne possible selon usage</t>
        </is>
      </c>
      <c r="AD61" s="2" t="inlineStr">
        <is>
          <t>À documenter</t>
        </is>
      </c>
      <c r="AE61" s="2" t="inlineStr">
        <is>
          <t>À documenter</t>
        </is>
      </c>
      <c r="AF61" s="2" t="inlineStr">
        <is>
          <t>À définir</t>
        </is>
      </c>
      <c r="AG61" s="2" t="inlineStr">
        <is>
          <t>À définir</t>
        </is>
      </c>
      <c r="AH61" s="2" t="inlineStr">
        <is>
          <t>Réparation d’origine si véhicule complet ; démontage si incomplet</t>
        </is>
      </c>
      <c r="AI61" s="2" t="inlineStr">
        <is>
          <t>À documenter</t>
        </is>
      </c>
      <c r="AJ61" s="2" t="inlineStr">
        <is>
          <t>À définir</t>
        </is>
      </c>
      <c r="AK61" s="2" t="inlineStr">
        <is>
          <t>À documenter</t>
        </is>
      </c>
      <c r="AL61" s="2" t="inlineStr">
        <is>
          <t>À rechercher / voir sources historiques</t>
        </is>
      </c>
      <c r="AM61" s="2" t="inlineStr">
        <is>
          <t>À rechercher</t>
        </is>
      </c>
      <c r="AN61" s="2" t="inlineStr">
        <is>
          <t>Source de niveau variable ; contrôle par variante nécessaire</t>
        </is>
      </c>
      <c r="AO61" s="2" t="inlineStr">
        <is>
          <t>Non renseigné</t>
        </is>
      </c>
      <c r="AP61" s="2" t="inlineStr">
        <is>
          <t>Faible</t>
        </is>
      </c>
      <c r="AQ61" s="2" t="inlineStr">
        <is>
          <t>Élevé</t>
        </is>
      </c>
      <c r="AR61" s="2" t="inlineStr">
        <is>
          <t>Partiel — fiche à compléter</t>
        </is>
      </c>
      <c r="AS61" s="2" t="inlineStr">
        <is>
          <t>P2/P3</t>
        </is>
      </c>
      <c r="AT61" s="2" t="inlineStr">
        <is>
          <t>Modèle à valider historiquement avant verrouillage</t>
        </is>
      </c>
      <c r="AU61" s="2" t="inlineStr">
        <is>
          <t>À intégrer après validation du prototype</t>
        </is>
      </c>
      <c r="AV61" s="2" t="inlineStr">
        <is>
          <t>Laffly S15 / S20 : véhicule de catégorie « Tracteur/utilitaire tout-terrain », d'origine France. Motorisation recensée : À rechercher. Fiche de catalogue à compléter avec le rôle tactique et les caractéristiques de jeu.</t>
        </is>
      </c>
    </row>
    <row r="62" ht="60" customHeight="1">
      <c r="A62" s="2" t="inlineStr">
        <is>
          <t>VEH-061</t>
        </is>
      </c>
      <c r="B62" s="2" t="inlineStr">
        <is>
          <t>Camions lourds, dépannage et grue</t>
        </is>
      </c>
      <c r="C62" s="2" t="inlineStr">
        <is>
          <t>Berliet GBC / modèles militaires d'avant-guerre</t>
        </is>
      </c>
      <c r="D62" s="2" t="inlineStr">
        <is>
          <t>À distinguer si plusieurs variantes</t>
        </is>
      </c>
      <c r="E62" s="2" t="inlineStr">
        <is>
          <t>France</t>
        </is>
      </c>
      <c r="F62" s="2" t="inlineStr">
        <is>
          <t>À documenter</t>
        </is>
      </c>
      <c r="G62" s="2" t="inlineStr">
        <is>
          <t>À confirmer</t>
        </is>
      </c>
      <c r="H62" s="2" t="inlineStr">
        <is>
          <t>Camion militaire</t>
        </is>
      </c>
      <c r="I62" s="2" t="inlineStr">
        <is>
          <t>À définir</t>
        </is>
      </c>
      <c r="J62" s="2" t="n"/>
      <c r="K62" s="2" t="n"/>
      <c r="L62" s="2" t="n"/>
      <c r="M62" s="2" t="n"/>
      <c r="N62" s="2" t="n"/>
      <c r="O62" s="2" t="n"/>
      <c r="P62" s="2" t="inlineStr">
        <is>
          <t>À rechercher</t>
        </is>
      </c>
      <c r="Q62" s="2" t="n"/>
      <c r="R62" s="2" t="n"/>
      <c r="S62" s="2" t="inlineStr">
        <is>
          <t>À confirmer</t>
        </is>
      </c>
      <c r="T62" s="2" t="n"/>
      <c r="U62" s="2" t="n"/>
      <c r="V62" s="2" t="n"/>
      <c r="W62" s="2" t="n"/>
      <c r="X62" s="2" t="inlineStr">
        <is>
          <t>À documenter</t>
        </is>
      </c>
      <c r="Y62" s="2" t="inlineStr">
        <is>
          <t>À documenter</t>
        </is>
      </c>
      <c r="Z62" s="2" t="inlineStr">
        <is>
          <t>À documenter</t>
        </is>
      </c>
      <c r="AA62" s="2" t="inlineStr">
        <is>
          <t>À documenter</t>
        </is>
      </c>
      <c r="AB62" s="2" t="inlineStr">
        <is>
          <t>À documenter</t>
        </is>
      </c>
      <c r="AC62" s="2" t="inlineStr">
        <is>
          <t>Aucun armement fixe standard identifié; arme individuelle/affût de campagne possible selon usage</t>
        </is>
      </c>
      <c r="AD62" s="2" t="inlineStr">
        <is>
          <t>À documenter</t>
        </is>
      </c>
      <c r="AE62" s="2" t="inlineStr">
        <is>
          <t>À documenter</t>
        </is>
      </c>
      <c r="AF62" s="2" t="inlineStr">
        <is>
          <t>À définir</t>
        </is>
      </c>
      <c r="AG62" s="2" t="inlineStr">
        <is>
          <t>À définir</t>
        </is>
      </c>
      <c r="AH62" s="2" t="inlineStr">
        <is>
          <t>Réparation d’origine si véhicule complet ; démontage si incomplet</t>
        </is>
      </c>
      <c r="AI62" s="2" t="inlineStr">
        <is>
          <t>À documenter</t>
        </is>
      </c>
      <c r="AJ62" s="2" t="inlineStr">
        <is>
          <t>À définir</t>
        </is>
      </c>
      <c r="AK62" s="2" t="inlineStr">
        <is>
          <t>À documenter</t>
        </is>
      </c>
      <c r="AL62" s="2" t="inlineStr">
        <is>
          <t>À rechercher / voir sources historiques</t>
        </is>
      </c>
      <c r="AM62" s="2" t="inlineStr">
        <is>
          <t>À rechercher</t>
        </is>
      </c>
      <c r="AN62" s="2" t="inlineStr">
        <is>
          <t>Source de niveau variable ; contrôle par variante nécessaire</t>
        </is>
      </c>
      <c r="AO62" s="2" t="inlineStr">
        <is>
          <t>Non renseigné</t>
        </is>
      </c>
      <c r="AP62" s="2" t="inlineStr">
        <is>
          <t>Faible</t>
        </is>
      </c>
      <c r="AQ62" s="2" t="inlineStr">
        <is>
          <t>Élevé</t>
        </is>
      </c>
      <c r="AR62" s="2" t="inlineStr">
        <is>
          <t>Partiel — fiche à compléter</t>
        </is>
      </c>
      <c r="AS62" s="2" t="inlineStr">
        <is>
          <t>P2/P3</t>
        </is>
      </c>
      <c r="AT62" s="2" t="inlineStr">
        <is>
          <t>Modèle à valider historiquement avant verrouillage</t>
        </is>
      </c>
      <c r="AU62" s="2" t="inlineStr">
        <is>
          <t>À intégrer après validation du prototype</t>
        </is>
      </c>
      <c r="AV62" s="2" t="inlineStr">
        <is>
          <t>Berliet GBC / modèles militaires d'avant-guerre : véhicule de catégorie « Camion militaire », d'origine France. Motorisation recensée : À rechercher. Fiche de catalogue à compléter avec le rôle tactique et les caractéristiques de jeu.</t>
        </is>
      </c>
    </row>
    <row r="63" ht="60" customHeight="1">
      <c r="A63" s="2" t="inlineStr">
        <is>
          <t>VEH-062</t>
        </is>
      </c>
      <c r="B63" s="2" t="inlineStr">
        <is>
          <t>Camions lourds, dépannage et grue</t>
        </is>
      </c>
      <c r="C63" s="2" t="inlineStr">
        <is>
          <t>Faun ZR / tracteurs lourds d'époque</t>
        </is>
      </c>
      <c r="D63" s="2" t="inlineStr">
        <is>
          <t>À distinguer si plusieurs variantes</t>
        </is>
      </c>
      <c r="E63" s="2" t="inlineStr">
        <is>
          <t>Allemagne</t>
        </is>
      </c>
      <c r="F63" s="2" t="inlineStr">
        <is>
          <t>À documenter</t>
        </is>
      </c>
      <c r="G63" s="2" t="inlineStr">
        <is>
          <t>À confirmer</t>
        </is>
      </c>
      <c r="H63" s="2" t="inlineStr">
        <is>
          <t>Tracteur lourd</t>
        </is>
      </c>
      <c r="I63" s="2" t="inlineStr">
        <is>
          <t>À définir</t>
        </is>
      </c>
      <c r="J63" s="2" t="n"/>
      <c r="K63" s="2" t="n"/>
      <c r="L63" s="2" t="n"/>
      <c r="M63" s="2" t="n"/>
      <c r="N63" s="2" t="n"/>
      <c r="O63" s="2" t="n"/>
      <c r="P63" s="2" t="inlineStr">
        <is>
          <t>À rechercher</t>
        </is>
      </c>
      <c r="Q63" s="2" t="n"/>
      <c r="R63" s="2" t="n"/>
      <c r="S63" s="2" t="inlineStr">
        <is>
          <t>À confirmer</t>
        </is>
      </c>
      <c r="T63" s="2" t="n"/>
      <c r="U63" s="2" t="n"/>
      <c r="V63" s="2" t="n"/>
      <c r="W63" s="2" t="n"/>
      <c r="X63" s="2" t="inlineStr">
        <is>
          <t>À documenter</t>
        </is>
      </c>
      <c r="Y63" s="2" t="inlineStr">
        <is>
          <t>À documenter</t>
        </is>
      </c>
      <c r="Z63" s="2" t="inlineStr">
        <is>
          <t>À documenter</t>
        </is>
      </c>
      <c r="AA63" s="2" t="inlineStr">
        <is>
          <t>À documenter</t>
        </is>
      </c>
      <c r="AB63" s="2" t="inlineStr">
        <is>
          <t>À documenter</t>
        </is>
      </c>
      <c r="AC63" s="2" t="inlineStr">
        <is>
          <t>Aucun armement fixe standard identifié; arme individuelle/affût de campagne possible selon usage</t>
        </is>
      </c>
      <c r="AD63" s="2" t="inlineStr">
        <is>
          <t>À documenter</t>
        </is>
      </c>
      <c r="AE63" s="2" t="inlineStr">
        <is>
          <t>À documenter</t>
        </is>
      </c>
      <c r="AF63" s="2" t="inlineStr">
        <is>
          <t>À définir</t>
        </is>
      </c>
      <c r="AG63" s="2" t="inlineStr">
        <is>
          <t>À définir</t>
        </is>
      </c>
      <c r="AH63" s="2" t="inlineStr">
        <is>
          <t>Réparation d’origine si véhicule complet ; démontage si incomplet</t>
        </is>
      </c>
      <c r="AI63" s="2" t="inlineStr">
        <is>
          <t>À documenter</t>
        </is>
      </c>
      <c r="AJ63" s="2" t="inlineStr">
        <is>
          <t>À définir</t>
        </is>
      </c>
      <c r="AK63" s="2" t="inlineStr">
        <is>
          <t>À documenter</t>
        </is>
      </c>
      <c r="AL63" s="2" t="inlineStr">
        <is>
          <t>À rechercher / voir sources historiques</t>
        </is>
      </c>
      <c r="AM63" s="2" t="inlineStr">
        <is>
          <t>À rechercher</t>
        </is>
      </c>
      <c r="AN63" s="2" t="inlineStr">
        <is>
          <t>Source de niveau variable ; contrôle par variante nécessaire</t>
        </is>
      </c>
      <c r="AO63" s="2" t="inlineStr">
        <is>
          <t>Non renseigné</t>
        </is>
      </c>
      <c r="AP63" s="2" t="inlineStr">
        <is>
          <t>Faible</t>
        </is>
      </c>
      <c r="AQ63" s="2" t="inlineStr">
        <is>
          <t>Élevé</t>
        </is>
      </c>
      <c r="AR63" s="2" t="inlineStr">
        <is>
          <t>Partiel — fiche à compléter</t>
        </is>
      </c>
      <c r="AS63" s="2" t="inlineStr">
        <is>
          <t>P2/P3</t>
        </is>
      </c>
      <c r="AT63" s="2" t="inlineStr">
        <is>
          <t>Modèle à valider historiquement avant verrouillage</t>
        </is>
      </c>
      <c r="AU63" s="2" t="inlineStr">
        <is>
          <t>À intégrer après validation du prototype</t>
        </is>
      </c>
      <c r="AV63" s="2" t="inlineStr">
        <is>
          <t>Faun ZR / tracteurs lourds d'époque : véhicule de catégorie « Tracteur lourd », d'origine Allemagne. Motorisation recensée : À rechercher. Fiche de catalogue à compléter avec le rôle tactique et les caractéristiques de jeu.</t>
        </is>
      </c>
    </row>
    <row r="64" ht="60" customHeight="1">
      <c r="A64" s="2" t="inlineStr">
        <is>
          <t>VEH-063</t>
        </is>
      </c>
      <c r="B64" s="2" t="inlineStr">
        <is>
          <t>Véhicules chenillés et semi-chenillés</t>
        </is>
      </c>
      <c r="C64" s="2" t="inlineStr">
        <is>
          <t>M2 Half Track</t>
        </is>
      </c>
      <c r="D64" s="2" t="inlineStr">
        <is>
          <t>À distinguer si plusieurs variantes</t>
        </is>
      </c>
      <c r="E64" s="2" t="inlineStr">
        <is>
          <t>États-Unis</t>
        </is>
      </c>
      <c r="F64" s="2" t="inlineStr">
        <is>
          <t>À documenter</t>
        </is>
      </c>
      <c r="G64" s="2" t="inlineStr">
        <is>
          <t>À confirmer</t>
        </is>
      </c>
      <c r="H64" s="2" t="inlineStr">
        <is>
          <t>Transport semi-chenillé</t>
        </is>
      </c>
      <c r="I64" s="2" t="inlineStr">
        <is>
          <t>À définir</t>
        </is>
      </c>
      <c r="J64" s="2" t="n"/>
      <c r="K64" s="2" t="n"/>
      <c r="L64" s="2" t="n"/>
      <c r="M64" s="2" t="n"/>
      <c r="N64" s="2" t="n"/>
      <c r="O64" s="2" t="n"/>
      <c r="P64" s="2" t="inlineStr">
        <is>
          <t>À rechercher</t>
        </is>
      </c>
      <c r="Q64" s="2" t="n"/>
      <c r="R64" s="2" t="n"/>
      <c r="S64" s="2" t="inlineStr">
        <is>
          <t>À confirmer</t>
        </is>
      </c>
      <c r="T64" s="2" t="n"/>
      <c r="U64" s="2" t="n"/>
      <c r="V64" s="2" t="n"/>
      <c r="W64" s="2" t="n"/>
      <c r="X64" s="2" t="inlineStr">
        <is>
          <t>À documenter</t>
        </is>
      </c>
      <c r="Y64" s="2" t="inlineStr">
        <is>
          <t>À documenter</t>
        </is>
      </c>
      <c r="Z64" s="2" t="inlineStr">
        <is>
          <t>À documenter</t>
        </is>
      </c>
      <c r="AA64" s="2" t="inlineStr">
        <is>
          <t>À documenter</t>
        </is>
      </c>
      <c r="AB64" s="2" t="inlineStr">
        <is>
          <t>À documenter</t>
        </is>
      </c>
      <c r="AC64" s="2" t="inlineStr">
        <is>
          <t>Aucun armement fixe standard identifié; arme individuelle/affût de campagne possible selon usage</t>
        </is>
      </c>
      <c r="AD64" s="2" t="inlineStr">
        <is>
          <t>À documenter</t>
        </is>
      </c>
      <c r="AE64" s="2" t="inlineStr">
        <is>
          <t>À documenter</t>
        </is>
      </c>
      <c r="AF64" s="2" t="inlineStr">
        <is>
          <t>À définir</t>
        </is>
      </c>
      <c r="AG64" s="2" t="inlineStr">
        <is>
          <t>À définir</t>
        </is>
      </c>
      <c r="AH64" s="2" t="inlineStr">
        <is>
          <t>Réparation d’origine si véhicule complet ; démontage si incomplet</t>
        </is>
      </c>
      <c r="AI64" s="2" t="inlineStr">
        <is>
          <t>À documenter</t>
        </is>
      </c>
      <c r="AJ64" s="2" t="inlineStr">
        <is>
          <t>À définir</t>
        </is>
      </c>
      <c r="AK64" s="2" t="inlineStr">
        <is>
          <t>À documenter</t>
        </is>
      </c>
      <c r="AL64" s="2" t="inlineStr">
        <is>
          <t>À rechercher / voir sources historiques</t>
        </is>
      </c>
      <c r="AM64" s="2" t="inlineStr">
        <is>
          <t>À rechercher</t>
        </is>
      </c>
      <c r="AN64" s="2" t="inlineStr">
        <is>
          <t>Source de niveau variable ; contrôle par variante nécessaire</t>
        </is>
      </c>
      <c r="AO64" s="2" t="inlineStr">
        <is>
          <t>Non renseigné</t>
        </is>
      </c>
      <c r="AP64" s="2" t="inlineStr">
        <is>
          <t>Faible</t>
        </is>
      </c>
      <c r="AQ64" s="2" t="inlineStr">
        <is>
          <t>Élevé</t>
        </is>
      </c>
      <c r="AR64" s="2" t="inlineStr">
        <is>
          <t>Partiel — fiche à compléter</t>
        </is>
      </c>
      <c r="AS64" s="2" t="inlineStr">
        <is>
          <t>P2/P3</t>
        </is>
      </c>
      <c r="AT64" s="2" t="inlineStr">
        <is>
          <t>Modèle à valider historiquement avant verrouillage</t>
        </is>
      </c>
      <c r="AU64" s="2" t="inlineStr">
        <is>
          <t>À intégrer après validation du prototype</t>
        </is>
      </c>
      <c r="AV64" s="2" t="inlineStr">
        <is>
          <t>M2 Half Track : véhicule de catégorie « Transport semi-chenillé », d'origine États-Unis. Motorisation recensée : À rechercher. Fiche de catalogue à compléter avec le rôle tactique et les caractéristiques de jeu.</t>
        </is>
      </c>
    </row>
    <row r="65" ht="60" customHeight="1">
      <c r="A65" s="2" t="inlineStr">
        <is>
          <t>VEH-064</t>
        </is>
      </c>
      <c r="B65" s="2" t="inlineStr">
        <is>
          <t>Véhicules chenillés et semi-chenillés</t>
        </is>
      </c>
      <c r="C65" s="2" t="inlineStr">
        <is>
          <t>M3 Half Track</t>
        </is>
      </c>
      <c r="D65" s="2" t="inlineStr">
        <is>
          <t>À distinguer si plusieurs variantes</t>
        </is>
      </c>
      <c r="E65" s="2" t="inlineStr">
        <is>
          <t>États-Unis</t>
        </is>
      </c>
      <c r="F65" s="2" t="inlineStr">
        <is>
          <t>À documenter</t>
        </is>
      </c>
      <c r="G65" s="2" t="inlineStr">
        <is>
          <t>À confirmer</t>
        </is>
      </c>
      <c r="H65" s="2" t="inlineStr">
        <is>
          <t>Transport semi-chenillé</t>
        </is>
      </c>
      <c r="I65" s="2" t="inlineStr">
        <is>
          <t>À définir</t>
        </is>
      </c>
      <c r="J65" s="2" t="n">
        <v>8000</v>
      </c>
      <c r="K65" s="2" t="n">
        <v>8006</v>
      </c>
      <c r="L65" s="2" t="n">
        <v>6.17</v>
      </c>
      <c r="M65" s="2" t="n">
        <v>2.22</v>
      </c>
      <c r="N65" s="2" t="n">
        <v>2.26</v>
      </c>
      <c r="O65" s="2" t="n"/>
      <c r="P65" s="2" t="inlineStr">
        <is>
          <t>White 160AX, 6 cylindres en ligne essence</t>
        </is>
      </c>
      <c r="Q65" s="2" t="n">
        <v>6.33</v>
      </c>
      <c r="R65" s="2" t="n">
        <v>147</v>
      </c>
      <c r="S65" s="2" t="inlineStr">
        <is>
          <t>Essence</t>
        </is>
      </c>
      <c r="T65" s="2" t="n"/>
      <c r="U65" s="2" t="n"/>
      <c r="V65" s="2" t="n">
        <v>72</v>
      </c>
      <c r="W65" s="2" t="n"/>
      <c r="X65" s="2" t="inlineStr">
        <is>
          <t>2 (conducteur et tireur) ; capacité de transport publiée jusqu’à 12 soldats selon configuration</t>
        </is>
      </c>
      <c r="Y65" s="2" t="inlineStr">
        <is>
          <t>À documenter</t>
        </is>
      </c>
      <c r="Z65" s="2" t="inlineStr">
        <is>
          <t>6×6? Non : roues avant directrices et chenilles arrière ; transmission selon version à vérifier</t>
        </is>
      </c>
      <c r="AA65" s="2" t="inlineStr">
        <is>
          <t>À documenter</t>
        </is>
      </c>
      <c r="AB65" s="2" t="inlineStr">
        <is>
          <t>Blindage léger, environ 6,35–12,7 mm selon zones/versions</t>
        </is>
      </c>
      <c r="AC65" s="2" t="inlineStr">
        <is>
          <t>Affût pour mitrailleuse lourde .50 in / 12,7 mm selon configuration</t>
        </is>
      </c>
      <c r="AD65" s="2" t="inlineStr">
        <is>
          <t>Possibles armes secondaires selon montage et variante</t>
        </is>
      </c>
      <c r="AE65" s="2" t="inlineStr">
        <is>
          <t>À documenter</t>
        </is>
      </c>
      <c r="AF65" s="2" t="inlineStr">
        <is>
          <t>À définir</t>
        </is>
      </c>
      <c r="AG65" s="2" t="inlineStr">
        <is>
          <t>À définir</t>
        </is>
      </c>
      <c r="AH65" s="2" t="inlineStr">
        <is>
          <t>Réparation d’origine si véhicule complet ; démontage si incomplet</t>
        </is>
      </c>
      <c r="AI65" s="2" t="inlineStr">
        <is>
          <t>Moteur, boîte/transmission, train de chenilles arrière, roues avant, direction, réservoir, système de freinage</t>
        </is>
      </c>
      <c r="AJ65" s="2" t="inlineStr">
        <is>
          <t>À définir</t>
        </is>
      </c>
      <c r="AK65" s="2" t="inlineStr">
        <is>
          <t>M3, M3A1 et dérivés d’armes/commandement à séparer lorsqu’ils sont jouables</t>
        </is>
      </c>
      <c r="AL65" s="2" t="inlineStr">
        <is>
          <t>https://www.nationalww2museum.org/visit/museum-campus/us-freedom-pavilion/vehicles-war/white-m3-half-track</t>
        </is>
      </c>
      <c r="AM65" s="2" t="inlineStr">
        <is>
          <t>https://www.mvcgfrance.org/half-track-m3/</t>
        </is>
      </c>
      <c r="AN65" s="2" t="inlineStr">
        <is>
          <t>Fiche muséale + association spécialisée ; à croiser avec TM 9-710</t>
        </is>
      </c>
      <c r="AO65" s="2" t="inlineStr">
        <is>
          <t>Moyen — dimensions publiées mais état de charge/configuration à préciser</t>
        </is>
      </c>
      <c r="AP65" s="2" t="inlineStr">
        <is>
          <t>Moyen — White 160AX 6 cylindres essence, 6,33 L, 147 ch recoupé par source secondaire</t>
        </is>
      </c>
      <c r="AQ65" s="2" t="inlineStr">
        <is>
          <t>Moyen — montage variable selon version</t>
        </is>
      </c>
      <c r="AR65" s="2" t="inlineStr">
        <is>
          <t>Partiel — données initiales sourcées, variante à préciser</t>
        </is>
      </c>
      <c r="AS65" s="2" t="inlineStr">
        <is>
          <t>P1</t>
        </is>
      </c>
      <c r="AT65" s="2" t="inlineStr">
        <is>
          <t>Ne pas confondre masse brute et masse à vide ; les capacités et armements varient selon la version. La fiche muséale donne 20 ft de longueur, 7 ft de largeur, 17 650 lb en masse brute, White 160AX et capacité 12.</t>
        </is>
      </c>
      <c r="AU65" s="2" t="inlineStr">
        <is>
          <t>Transport protégé et véhicule militaire polyvalent</t>
        </is>
      </c>
      <c r="AV65" s="2" t="inlineStr">
        <is>
          <t>M3 Half Track : véhicule de catégorie « Transport semi-chenillé », d'origine États-Unis. Motorisation recensée : À rechercher. Fiche de catalogue à compléter avec le rôle tactique et les caractéristiques de jeu.</t>
        </is>
      </c>
    </row>
    <row r="66" ht="60" customHeight="1">
      <c r="A66" s="2" t="inlineStr">
        <is>
          <t>VEH-065</t>
        </is>
      </c>
      <c r="B66" s="2" t="inlineStr">
        <is>
          <t>Véhicules chenillés et semi-chenillés</t>
        </is>
      </c>
      <c r="C66" s="2" t="inlineStr">
        <is>
          <t>M5 Half Track</t>
        </is>
      </c>
      <c r="D66" s="2" t="inlineStr">
        <is>
          <t>À distinguer si plusieurs variantes</t>
        </is>
      </c>
      <c r="E66" s="2" t="inlineStr">
        <is>
          <t>États-Unis</t>
        </is>
      </c>
      <c r="F66" s="2" t="inlineStr">
        <is>
          <t>À documenter</t>
        </is>
      </c>
      <c r="G66" s="2" t="inlineStr">
        <is>
          <t>À confirmer</t>
        </is>
      </c>
      <c r="H66" s="2" t="inlineStr">
        <is>
          <t>Transport semi-chenillé</t>
        </is>
      </c>
      <c r="I66" s="2" t="inlineStr">
        <is>
          <t>À définir</t>
        </is>
      </c>
      <c r="J66" s="2" t="n"/>
      <c r="K66" s="2" t="n"/>
      <c r="L66" s="2" t="n"/>
      <c r="M66" s="2" t="n"/>
      <c r="N66" s="2" t="n"/>
      <c r="O66" s="2" t="n"/>
      <c r="P66" s="2" t="inlineStr">
        <is>
          <t>À rechercher</t>
        </is>
      </c>
      <c r="Q66" s="2" t="n"/>
      <c r="R66" s="2" t="n"/>
      <c r="S66" s="2" t="inlineStr">
        <is>
          <t>À confirmer</t>
        </is>
      </c>
      <c r="T66" s="2" t="n"/>
      <c r="U66" s="2" t="n"/>
      <c r="V66" s="2" t="n"/>
      <c r="W66" s="2" t="n"/>
      <c r="X66" s="2" t="inlineStr">
        <is>
          <t>À documenter</t>
        </is>
      </c>
      <c r="Y66" s="2" t="inlineStr">
        <is>
          <t>À documenter</t>
        </is>
      </c>
      <c r="Z66" s="2" t="inlineStr">
        <is>
          <t>À documenter</t>
        </is>
      </c>
      <c r="AA66" s="2" t="inlineStr">
        <is>
          <t>À documenter</t>
        </is>
      </c>
      <c r="AB66" s="2" t="inlineStr">
        <is>
          <t>À documenter</t>
        </is>
      </c>
      <c r="AC66" s="2" t="inlineStr">
        <is>
          <t>Aucun armement fixe standard identifié; arme individuelle/affût de campagne possible selon usage</t>
        </is>
      </c>
      <c r="AD66" s="2" t="inlineStr">
        <is>
          <t>À documenter</t>
        </is>
      </c>
      <c r="AE66" s="2" t="inlineStr">
        <is>
          <t>À documenter</t>
        </is>
      </c>
      <c r="AF66" s="2" t="inlineStr">
        <is>
          <t>À définir</t>
        </is>
      </c>
      <c r="AG66" s="2" t="inlineStr">
        <is>
          <t>À définir</t>
        </is>
      </c>
      <c r="AH66" s="2" t="inlineStr">
        <is>
          <t>Réparation d’origine si véhicule complet ; démontage si incomplet</t>
        </is>
      </c>
      <c r="AI66" s="2" t="inlineStr">
        <is>
          <t>À documenter</t>
        </is>
      </c>
      <c r="AJ66" s="2" t="inlineStr">
        <is>
          <t>À définir</t>
        </is>
      </c>
      <c r="AK66" s="2" t="inlineStr">
        <is>
          <t>À documenter</t>
        </is>
      </c>
      <c r="AL66" s="2" t="inlineStr">
        <is>
          <t>À rechercher / voir sources historiques</t>
        </is>
      </c>
      <c r="AM66" s="2" t="inlineStr">
        <is>
          <t>À rechercher</t>
        </is>
      </c>
      <c r="AN66" s="2" t="inlineStr">
        <is>
          <t>Source de niveau variable ; contrôle par variante nécessaire</t>
        </is>
      </c>
      <c r="AO66" s="2" t="inlineStr">
        <is>
          <t>Non renseigné</t>
        </is>
      </c>
      <c r="AP66" s="2" t="inlineStr">
        <is>
          <t>Faible</t>
        </is>
      </c>
      <c r="AQ66" s="2" t="inlineStr">
        <is>
          <t>Élevé</t>
        </is>
      </c>
      <c r="AR66" s="2" t="inlineStr">
        <is>
          <t>Partiel — fiche à compléter</t>
        </is>
      </c>
      <c r="AS66" s="2" t="inlineStr">
        <is>
          <t>P2/P3</t>
        </is>
      </c>
      <c r="AT66" s="2" t="inlineStr">
        <is>
          <t>Modèle à valider historiquement avant verrouillage</t>
        </is>
      </c>
      <c r="AU66" s="2" t="inlineStr">
        <is>
          <t>À intégrer après validation du prototype</t>
        </is>
      </c>
      <c r="AV66" s="2" t="inlineStr">
        <is>
          <t>M5 Half Track : véhicule de catégorie « Transport semi-chenillé », d'origine États-Unis. Motorisation recensée : À rechercher. Fiche de catalogue à compléter avec le rôle tactique et les caractéristiques de jeu.</t>
        </is>
      </c>
    </row>
    <row r="67" ht="60" customHeight="1">
      <c r="A67" s="2" t="inlineStr">
        <is>
          <t>VEH-066</t>
        </is>
      </c>
      <c r="B67" s="2" t="inlineStr">
        <is>
          <t>Véhicules chenillés et semi-chenillés</t>
        </is>
      </c>
      <c r="C67" s="2" t="inlineStr">
        <is>
          <t>M3 Scout Car</t>
        </is>
      </c>
      <c r="D67" s="2" t="inlineStr">
        <is>
          <t>À distinguer si plusieurs variantes</t>
        </is>
      </c>
      <c r="E67" s="2" t="inlineStr">
        <is>
          <t>États-Unis</t>
        </is>
      </c>
      <c r="F67" s="2" t="inlineStr">
        <is>
          <t>À documenter</t>
        </is>
      </c>
      <c r="G67" s="2" t="inlineStr">
        <is>
          <t>À confirmer</t>
        </is>
      </c>
      <c r="H67" s="2" t="inlineStr">
        <is>
          <t>Reconnaissance</t>
        </is>
      </c>
      <c r="I67" s="2" t="inlineStr">
        <is>
          <t>À définir</t>
        </is>
      </c>
      <c r="J67" s="2" t="n"/>
      <c r="K67" s="2" t="n"/>
      <c r="L67" s="2" t="n"/>
      <c r="M67" s="2" t="n"/>
      <c r="N67" s="2" t="n"/>
      <c r="O67" s="2" t="n"/>
      <c r="P67" s="2" t="inlineStr">
        <is>
          <t>À rechercher</t>
        </is>
      </c>
      <c r="Q67" s="2" t="n"/>
      <c r="R67" s="2" t="n"/>
      <c r="S67" s="2" t="inlineStr">
        <is>
          <t>À confirmer</t>
        </is>
      </c>
      <c r="T67" s="2" t="n"/>
      <c r="U67" s="2" t="n"/>
      <c r="V67" s="2" t="n"/>
      <c r="W67" s="2" t="n"/>
      <c r="X67" s="2" t="inlineStr">
        <is>
          <t>À documenter</t>
        </is>
      </c>
      <c r="Y67" s="2" t="inlineStr">
        <is>
          <t>À documenter</t>
        </is>
      </c>
      <c r="Z67" s="2" t="inlineStr">
        <is>
          <t>À documenter</t>
        </is>
      </c>
      <c r="AA67" s="2" t="inlineStr">
        <is>
          <t>À documenter</t>
        </is>
      </c>
      <c r="AB67" s="2" t="inlineStr">
        <is>
          <t>À documenter</t>
        </is>
      </c>
      <c r="AC67" s="2" t="inlineStr">
        <is>
          <t>Aucun armement standard confirmé; dépend de la variante et des transformations de terrain</t>
        </is>
      </c>
      <c r="AD67" s="2" t="inlineStr">
        <is>
          <t>À documenter</t>
        </is>
      </c>
      <c r="AE67" s="2" t="inlineStr">
        <is>
          <t>À documenter</t>
        </is>
      </c>
      <c r="AF67" s="2" t="inlineStr">
        <is>
          <t>À définir</t>
        </is>
      </c>
      <c r="AG67" s="2" t="inlineStr">
        <is>
          <t>À définir</t>
        </is>
      </c>
      <c r="AH67" s="2" t="inlineStr">
        <is>
          <t>Réparation d’origine si véhicule complet ; démontage si incomplet</t>
        </is>
      </c>
      <c r="AI67" s="2" t="inlineStr">
        <is>
          <t>À documenter</t>
        </is>
      </c>
      <c r="AJ67" s="2" t="inlineStr">
        <is>
          <t>À définir</t>
        </is>
      </c>
      <c r="AK67" s="2" t="inlineStr">
        <is>
          <t>À documenter</t>
        </is>
      </c>
      <c r="AL67" s="2" t="inlineStr">
        <is>
          <t>À rechercher / voir sources historiques</t>
        </is>
      </c>
      <c r="AM67" s="2" t="inlineStr">
        <is>
          <t>À rechercher</t>
        </is>
      </c>
      <c r="AN67" s="2" t="inlineStr">
        <is>
          <t>Source de niveau variable ; contrôle par variante nécessaire</t>
        </is>
      </c>
      <c r="AO67" s="2" t="inlineStr">
        <is>
          <t>Non renseigné</t>
        </is>
      </c>
      <c r="AP67" s="2" t="inlineStr">
        <is>
          <t>Faible</t>
        </is>
      </c>
      <c r="AQ67" s="2" t="inlineStr">
        <is>
          <t>À vérifier</t>
        </is>
      </c>
      <c r="AR67" s="2" t="inlineStr">
        <is>
          <t>Partiel — fiche à compléter</t>
        </is>
      </c>
      <c r="AS67" s="2" t="inlineStr">
        <is>
          <t>P2/P3</t>
        </is>
      </c>
      <c r="AT67" s="2" t="inlineStr">
        <is>
          <t>Modèle à valider historiquement avant verrouillage</t>
        </is>
      </c>
      <c r="AU67" s="2" t="inlineStr">
        <is>
          <t>À intégrer après validation du prototype</t>
        </is>
      </c>
      <c r="AV67" s="2" t="inlineStr">
        <is>
          <t>M3 Scout Car : véhicule de catégorie « Reconnaissance », d'origine États-Unis. Motorisation recensée : À rechercher. Fiche de catalogue à compléter avec le rôle tactique et les caractéristiques de jeu.</t>
        </is>
      </c>
    </row>
    <row r="68" ht="60" customHeight="1">
      <c r="A68" s="2" t="inlineStr">
        <is>
          <t>VEH-067</t>
        </is>
      </c>
      <c r="B68" s="2" t="inlineStr">
        <is>
          <t>Véhicules chenillés et semi-chenillés</t>
        </is>
      </c>
      <c r="C68" s="2" t="inlineStr">
        <is>
          <t>Universal Carrier</t>
        </is>
      </c>
      <c r="D68" s="2" t="inlineStr">
        <is>
          <t>À distinguer si plusieurs variantes</t>
        </is>
      </c>
      <c r="E68" s="2" t="inlineStr">
        <is>
          <t>Royaume-Uni</t>
        </is>
      </c>
      <c r="F68" s="2" t="inlineStr">
        <is>
          <t>À documenter</t>
        </is>
      </c>
      <c r="G68" s="2" t="inlineStr">
        <is>
          <t>À confirmer</t>
        </is>
      </c>
      <c r="H68" s="2" t="inlineStr">
        <is>
          <t>Porteur chenillé léger</t>
        </is>
      </c>
      <c r="I68" s="2" t="inlineStr">
        <is>
          <t>À définir</t>
        </is>
      </c>
      <c r="J68" s="2" t="n"/>
      <c r="K68" s="2" t="n"/>
      <c r="L68" s="2" t="n"/>
      <c r="M68" s="2" t="n"/>
      <c r="N68" s="2" t="n"/>
      <c r="O68" s="2" t="n"/>
      <c r="P68" s="2" t="inlineStr">
        <is>
          <t>À rechercher</t>
        </is>
      </c>
      <c r="Q68" s="2" t="n"/>
      <c r="R68" s="2" t="n"/>
      <c r="S68" s="2" t="inlineStr">
        <is>
          <t>À confirmer</t>
        </is>
      </c>
      <c r="T68" s="2" t="n"/>
      <c r="U68" s="2" t="n"/>
      <c r="V68" s="2" t="n"/>
      <c r="W68" s="2" t="n"/>
      <c r="X68" s="2" t="inlineStr">
        <is>
          <t>À documenter</t>
        </is>
      </c>
      <c r="Y68" s="2" t="inlineStr">
        <is>
          <t>À documenter</t>
        </is>
      </c>
      <c r="Z68" s="2" t="inlineStr">
        <is>
          <t>À documenter</t>
        </is>
      </c>
      <c r="AA68" s="2" t="inlineStr">
        <is>
          <t>À documenter</t>
        </is>
      </c>
      <c r="AB68" s="2" t="inlineStr">
        <is>
          <t>À documenter</t>
        </is>
      </c>
      <c r="AC68" s="2" t="inlineStr">
        <is>
          <t>Aucun armement standard confirmé; dépend de la variante et des transformations de terrain</t>
        </is>
      </c>
      <c r="AD68" s="2" t="inlineStr">
        <is>
          <t>À documenter</t>
        </is>
      </c>
      <c r="AE68" s="2" t="inlineStr">
        <is>
          <t>À documenter</t>
        </is>
      </c>
      <c r="AF68" s="2" t="inlineStr">
        <is>
          <t>À définir</t>
        </is>
      </c>
      <c r="AG68" s="2" t="inlineStr">
        <is>
          <t>À définir</t>
        </is>
      </c>
      <c r="AH68" s="2" t="inlineStr">
        <is>
          <t>Réparation d’origine si véhicule complet ; démontage si incomplet</t>
        </is>
      </c>
      <c r="AI68" s="2" t="inlineStr">
        <is>
          <t>À documenter</t>
        </is>
      </c>
      <c r="AJ68" s="2" t="inlineStr">
        <is>
          <t>À définir</t>
        </is>
      </c>
      <c r="AK68" s="2" t="inlineStr">
        <is>
          <t>À documenter</t>
        </is>
      </c>
      <c r="AL68" s="2" t="inlineStr">
        <is>
          <t>À rechercher / voir sources historiques</t>
        </is>
      </c>
      <c r="AM68" s="2" t="inlineStr">
        <is>
          <t>À rechercher</t>
        </is>
      </c>
      <c r="AN68" s="2" t="inlineStr">
        <is>
          <t>Source de niveau variable ; contrôle par variante nécessaire</t>
        </is>
      </c>
      <c r="AO68" s="2" t="inlineStr">
        <is>
          <t>Non renseigné</t>
        </is>
      </c>
      <c r="AP68" s="2" t="inlineStr">
        <is>
          <t>Faible</t>
        </is>
      </c>
      <c r="AQ68" s="2" t="inlineStr">
        <is>
          <t>À vérifier</t>
        </is>
      </c>
      <c r="AR68" s="2" t="inlineStr">
        <is>
          <t>Partiel — fiche à compléter</t>
        </is>
      </c>
      <c r="AS68" s="2" t="inlineStr">
        <is>
          <t>P2/P3</t>
        </is>
      </c>
      <c r="AT68" s="2" t="inlineStr">
        <is>
          <t>Modèle à valider historiquement avant verrouillage</t>
        </is>
      </c>
      <c r="AU68" s="2" t="inlineStr">
        <is>
          <t>À intégrer après validation du prototype</t>
        </is>
      </c>
      <c r="AV68" s="2" t="inlineStr">
        <is>
          <t>Universal Carrier : véhicule de catégorie « Porteur chenillé léger », d'origine Royaume-Uni. Motorisation recensée : À rechercher. Fiche de catalogue à compléter avec le rôle tactique et les caractéristiques de jeu.</t>
        </is>
      </c>
    </row>
    <row r="69" ht="60" customHeight="1">
      <c r="A69" s="2" t="inlineStr">
        <is>
          <t>VEH-068</t>
        </is>
      </c>
      <c r="B69" s="2" t="inlineStr">
        <is>
          <t>Véhicules chenillés et semi-chenillés</t>
        </is>
      </c>
      <c r="C69" s="2" t="inlineStr">
        <is>
          <t>Sd.Kfz. 251</t>
        </is>
      </c>
      <c r="D69" s="2" t="inlineStr">
        <is>
          <t>À distinguer si plusieurs variantes</t>
        </is>
      </c>
      <c r="E69" s="2" t="inlineStr">
        <is>
          <t>Allemagne</t>
        </is>
      </c>
      <c r="F69" s="2" t="inlineStr">
        <is>
          <t>À documenter</t>
        </is>
      </c>
      <c r="G69" s="2" t="inlineStr">
        <is>
          <t>À confirmer</t>
        </is>
      </c>
      <c r="H69" s="2" t="inlineStr">
        <is>
          <t>Transport semi-chenillé</t>
        </is>
      </c>
      <c r="I69" s="2" t="inlineStr">
        <is>
          <t>À définir</t>
        </is>
      </c>
      <c r="J69" s="2" t="n"/>
      <c r="K69" s="2" t="n"/>
      <c r="L69" s="2" t="n"/>
      <c r="M69" s="2" t="n"/>
      <c r="N69" s="2" t="n"/>
      <c r="O69" s="2" t="n"/>
      <c r="P69" s="2" t="inlineStr">
        <is>
          <t>À rechercher</t>
        </is>
      </c>
      <c r="Q69" s="2" t="n"/>
      <c r="R69" s="2" t="n"/>
      <c r="S69" s="2" t="inlineStr">
        <is>
          <t>À confirmer</t>
        </is>
      </c>
      <c r="T69" s="2" t="n"/>
      <c r="U69" s="2" t="n"/>
      <c r="V69" s="2" t="n"/>
      <c r="W69" s="2" t="n"/>
      <c r="X69" s="2" t="inlineStr">
        <is>
          <t>À documenter</t>
        </is>
      </c>
      <c r="Y69" s="2" t="inlineStr">
        <is>
          <t>À documenter</t>
        </is>
      </c>
      <c r="Z69" s="2" t="inlineStr">
        <is>
          <t>À documenter</t>
        </is>
      </c>
      <c r="AA69" s="2" t="inlineStr">
        <is>
          <t>À documenter</t>
        </is>
      </c>
      <c r="AB69" s="2" t="inlineStr">
        <is>
          <t>À documenter</t>
        </is>
      </c>
      <c r="AC69" s="2" t="inlineStr">
        <is>
          <t>Aucun armement fixe standard identifié; arme individuelle/affût de campagne possible selon usage</t>
        </is>
      </c>
      <c r="AD69" s="2" t="inlineStr">
        <is>
          <t>À documenter</t>
        </is>
      </c>
      <c r="AE69" s="2" t="inlineStr">
        <is>
          <t>À documenter</t>
        </is>
      </c>
      <c r="AF69" s="2" t="inlineStr">
        <is>
          <t>À définir</t>
        </is>
      </c>
      <c r="AG69" s="2" t="inlineStr">
        <is>
          <t>À définir</t>
        </is>
      </c>
      <c r="AH69" s="2" t="inlineStr">
        <is>
          <t>Réparation d’origine si véhicule complet ; démontage si incomplet</t>
        </is>
      </c>
      <c r="AI69" s="2" t="inlineStr">
        <is>
          <t>À documenter</t>
        </is>
      </c>
      <c r="AJ69" s="2" t="inlineStr">
        <is>
          <t>À définir</t>
        </is>
      </c>
      <c r="AK69" s="2" t="inlineStr">
        <is>
          <t>À documenter</t>
        </is>
      </c>
      <c r="AL69" s="2" t="inlineStr">
        <is>
          <t>À rechercher / voir sources historiques</t>
        </is>
      </c>
      <c r="AM69" s="2" t="inlineStr">
        <is>
          <t>À rechercher</t>
        </is>
      </c>
      <c r="AN69" s="2" t="inlineStr">
        <is>
          <t>Source de niveau variable ; contrôle par variante nécessaire</t>
        </is>
      </c>
      <c r="AO69" s="2" t="inlineStr">
        <is>
          <t>Non renseigné</t>
        </is>
      </c>
      <c r="AP69" s="2" t="inlineStr">
        <is>
          <t>Faible</t>
        </is>
      </c>
      <c r="AQ69" s="2" t="inlineStr">
        <is>
          <t>Élevé</t>
        </is>
      </c>
      <c r="AR69" s="2" t="inlineStr">
        <is>
          <t>Partiel — fiche à compléter</t>
        </is>
      </c>
      <c r="AS69" s="2" t="inlineStr">
        <is>
          <t>P2/P3</t>
        </is>
      </c>
      <c r="AT69" s="2" t="inlineStr">
        <is>
          <t>Modèle à valider historiquement avant verrouillage</t>
        </is>
      </c>
      <c r="AU69" s="2" t="inlineStr">
        <is>
          <t>À intégrer après validation du prototype</t>
        </is>
      </c>
      <c r="AV69" s="2" t="inlineStr">
        <is>
          <t>Sd.Kfz. 251 : véhicule de catégorie « Transport semi-chenillé », d'origine Allemagne. Motorisation recensée : À rechercher. Fiche de catalogue à compléter avec le rôle tactique et les caractéristiques de jeu.</t>
        </is>
      </c>
    </row>
    <row r="70" ht="60" customHeight="1">
      <c r="A70" s="2" t="inlineStr">
        <is>
          <t>VEH-069</t>
        </is>
      </c>
      <c r="B70" s="2" t="inlineStr">
        <is>
          <t>Véhicules chenillés et semi-chenillés</t>
        </is>
      </c>
      <c r="C70" s="2" t="inlineStr">
        <is>
          <t>Sd.Kfz. 250</t>
        </is>
      </c>
      <c r="D70" s="2" t="inlineStr">
        <is>
          <t>À distinguer si plusieurs variantes</t>
        </is>
      </c>
      <c r="E70" s="2" t="inlineStr">
        <is>
          <t>Allemagne</t>
        </is>
      </c>
      <c r="F70" s="2" t="inlineStr">
        <is>
          <t>À documenter</t>
        </is>
      </c>
      <c r="G70" s="2" t="inlineStr">
        <is>
          <t>À confirmer</t>
        </is>
      </c>
      <c r="H70" s="2" t="inlineStr">
        <is>
          <t>Transport semi-chenillé léger</t>
        </is>
      </c>
      <c r="I70" s="2" t="inlineStr">
        <is>
          <t>À définir</t>
        </is>
      </c>
      <c r="J70" s="2" t="n"/>
      <c r="K70" s="2" t="n"/>
      <c r="L70" s="2" t="n"/>
      <c r="M70" s="2" t="n"/>
      <c r="N70" s="2" t="n"/>
      <c r="O70" s="2" t="n"/>
      <c r="P70" s="2" t="inlineStr">
        <is>
          <t>À rechercher</t>
        </is>
      </c>
      <c r="Q70" s="2" t="n"/>
      <c r="R70" s="2" t="n"/>
      <c r="S70" s="2" t="inlineStr">
        <is>
          <t>À confirmer</t>
        </is>
      </c>
      <c r="T70" s="2" t="n"/>
      <c r="U70" s="2" t="n"/>
      <c r="V70" s="2" t="n"/>
      <c r="W70" s="2" t="n"/>
      <c r="X70" s="2" t="inlineStr">
        <is>
          <t>À documenter</t>
        </is>
      </c>
      <c r="Y70" s="2" t="inlineStr">
        <is>
          <t>À documenter</t>
        </is>
      </c>
      <c r="Z70" s="2" t="inlineStr">
        <is>
          <t>À documenter</t>
        </is>
      </c>
      <c r="AA70" s="2" t="inlineStr">
        <is>
          <t>À documenter</t>
        </is>
      </c>
      <c r="AB70" s="2" t="inlineStr">
        <is>
          <t>À documenter</t>
        </is>
      </c>
      <c r="AC70" s="2" t="inlineStr">
        <is>
          <t>Aucun armement fixe standard identifié; arme individuelle/affût de campagne possible selon usage</t>
        </is>
      </c>
      <c r="AD70" s="2" t="inlineStr">
        <is>
          <t>À documenter</t>
        </is>
      </c>
      <c r="AE70" s="2" t="inlineStr">
        <is>
          <t>À documenter</t>
        </is>
      </c>
      <c r="AF70" s="2" t="inlineStr">
        <is>
          <t>À définir</t>
        </is>
      </c>
      <c r="AG70" s="2" t="inlineStr">
        <is>
          <t>À définir</t>
        </is>
      </c>
      <c r="AH70" s="2" t="inlineStr">
        <is>
          <t>Réparation d’origine si véhicule complet ; démontage si incomplet</t>
        </is>
      </c>
      <c r="AI70" s="2" t="inlineStr">
        <is>
          <t>À documenter</t>
        </is>
      </c>
      <c r="AJ70" s="2" t="inlineStr">
        <is>
          <t>À définir</t>
        </is>
      </c>
      <c r="AK70" s="2" t="inlineStr">
        <is>
          <t>À documenter</t>
        </is>
      </c>
      <c r="AL70" s="2" t="inlineStr">
        <is>
          <t>À rechercher / voir sources historiques</t>
        </is>
      </c>
      <c r="AM70" s="2" t="inlineStr">
        <is>
          <t>À rechercher</t>
        </is>
      </c>
      <c r="AN70" s="2" t="inlineStr">
        <is>
          <t>Source de niveau variable ; contrôle par variante nécessaire</t>
        </is>
      </c>
      <c r="AO70" s="2" t="inlineStr">
        <is>
          <t>Non renseigné</t>
        </is>
      </c>
      <c r="AP70" s="2" t="inlineStr">
        <is>
          <t>Faible</t>
        </is>
      </c>
      <c r="AQ70" s="2" t="inlineStr">
        <is>
          <t>Élevé</t>
        </is>
      </c>
      <c r="AR70" s="2" t="inlineStr">
        <is>
          <t>Partiel — fiche à compléter</t>
        </is>
      </c>
      <c r="AS70" s="2" t="inlineStr">
        <is>
          <t>P2/P3</t>
        </is>
      </c>
      <c r="AT70" s="2" t="inlineStr">
        <is>
          <t>Modèle à valider historiquement avant verrouillage</t>
        </is>
      </c>
      <c r="AU70" s="2" t="inlineStr">
        <is>
          <t>À intégrer après validation du prototype</t>
        </is>
      </c>
      <c r="AV70" s="2" t="inlineStr">
        <is>
          <t>Sd.Kfz. 250 : véhicule de catégorie « Transport semi-chenillé léger », d'origine Allemagne. Motorisation recensée : À rechercher. Fiche de catalogue à compléter avec le rôle tactique et les caractéristiques de jeu.</t>
        </is>
      </c>
    </row>
    <row r="71" ht="60" customHeight="1">
      <c r="A71" s="2" t="inlineStr">
        <is>
          <t>VEH-070</t>
        </is>
      </c>
      <c r="B71" s="2" t="inlineStr">
        <is>
          <t>Véhicules chenillés et semi-chenillés</t>
        </is>
      </c>
      <c r="C71" s="2" t="inlineStr">
        <is>
          <t>Sd.Kfz. 7</t>
        </is>
      </c>
      <c r="D71" s="2" t="inlineStr">
        <is>
          <t>À distinguer si plusieurs variantes</t>
        </is>
      </c>
      <c r="E71" s="2" t="inlineStr">
        <is>
          <t>Allemagne</t>
        </is>
      </c>
      <c r="F71" s="2" t="inlineStr">
        <is>
          <t>À documenter</t>
        </is>
      </c>
      <c r="G71" s="2" t="inlineStr">
        <is>
          <t>À confirmer</t>
        </is>
      </c>
      <c r="H71" s="2" t="inlineStr">
        <is>
          <t>Tracteur d'artillerie</t>
        </is>
      </c>
      <c r="I71" s="2" t="inlineStr">
        <is>
          <t>À définir</t>
        </is>
      </c>
      <c r="J71" s="2" t="n"/>
      <c r="K71" s="2" t="n"/>
      <c r="L71" s="2" t="n"/>
      <c r="M71" s="2" t="n"/>
      <c r="N71" s="2" t="n"/>
      <c r="O71" s="2" t="n"/>
      <c r="P71" s="2" t="inlineStr">
        <is>
          <t>À rechercher</t>
        </is>
      </c>
      <c r="Q71" s="2" t="n"/>
      <c r="R71" s="2" t="n"/>
      <c r="S71" s="2" t="inlineStr">
        <is>
          <t>À confirmer</t>
        </is>
      </c>
      <c r="T71" s="2" t="n"/>
      <c r="U71" s="2" t="n"/>
      <c r="V71" s="2" t="n"/>
      <c r="W71" s="2" t="n"/>
      <c r="X71" s="2" t="inlineStr">
        <is>
          <t>À documenter</t>
        </is>
      </c>
      <c r="Y71" s="2" t="inlineStr">
        <is>
          <t>À documenter</t>
        </is>
      </c>
      <c r="Z71" s="2" t="inlineStr">
        <is>
          <t>À documenter</t>
        </is>
      </c>
      <c r="AA71" s="2" t="inlineStr">
        <is>
          <t>À documenter</t>
        </is>
      </c>
      <c r="AB71" s="2" t="inlineStr">
        <is>
          <t>À documenter</t>
        </is>
      </c>
      <c r="AC71" s="2" t="inlineStr">
        <is>
          <t>Aucun armement fixe standard identifié; arme individuelle/affût de campagne possible selon usage</t>
        </is>
      </c>
      <c r="AD71" s="2" t="inlineStr">
        <is>
          <t>À documenter</t>
        </is>
      </c>
      <c r="AE71" s="2" t="inlineStr">
        <is>
          <t>À documenter</t>
        </is>
      </c>
      <c r="AF71" s="2" t="inlineStr">
        <is>
          <t>À définir</t>
        </is>
      </c>
      <c r="AG71" s="2" t="inlineStr">
        <is>
          <t>À définir</t>
        </is>
      </c>
      <c r="AH71" s="2" t="inlineStr">
        <is>
          <t>Réparation d’origine si véhicule complet ; démontage si incomplet</t>
        </is>
      </c>
      <c r="AI71" s="2" t="inlineStr">
        <is>
          <t>À documenter</t>
        </is>
      </c>
      <c r="AJ71" s="2" t="inlineStr">
        <is>
          <t>À définir</t>
        </is>
      </c>
      <c r="AK71" s="2" t="inlineStr">
        <is>
          <t>À documenter</t>
        </is>
      </c>
      <c r="AL71" s="2" t="inlineStr">
        <is>
          <t>À rechercher / voir sources historiques</t>
        </is>
      </c>
      <c r="AM71" s="2" t="inlineStr">
        <is>
          <t>À rechercher</t>
        </is>
      </c>
      <c r="AN71" s="2" t="inlineStr">
        <is>
          <t>Source de niveau variable ; contrôle par variante nécessaire</t>
        </is>
      </c>
      <c r="AO71" s="2" t="inlineStr">
        <is>
          <t>Non renseigné</t>
        </is>
      </c>
      <c r="AP71" s="2" t="inlineStr">
        <is>
          <t>Faible</t>
        </is>
      </c>
      <c r="AQ71" s="2" t="inlineStr">
        <is>
          <t>Élevé</t>
        </is>
      </c>
      <c r="AR71" s="2" t="inlineStr">
        <is>
          <t>Partiel — fiche à compléter</t>
        </is>
      </c>
      <c r="AS71" s="2" t="inlineStr">
        <is>
          <t>P2/P3</t>
        </is>
      </c>
      <c r="AT71" s="2" t="inlineStr">
        <is>
          <t>Modèle à valider historiquement avant verrouillage</t>
        </is>
      </c>
      <c r="AU71" s="2" t="inlineStr">
        <is>
          <t>À intégrer après validation du prototype</t>
        </is>
      </c>
      <c r="AV71" s="2" t="inlineStr">
        <is>
          <t>Sd.Kfz. 7 : véhicule de catégorie « Tracteur d'artillerie », d'origine Allemagne. Motorisation recensée : À rechercher. Fiche de catalogue à compléter avec le rôle tactique et les caractéristiques de jeu.</t>
        </is>
      </c>
    </row>
    <row r="72" ht="60" customHeight="1">
      <c r="A72" s="2" t="inlineStr">
        <is>
          <t>VEH-071</t>
        </is>
      </c>
      <c r="B72" s="2" t="inlineStr">
        <is>
          <t>Véhicules chenillés et semi-chenillés</t>
        </is>
      </c>
      <c r="C72" s="2" t="inlineStr">
        <is>
          <t>Kettenkrad HK 101</t>
        </is>
      </c>
      <c r="D72" s="2" t="inlineStr">
        <is>
          <t>À distinguer si plusieurs variantes</t>
        </is>
      </c>
      <c r="E72" s="2" t="inlineStr">
        <is>
          <t>Allemagne</t>
        </is>
      </c>
      <c r="F72" s="2" t="inlineStr">
        <is>
          <t>À documenter</t>
        </is>
      </c>
      <c r="G72" s="2" t="inlineStr">
        <is>
          <t>À confirmer</t>
        </is>
      </c>
      <c r="H72" s="2" t="inlineStr">
        <is>
          <t>Tracteur chenillé léger</t>
        </is>
      </c>
      <c r="I72" s="2" t="inlineStr">
        <is>
          <t>À définir</t>
        </is>
      </c>
      <c r="J72" s="2" t="n"/>
      <c r="K72" s="2" t="n"/>
      <c r="L72" s="2" t="n"/>
      <c r="M72" s="2" t="n"/>
      <c r="N72" s="2" t="n"/>
      <c r="O72" s="2" t="n"/>
      <c r="P72" s="2" t="inlineStr">
        <is>
          <t>À rechercher</t>
        </is>
      </c>
      <c r="Q72" s="2" t="n"/>
      <c r="R72" s="2" t="n"/>
      <c r="S72" s="2" t="inlineStr">
        <is>
          <t>À confirmer</t>
        </is>
      </c>
      <c r="T72" s="2" t="n"/>
      <c r="U72" s="2" t="n"/>
      <c r="V72" s="2" t="n"/>
      <c r="W72" s="2" t="n"/>
      <c r="X72" s="2" t="inlineStr">
        <is>
          <t>À documenter</t>
        </is>
      </c>
      <c r="Y72" s="2" t="inlineStr">
        <is>
          <t>À documenter</t>
        </is>
      </c>
      <c r="Z72" s="2" t="inlineStr">
        <is>
          <t>À documenter</t>
        </is>
      </c>
      <c r="AA72" s="2" t="inlineStr">
        <is>
          <t>À documenter</t>
        </is>
      </c>
      <c r="AB72" s="2" t="inlineStr">
        <is>
          <t>À documenter</t>
        </is>
      </c>
      <c r="AC72" s="2" t="inlineStr">
        <is>
          <t>Aucun armement fixe standard identifié; arme individuelle/affût de campagne possible selon usage</t>
        </is>
      </c>
      <c r="AD72" s="2" t="inlineStr">
        <is>
          <t>À documenter</t>
        </is>
      </c>
      <c r="AE72" s="2" t="inlineStr">
        <is>
          <t>À documenter</t>
        </is>
      </c>
      <c r="AF72" s="2" t="inlineStr">
        <is>
          <t>À définir</t>
        </is>
      </c>
      <c r="AG72" s="2" t="inlineStr">
        <is>
          <t>À définir</t>
        </is>
      </c>
      <c r="AH72" s="2" t="inlineStr">
        <is>
          <t>Réparation d’origine si véhicule complet ; démontage si incomplet</t>
        </is>
      </c>
      <c r="AI72" s="2" t="inlineStr">
        <is>
          <t>À documenter</t>
        </is>
      </c>
      <c r="AJ72" s="2" t="inlineStr">
        <is>
          <t>À définir</t>
        </is>
      </c>
      <c r="AK72" s="2" t="inlineStr">
        <is>
          <t>À documenter</t>
        </is>
      </c>
      <c r="AL72" s="2" t="inlineStr">
        <is>
          <t>À rechercher / voir sources historiques</t>
        </is>
      </c>
      <c r="AM72" s="2" t="inlineStr">
        <is>
          <t>À rechercher</t>
        </is>
      </c>
      <c r="AN72" s="2" t="inlineStr">
        <is>
          <t>Source de niveau variable ; contrôle par variante nécessaire</t>
        </is>
      </c>
      <c r="AO72" s="2" t="inlineStr">
        <is>
          <t>Non renseigné</t>
        </is>
      </c>
      <c r="AP72" s="2" t="inlineStr">
        <is>
          <t>Faible</t>
        </is>
      </c>
      <c r="AQ72" s="2" t="inlineStr">
        <is>
          <t>Élevé</t>
        </is>
      </c>
      <c r="AR72" s="2" t="inlineStr">
        <is>
          <t>Partiel — fiche à compléter</t>
        </is>
      </c>
      <c r="AS72" s="2" t="inlineStr">
        <is>
          <t>P2/P3</t>
        </is>
      </c>
      <c r="AT72" s="2" t="inlineStr">
        <is>
          <t>Modèle à valider historiquement avant verrouillage</t>
        </is>
      </c>
      <c r="AU72" s="2" t="inlineStr">
        <is>
          <t>À intégrer après validation du prototype</t>
        </is>
      </c>
      <c r="AV72" s="2" t="inlineStr">
        <is>
          <t>Kettenkrad HK 101 : véhicule de catégorie « Tracteur chenillé léger », d'origine Allemagne. Motorisation recensée : À rechercher. Fiche de catalogue à compléter avec le rôle tactique et les caractéristiques de jeu.</t>
        </is>
      </c>
    </row>
    <row r="73" ht="60" customHeight="1">
      <c r="A73" s="2" t="inlineStr">
        <is>
          <t>VEH-072</t>
        </is>
      </c>
      <c r="B73" s="2" t="inlineStr">
        <is>
          <t>Véhicules chenillés et semi-chenillés</t>
        </is>
      </c>
      <c r="C73" s="2" t="inlineStr">
        <is>
          <t>Renault UE Chenillette</t>
        </is>
      </c>
      <c r="D73" s="2" t="inlineStr">
        <is>
          <t>À distinguer si plusieurs variantes</t>
        </is>
      </c>
      <c r="E73" s="2" t="inlineStr">
        <is>
          <t>France</t>
        </is>
      </c>
      <c r="F73" s="2" t="inlineStr">
        <is>
          <t>À documenter</t>
        </is>
      </c>
      <c r="G73" s="2" t="inlineStr">
        <is>
          <t>À confirmer</t>
        </is>
      </c>
      <c r="H73" s="2" t="inlineStr">
        <is>
          <t>Tracteur chenillé léger</t>
        </is>
      </c>
      <c r="I73" s="2" t="inlineStr">
        <is>
          <t>À définir</t>
        </is>
      </c>
      <c r="J73" s="2" t="n"/>
      <c r="K73" s="2" t="n"/>
      <c r="L73" s="2" t="n"/>
      <c r="M73" s="2" t="n"/>
      <c r="N73" s="2" t="n"/>
      <c r="O73" s="2" t="n"/>
      <c r="P73" s="2" t="inlineStr">
        <is>
          <t>À rechercher</t>
        </is>
      </c>
      <c r="Q73" s="2" t="n"/>
      <c r="R73" s="2" t="n"/>
      <c r="S73" s="2" t="inlineStr">
        <is>
          <t>À confirmer</t>
        </is>
      </c>
      <c r="T73" s="2" t="n"/>
      <c r="U73" s="2" t="n"/>
      <c r="V73" s="2" t="n"/>
      <c r="W73" s="2" t="n"/>
      <c r="X73" s="2" t="inlineStr">
        <is>
          <t>À documenter</t>
        </is>
      </c>
      <c r="Y73" s="2" t="inlineStr">
        <is>
          <t>À documenter</t>
        </is>
      </c>
      <c r="Z73" s="2" t="inlineStr">
        <is>
          <t>À documenter</t>
        </is>
      </c>
      <c r="AA73" s="2" t="inlineStr">
        <is>
          <t>À documenter</t>
        </is>
      </c>
      <c r="AB73" s="2" t="inlineStr">
        <is>
          <t>À documenter</t>
        </is>
      </c>
      <c r="AC73" s="2" t="inlineStr">
        <is>
          <t>Aucun armement fixe standard identifié; arme individuelle/affût de campagne possible selon usage</t>
        </is>
      </c>
      <c r="AD73" s="2" t="inlineStr">
        <is>
          <t>À documenter</t>
        </is>
      </c>
      <c r="AE73" s="2" t="inlineStr">
        <is>
          <t>À documenter</t>
        </is>
      </c>
      <c r="AF73" s="2" t="inlineStr">
        <is>
          <t>À définir</t>
        </is>
      </c>
      <c r="AG73" s="2" t="inlineStr">
        <is>
          <t>À définir</t>
        </is>
      </c>
      <c r="AH73" s="2" t="inlineStr">
        <is>
          <t>Réparation d’origine si véhicule complet ; démontage si incomplet</t>
        </is>
      </c>
      <c r="AI73" s="2" t="inlineStr">
        <is>
          <t>À documenter</t>
        </is>
      </c>
      <c r="AJ73" s="2" t="inlineStr">
        <is>
          <t>À définir</t>
        </is>
      </c>
      <c r="AK73" s="2" t="inlineStr">
        <is>
          <t>À documenter</t>
        </is>
      </c>
      <c r="AL73" s="2" t="inlineStr">
        <is>
          <t>À rechercher / voir sources historiques</t>
        </is>
      </c>
      <c r="AM73" s="2" t="inlineStr">
        <is>
          <t>À rechercher</t>
        </is>
      </c>
      <c r="AN73" s="2" t="inlineStr">
        <is>
          <t>Source de niveau variable ; contrôle par variante nécessaire</t>
        </is>
      </c>
      <c r="AO73" s="2" t="inlineStr">
        <is>
          <t>Non renseigné</t>
        </is>
      </c>
      <c r="AP73" s="2" t="inlineStr">
        <is>
          <t>Faible</t>
        </is>
      </c>
      <c r="AQ73" s="2" t="inlineStr">
        <is>
          <t>Élevé</t>
        </is>
      </c>
      <c r="AR73" s="2" t="inlineStr">
        <is>
          <t>Partiel — fiche à compléter</t>
        </is>
      </c>
      <c r="AS73" s="2" t="inlineStr">
        <is>
          <t>P2/P3</t>
        </is>
      </c>
      <c r="AT73" s="2" t="inlineStr">
        <is>
          <t>Modèle à valider historiquement avant verrouillage</t>
        </is>
      </c>
      <c r="AU73" s="2" t="inlineStr">
        <is>
          <t>À intégrer après validation du prototype</t>
        </is>
      </c>
      <c r="AV73" s="2" t="inlineStr">
        <is>
          <t>Renault UE Chenillette : véhicule de catégorie « Tracteur chenillé léger », d'origine France. Motorisation recensée : À rechercher. Fiche de catalogue à compléter avec le rôle tactique et les caractéristiques de jeu.</t>
        </is>
      </c>
    </row>
    <row r="74" ht="60" customHeight="1">
      <c r="A74" s="2" t="inlineStr">
        <is>
          <t>VEH-073</t>
        </is>
      </c>
      <c r="B74" s="2" t="inlineStr">
        <is>
          <t>Véhicules chenillés et semi-chenillés</t>
        </is>
      </c>
      <c r="C74" s="2" t="inlineStr">
        <is>
          <t>Loyd Carrier</t>
        </is>
      </c>
      <c r="D74" s="2" t="inlineStr">
        <is>
          <t>À distinguer si plusieurs variantes</t>
        </is>
      </c>
      <c r="E74" s="2" t="inlineStr">
        <is>
          <t>Royaume-Uni</t>
        </is>
      </c>
      <c r="F74" s="2" t="inlineStr">
        <is>
          <t>À documenter</t>
        </is>
      </c>
      <c r="G74" s="2" t="inlineStr">
        <is>
          <t>À confirmer</t>
        </is>
      </c>
      <c r="H74" s="2" t="inlineStr">
        <is>
          <t>Porteur chenillé</t>
        </is>
      </c>
      <c r="I74" s="2" t="inlineStr">
        <is>
          <t>À définir</t>
        </is>
      </c>
      <c r="J74" s="2" t="n"/>
      <c r="K74" s="2" t="n"/>
      <c r="L74" s="2" t="n"/>
      <c r="M74" s="2" t="n"/>
      <c r="N74" s="2" t="n"/>
      <c r="O74" s="2" t="n"/>
      <c r="P74" s="2" t="inlineStr">
        <is>
          <t>À rechercher</t>
        </is>
      </c>
      <c r="Q74" s="2" t="n"/>
      <c r="R74" s="2" t="n"/>
      <c r="S74" s="2" t="inlineStr">
        <is>
          <t>À confirmer</t>
        </is>
      </c>
      <c r="T74" s="2" t="n"/>
      <c r="U74" s="2" t="n"/>
      <c r="V74" s="2" t="n"/>
      <c r="W74" s="2" t="n"/>
      <c r="X74" s="2" t="inlineStr">
        <is>
          <t>À documenter</t>
        </is>
      </c>
      <c r="Y74" s="2" t="inlineStr">
        <is>
          <t>À documenter</t>
        </is>
      </c>
      <c r="Z74" s="2" t="inlineStr">
        <is>
          <t>À documenter</t>
        </is>
      </c>
      <c r="AA74" s="2" t="inlineStr">
        <is>
          <t>À documenter</t>
        </is>
      </c>
      <c r="AB74" s="2" t="inlineStr">
        <is>
          <t>À documenter</t>
        </is>
      </c>
      <c r="AC74" s="2" t="inlineStr">
        <is>
          <t>Aucun armement standard confirmé; dépend de la variante et des transformations de terrain</t>
        </is>
      </c>
      <c r="AD74" s="2" t="inlineStr">
        <is>
          <t>À documenter</t>
        </is>
      </c>
      <c r="AE74" s="2" t="inlineStr">
        <is>
          <t>À documenter</t>
        </is>
      </c>
      <c r="AF74" s="2" t="inlineStr">
        <is>
          <t>À définir</t>
        </is>
      </c>
      <c r="AG74" s="2" t="inlineStr">
        <is>
          <t>À définir</t>
        </is>
      </c>
      <c r="AH74" s="2" t="inlineStr">
        <is>
          <t>Réparation d’origine si véhicule complet ; démontage si incomplet</t>
        </is>
      </c>
      <c r="AI74" s="2" t="inlineStr">
        <is>
          <t>À documenter</t>
        </is>
      </c>
      <c r="AJ74" s="2" t="inlineStr">
        <is>
          <t>À définir</t>
        </is>
      </c>
      <c r="AK74" s="2" t="inlineStr">
        <is>
          <t>À documenter</t>
        </is>
      </c>
      <c r="AL74" s="2" t="inlineStr">
        <is>
          <t>À rechercher / voir sources historiques</t>
        </is>
      </c>
      <c r="AM74" s="2" t="inlineStr">
        <is>
          <t>À rechercher</t>
        </is>
      </c>
      <c r="AN74" s="2" t="inlineStr">
        <is>
          <t>Source de niveau variable ; contrôle par variante nécessaire</t>
        </is>
      </c>
      <c r="AO74" s="2" t="inlineStr">
        <is>
          <t>Non renseigné</t>
        </is>
      </c>
      <c r="AP74" s="2" t="inlineStr">
        <is>
          <t>Faible</t>
        </is>
      </c>
      <c r="AQ74" s="2" t="inlineStr">
        <is>
          <t>À vérifier</t>
        </is>
      </c>
      <c r="AR74" s="2" t="inlineStr">
        <is>
          <t>Partiel — fiche à compléter</t>
        </is>
      </c>
      <c r="AS74" s="2" t="inlineStr">
        <is>
          <t>P2/P3</t>
        </is>
      </c>
      <c r="AT74" s="2" t="inlineStr">
        <is>
          <t>Modèle à valider historiquement avant verrouillage</t>
        </is>
      </c>
      <c r="AU74" s="2" t="inlineStr">
        <is>
          <t>À intégrer après validation du prototype</t>
        </is>
      </c>
      <c r="AV74" s="2" t="inlineStr">
        <is>
          <t>Loyd Carrier : véhicule de catégorie « Porteur chenillé », d'origine Royaume-Uni. Motorisation recensée : À rechercher. Fiche de catalogue à compléter avec le rôle tactique et les caractéristiques de jeu.</t>
        </is>
      </c>
    </row>
    <row r="75" ht="60" customHeight="1">
      <c r="A75" s="2" t="inlineStr">
        <is>
          <t>VEH-074</t>
        </is>
      </c>
      <c r="B75" s="2" t="inlineStr">
        <is>
          <t>Automitrailleuses et reconnaissance</t>
        </is>
      </c>
      <c r="C75" s="2" t="inlineStr">
        <is>
          <t>M8 Greyhound</t>
        </is>
      </c>
      <c r="D75" s="2" t="inlineStr">
        <is>
          <t>M8 standard; distinguer M8 et M20 (version sans tourelle fermée, rôle différent)</t>
        </is>
      </c>
      <c r="E75" s="2" t="inlineStr">
        <is>
          <t>États-Unis</t>
        </is>
      </c>
      <c r="F75" s="2" t="inlineStr">
        <is>
          <t>1943–1945</t>
        </is>
      </c>
      <c r="G75" s="2" t="inlineStr">
        <is>
          <t>Production en série</t>
        </is>
      </c>
      <c r="H75" s="2" t="inlineStr">
        <is>
          <t>Automitrailleuse légère de reconnaissance 6x6</t>
        </is>
      </c>
      <c r="I75" s="2" t="inlineStr">
        <is>
          <t>Reconnaissance armée rapide; blindage léger</t>
        </is>
      </c>
      <c r="J75" s="2" t="n"/>
      <c r="K75" s="2" t="n"/>
      <c r="L75" s="2" t="n">
        <v>5</v>
      </c>
      <c r="M75" s="2" t="n">
        <v>2.54</v>
      </c>
      <c r="N75" s="2" t="n">
        <v>2.25</v>
      </c>
      <c r="O75" s="2" t="n"/>
      <c r="P75" s="2" t="inlineStr">
        <is>
          <t>Hercules JXD, 6 cylindres en ligne essence</t>
        </is>
      </c>
      <c r="Q75" s="2" t="n">
        <v>5.2</v>
      </c>
      <c r="R75" s="2" t="inlineStr">
        <is>
          <t>≈ 110</t>
        </is>
      </c>
      <c r="S75" s="2" t="inlineStr">
        <is>
          <t>Essence</t>
        </is>
      </c>
      <c r="T75" s="2" t="n"/>
      <c r="U75" s="2" t="n"/>
      <c r="V75" s="2" t="n"/>
      <c r="W75" s="2" t="n"/>
      <c r="X75" s="2" t="inlineStr">
        <is>
          <t>À documenter</t>
        </is>
      </c>
      <c r="Y75" s="2" t="inlineStr">
        <is>
          <t>À documenter</t>
        </is>
      </c>
      <c r="Z75" s="2" t="inlineStr">
        <is>
          <t>6x6; boîte manuelle; suspension indépendante à ressorts hélicoïdaux</t>
        </is>
      </c>
      <c r="AA75" s="2" t="inlineStr">
        <is>
          <t>À documenter</t>
        </is>
      </c>
      <c r="AB75" s="2" t="inlineStr">
        <is>
          <t>Blindage léger, épaisseur variable selon zone; relever depuis TM avant chiffrage</t>
        </is>
      </c>
      <c r="AC75" s="2" t="inlineStr">
        <is>
          <t>Canon de 37 mm M6 en tourelle</t>
        </is>
      </c>
      <c r="AD75" s="2" t="inlineStr">
        <is>
          <t>Mitrailleuse coaxiale .30; mitrailleuse .50 antiaérienne souvent montée</t>
        </is>
      </c>
      <c r="AE75" s="2" t="inlineStr">
        <is>
          <t>À documenter</t>
        </is>
      </c>
      <c r="AF75" s="2" t="inlineStr">
        <is>
          <t>À définir</t>
        </is>
      </c>
      <c r="AG75" s="2" t="inlineStr">
        <is>
          <t>À définir</t>
        </is>
      </c>
      <c r="AH75" s="2" t="inlineStr">
        <is>
          <t>Réparation d’origine si véhicule complet ; démontage si incomplet</t>
        </is>
      </c>
      <c r="AI75" s="2" t="inlineStr">
        <is>
          <t>À documenter</t>
        </is>
      </c>
      <c r="AJ75" s="2" t="inlineStr">
        <is>
          <t>À définir</t>
        </is>
      </c>
      <c r="AK75" s="2" t="inlineStr">
        <is>
          <t>À documenter</t>
        </is>
      </c>
      <c r="AL75" s="2" t="inlineStr">
        <is>
          <t>TM 9-743, Light Armored Car M8</t>
        </is>
      </c>
      <c r="AM75" s="2" t="inlineStr">
        <is>
          <t>https://www.ibiblio.org/hyperwar/USA/ref/TM/pdfs/TM9-743.pdf</t>
        </is>
      </c>
      <c r="AN75" s="2" t="inlineStr">
        <is>
          <t>Manuel technique primaire identifié; extraction des tableaux à faire</t>
        </is>
      </c>
      <c r="AO75" s="2" t="inlineStr">
        <is>
          <t>Moyenne</t>
        </is>
      </c>
      <c r="AP75" s="2" t="inlineStr">
        <is>
          <t>Moyenne à élevée</t>
        </is>
      </c>
      <c r="AQ75" s="2" t="inlineStr">
        <is>
          <t>Élevée sur configuration générale; montages variables</t>
        </is>
      </c>
      <c r="AR75" s="2" t="inlineStr">
        <is>
          <t>Partiellement documenté</t>
        </is>
      </c>
      <c r="AS75" s="2" t="inlineStr">
        <is>
          <t>P1</t>
        </is>
      </c>
      <c r="AT75" s="2" t="inlineStr">
        <is>
          <t>Ne pas confondre avec M20 Armored Utility Car, dérivé apparenté mais sans tourelle de canon. Les montages d’armes de terrain varient.</t>
        </is>
      </c>
      <c r="AU75" s="2" t="inlineStr">
        <is>
          <t>Éclaireur armé avancé</t>
        </is>
      </c>
      <c r="AV75" s="2" t="inlineStr">
        <is>
          <t>Automitrailleuse 6x6 rapide, utile pour reconnaître et repousser des menaces légères, vulnérable aux armes lourdes.</t>
        </is>
      </c>
    </row>
    <row r="76" ht="60" customHeight="1">
      <c r="A76" s="2" t="inlineStr">
        <is>
          <t>VEH-075</t>
        </is>
      </c>
      <c r="B76" s="2" t="inlineStr">
        <is>
          <t>Automitrailleuses et reconnaissance</t>
        </is>
      </c>
      <c r="C76" s="2" t="inlineStr">
        <is>
          <t>M20 Armored Utility Car</t>
        </is>
      </c>
      <c r="D76" s="2" t="inlineStr">
        <is>
          <t>À distinguer si plusieurs variantes</t>
        </is>
      </c>
      <c r="E76" s="2" t="inlineStr">
        <is>
          <t>États-Unis</t>
        </is>
      </c>
      <c r="F76" s="2" t="inlineStr">
        <is>
          <t>À documenter</t>
        </is>
      </c>
      <c r="G76" s="2" t="inlineStr">
        <is>
          <t>À confirmer</t>
        </is>
      </c>
      <c r="H76" s="2" t="inlineStr">
        <is>
          <t>Véhicule blindé polyvalent</t>
        </is>
      </c>
      <c r="I76" s="2" t="inlineStr">
        <is>
          <t>À définir</t>
        </is>
      </c>
      <c r="J76" s="2" t="n"/>
      <c r="K76" s="2" t="n"/>
      <c r="L76" s="2" t="n"/>
      <c r="M76" s="2" t="n"/>
      <c r="N76" s="2" t="n"/>
      <c r="O76" s="2" t="n"/>
      <c r="P76" s="2" t="inlineStr">
        <is>
          <t>À rechercher</t>
        </is>
      </c>
      <c r="Q76" s="2" t="n"/>
      <c r="R76" s="2" t="n"/>
      <c r="S76" s="2" t="inlineStr">
        <is>
          <t>À confirmer</t>
        </is>
      </c>
      <c r="T76" s="2" t="n"/>
      <c r="U76" s="2" t="n"/>
      <c r="V76" s="2" t="n"/>
      <c r="W76" s="2" t="n"/>
      <c r="X76" s="2" t="inlineStr">
        <is>
          <t>À documenter</t>
        </is>
      </c>
      <c r="Y76" s="2" t="inlineStr">
        <is>
          <t>À documenter</t>
        </is>
      </c>
      <c r="Z76" s="2" t="inlineStr">
        <is>
          <t>À documenter</t>
        </is>
      </c>
      <c r="AA76" s="2" t="inlineStr">
        <is>
          <t>À documenter</t>
        </is>
      </c>
      <c r="AB76" s="2" t="inlineStr">
        <is>
          <t>À documenter</t>
        </is>
      </c>
      <c r="AC76" s="2" t="inlineStr">
        <is>
          <t>Armement historique à déterminer précisément pour ce modèle/sa variante</t>
        </is>
      </c>
      <c r="AD76" s="2" t="inlineStr">
        <is>
          <t>À documenter</t>
        </is>
      </c>
      <c r="AE76" s="2" t="inlineStr">
        <is>
          <t>À documenter</t>
        </is>
      </c>
      <c r="AF76" s="2" t="inlineStr">
        <is>
          <t>À définir</t>
        </is>
      </c>
      <c r="AG76" s="2" t="inlineStr">
        <is>
          <t>À définir</t>
        </is>
      </c>
      <c r="AH76" s="2" t="inlineStr">
        <is>
          <t>Réparation d’origine si véhicule complet ; démontage si incomplet</t>
        </is>
      </c>
      <c r="AI76" s="2" t="inlineStr">
        <is>
          <t>À documenter</t>
        </is>
      </c>
      <c r="AJ76" s="2" t="inlineStr">
        <is>
          <t>À définir</t>
        </is>
      </c>
      <c r="AK76" s="2" t="inlineStr">
        <is>
          <t>À documenter</t>
        </is>
      </c>
      <c r="AL76" s="2" t="inlineStr">
        <is>
          <t>À rechercher / voir sources historiques</t>
        </is>
      </c>
      <c r="AM76" s="2" t="inlineStr">
        <is>
          <t>À rechercher</t>
        </is>
      </c>
      <c r="AN76" s="2" t="inlineStr">
        <is>
          <t>Source de niveau variable ; contrôle par variante nécessaire</t>
        </is>
      </c>
      <c r="AO76" s="2" t="inlineStr">
        <is>
          <t>Non renseigné</t>
        </is>
      </c>
      <c r="AP76" s="2" t="inlineStr">
        <is>
          <t>Faible</t>
        </is>
      </c>
      <c r="AQ76" s="2" t="inlineStr">
        <is>
          <t>À vérifier</t>
        </is>
      </c>
      <c r="AR76" s="2" t="inlineStr">
        <is>
          <t>Partiel — fiche à compléter</t>
        </is>
      </c>
      <c r="AS76" s="2" t="inlineStr">
        <is>
          <t>P2/P3</t>
        </is>
      </c>
      <c r="AT76" s="2" t="inlineStr">
        <is>
          <t>Modèle à valider historiquement avant verrouillage</t>
        </is>
      </c>
      <c r="AU76" s="2" t="inlineStr">
        <is>
          <t>À intégrer après validation du prototype</t>
        </is>
      </c>
      <c r="AV76" s="2" t="inlineStr">
        <is>
          <t>M20 Armored Utility Car : véhicule de catégorie « Véhicule blindé polyvalent », d'origine États-Unis. Motorisation recensée : À rechercher. Fiche de catalogue à compléter avec le rôle tactique et les caractéristiques de jeu.</t>
        </is>
      </c>
    </row>
    <row r="77" ht="60" customHeight="1">
      <c r="A77" s="2" t="inlineStr">
        <is>
          <t>VEH-076</t>
        </is>
      </c>
      <c r="B77" s="2" t="inlineStr">
        <is>
          <t>Automitrailleuses et reconnaissance</t>
        </is>
      </c>
      <c r="C77" s="2" t="inlineStr">
        <is>
          <t>Daimler Dingo</t>
        </is>
      </c>
      <c r="D77" s="2" t="inlineStr">
        <is>
          <t>À distinguer si plusieurs variantes</t>
        </is>
      </c>
      <c r="E77" s="2" t="inlineStr">
        <is>
          <t>Royaume-Uni</t>
        </is>
      </c>
      <c r="F77" s="2" t="inlineStr">
        <is>
          <t>À documenter</t>
        </is>
      </c>
      <c r="G77" s="2" t="inlineStr">
        <is>
          <t>À confirmer</t>
        </is>
      </c>
      <c r="H77" s="2" t="inlineStr">
        <is>
          <t>Véhicule de reconnaissance</t>
        </is>
      </c>
      <c r="I77" s="2" t="inlineStr">
        <is>
          <t>À définir</t>
        </is>
      </c>
      <c r="J77" s="2" t="n"/>
      <c r="K77" s="2" t="n"/>
      <c r="L77" s="2" t="n"/>
      <c r="M77" s="2" t="n"/>
      <c r="N77" s="2" t="n"/>
      <c r="O77" s="2" t="n"/>
      <c r="P77" s="2" t="inlineStr">
        <is>
          <t>À rechercher</t>
        </is>
      </c>
      <c r="Q77" s="2" t="n"/>
      <c r="R77" s="2" t="n"/>
      <c r="S77" s="2" t="inlineStr">
        <is>
          <t>À confirmer</t>
        </is>
      </c>
      <c r="T77" s="2" t="n"/>
      <c r="U77" s="2" t="n"/>
      <c r="V77" s="2" t="n"/>
      <c r="W77" s="2" t="n"/>
      <c r="X77" s="2" t="inlineStr">
        <is>
          <t>À documenter</t>
        </is>
      </c>
      <c r="Y77" s="2" t="inlineStr">
        <is>
          <t>À documenter</t>
        </is>
      </c>
      <c r="Z77" s="2" t="inlineStr">
        <is>
          <t>À documenter</t>
        </is>
      </c>
      <c r="AA77" s="2" t="inlineStr">
        <is>
          <t>À documenter</t>
        </is>
      </c>
      <c r="AB77" s="2" t="inlineStr">
        <is>
          <t>À documenter</t>
        </is>
      </c>
      <c r="AC77" s="2" t="inlineStr">
        <is>
          <t>Aucun armement standard confirmé; dépend de la variante et des transformations de terrain</t>
        </is>
      </c>
      <c r="AD77" s="2" t="inlineStr">
        <is>
          <t>À documenter</t>
        </is>
      </c>
      <c r="AE77" s="2" t="inlineStr">
        <is>
          <t>À documenter</t>
        </is>
      </c>
      <c r="AF77" s="2" t="inlineStr">
        <is>
          <t>À définir</t>
        </is>
      </c>
      <c r="AG77" s="2" t="inlineStr">
        <is>
          <t>À définir</t>
        </is>
      </c>
      <c r="AH77" s="2" t="inlineStr">
        <is>
          <t>Réparation d’origine si véhicule complet ; démontage si incomplet</t>
        </is>
      </c>
      <c r="AI77" s="2" t="inlineStr">
        <is>
          <t>À documenter</t>
        </is>
      </c>
      <c r="AJ77" s="2" t="inlineStr">
        <is>
          <t>À définir</t>
        </is>
      </c>
      <c r="AK77" s="2" t="inlineStr">
        <is>
          <t>À documenter</t>
        </is>
      </c>
      <c r="AL77" s="2" t="inlineStr">
        <is>
          <t>À rechercher / voir sources historiques</t>
        </is>
      </c>
      <c r="AM77" s="2" t="inlineStr">
        <is>
          <t>À rechercher</t>
        </is>
      </c>
      <c r="AN77" s="2" t="inlineStr">
        <is>
          <t>Source de niveau variable ; contrôle par variante nécessaire</t>
        </is>
      </c>
      <c r="AO77" s="2" t="inlineStr">
        <is>
          <t>Non renseigné</t>
        </is>
      </c>
      <c r="AP77" s="2" t="inlineStr">
        <is>
          <t>Faible</t>
        </is>
      </c>
      <c r="AQ77" s="2" t="inlineStr">
        <is>
          <t>À vérifier</t>
        </is>
      </c>
      <c r="AR77" s="2" t="inlineStr">
        <is>
          <t>Partiel — fiche à compléter</t>
        </is>
      </c>
      <c r="AS77" s="2" t="inlineStr">
        <is>
          <t>P2/P3</t>
        </is>
      </c>
      <c r="AT77" s="2" t="inlineStr">
        <is>
          <t>Modèle à valider historiquement avant verrouillage</t>
        </is>
      </c>
      <c r="AU77" s="2" t="inlineStr">
        <is>
          <t>À intégrer après validation du prototype</t>
        </is>
      </c>
      <c r="AV77" s="2" t="inlineStr">
        <is>
          <t>Daimler Dingo : véhicule de catégorie « Véhicule de reconnaissance », d'origine Royaume-Uni. Motorisation recensée : À rechercher. Fiche de catalogue à compléter avec le rôle tactique et les caractéristiques de jeu.</t>
        </is>
      </c>
    </row>
    <row r="78" ht="60" customHeight="1">
      <c r="A78" s="2" t="inlineStr">
        <is>
          <t>VEH-077</t>
        </is>
      </c>
      <c r="B78" s="2" t="inlineStr">
        <is>
          <t>Automitrailleuses et reconnaissance</t>
        </is>
      </c>
      <c r="C78" s="2" t="inlineStr">
        <is>
          <t>Humber Armoured Car</t>
        </is>
      </c>
      <c r="D78" s="2" t="inlineStr">
        <is>
          <t>À distinguer si plusieurs variantes</t>
        </is>
      </c>
      <c r="E78" s="2" t="inlineStr">
        <is>
          <t>Royaume-Uni</t>
        </is>
      </c>
      <c r="F78" s="2" t="inlineStr">
        <is>
          <t>À documenter</t>
        </is>
      </c>
      <c r="G78" s="2" t="inlineStr">
        <is>
          <t>À confirmer</t>
        </is>
      </c>
      <c r="H78" s="2" t="inlineStr">
        <is>
          <t>Automitrailleuse</t>
        </is>
      </c>
      <c r="I78" s="2" t="inlineStr">
        <is>
          <t>À définir</t>
        </is>
      </c>
      <c r="J78" s="2" t="n"/>
      <c r="K78" s="2" t="n"/>
      <c r="L78" s="2" t="n"/>
      <c r="M78" s="2" t="n"/>
      <c r="N78" s="2" t="n"/>
      <c r="O78" s="2" t="n"/>
      <c r="P78" s="2" t="inlineStr">
        <is>
          <t>À rechercher</t>
        </is>
      </c>
      <c r="Q78" s="2" t="n"/>
      <c r="R78" s="2" t="n"/>
      <c r="S78" s="2" t="inlineStr">
        <is>
          <t>À confirmer</t>
        </is>
      </c>
      <c r="T78" s="2" t="n"/>
      <c r="U78" s="2" t="n"/>
      <c r="V78" s="2" t="n"/>
      <c r="W78" s="2" t="n"/>
      <c r="X78" s="2" t="inlineStr">
        <is>
          <t>À documenter</t>
        </is>
      </c>
      <c r="Y78" s="2" t="inlineStr">
        <is>
          <t>À documenter</t>
        </is>
      </c>
      <c r="Z78" s="2" t="inlineStr">
        <is>
          <t>À documenter</t>
        </is>
      </c>
      <c r="AA78" s="2" t="inlineStr">
        <is>
          <t>À documenter</t>
        </is>
      </c>
      <c r="AB78" s="2" t="inlineStr">
        <is>
          <t>À documenter</t>
        </is>
      </c>
      <c r="AC78" s="2" t="inlineStr">
        <is>
          <t>Aucun armement standard confirmé; dépend de la variante et des transformations de terrain</t>
        </is>
      </c>
      <c r="AD78" s="2" t="inlineStr">
        <is>
          <t>À documenter</t>
        </is>
      </c>
      <c r="AE78" s="2" t="inlineStr">
        <is>
          <t>À documenter</t>
        </is>
      </c>
      <c r="AF78" s="2" t="inlineStr">
        <is>
          <t>À définir</t>
        </is>
      </c>
      <c r="AG78" s="2" t="inlineStr">
        <is>
          <t>À définir</t>
        </is>
      </c>
      <c r="AH78" s="2" t="inlineStr">
        <is>
          <t>Réparation d’origine si véhicule complet ; démontage si incomplet</t>
        </is>
      </c>
      <c r="AI78" s="2" t="inlineStr">
        <is>
          <t>À documenter</t>
        </is>
      </c>
      <c r="AJ78" s="2" t="inlineStr">
        <is>
          <t>À définir</t>
        </is>
      </c>
      <c r="AK78" s="2" t="inlineStr">
        <is>
          <t>À documenter</t>
        </is>
      </c>
      <c r="AL78" s="2" t="inlineStr">
        <is>
          <t>À rechercher / voir sources historiques</t>
        </is>
      </c>
      <c r="AM78" s="2" t="inlineStr">
        <is>
          <t>À rechercher</t>
        </is>
      </c>
      <c r="AN78" s="2" t="inlineStr">
        <is>
          <t>Source de niveau variable ; contrôle par variante nécessaire</t>
        </is>
      </c>
      <c r="AO78" s="2" t="inlineStr">
        <is>
          <t>Non renseigné</t>
        </is>
      </c>
      <c r="AP78" s="2" t="inlineStr">
        <is>
          <t>Faible</t>
        </is>
      </c>
      <c r="AQ78" s="2" t="inlineStr">
        <is>
          <t>À vérifier</t>
        </is>
      </c>
      <c r="AR78" s="2" t="inlineStr">
        <is>
          <t>Partiel — fiche à compléter</t>
        </is>
      </c>
      <c r="AS78" s="2" t="inlineStr">
        <is>
          <t>P2/P3</t>
        </is>
      </c>
      <c r="AT78" s="2" t="inlineStr">
        <is>
          <t>Modèle à valider historiquement avant verrouillage</t>
        </is>
      </c>
      <c r="AU78" s="2" t="inlineStr">
        <is>
          <t>À intégrer après validation du prototype</t>
        </is>
      </c>
      <c r="AV78" s="2" t="inlineStr">
        <is>
          <t>Humber Armoured Car : véhicule de catégorie « Automitrailleuse », d'origine Royaume-Uni. Motorisation recensée : À rechercher. Fiche de catalogue à compléter avec le rôle tactique et les caractéristiques de jeu.</t>
        </is>
      </c>
    </row>
    <row r="79" ht="60" customHeight="1">
      <c r="A79" s="2" t="inlineStr">
        <is>
          <t>VEH-078</t>
        </is>
      </c>
      <c r="B79" s="2" t="inlineStr">
        <is>
          <t>Automitrailleuses et reconnaissance</t>
        </is>
      </c>
      <c r="C79" s="2" t="inlineStr">
        <is>
          <t>AEC Armoured Car</t>
        </is>
      </c>
      <c r="D79" s="2" t="inlineStr">
        <is>
          <t>À distinguer si plusieurs variantes</t>
        </is>
      </c>
      <c r="E79" s="2" t="inlineStr">
        <is>
          <t>Royaume-Uni</t>
        </is>
      </c>
      <c r="F79" s="2" t="inlineStr">
        <is>
          <t>À documenter</t>
        </is>
      </c>
      <c r="G79" s="2" t="inlineStr">
        <is>
          <t>À confirmer</t>
        </is>
      </c>
      <c r="H79" s="2" t="inlineStr">
        <is>
          <t>Automitrailleuse lourde</t>
        </is>
      </c>
      <c r="I79" s="2" t="inlineStr">
        <is>
          <t>À définir</t>
        </is>
      </c>
      <c r="J79" s="2" t="n"/>
      <c r="K79" s="2" t="n"/>
      <c r="L79" s="2" t="n"/>
      <c r="M79" s="2" t="n"/>
      <c r="N79" s="2" t="n"/>
      <c r="O79" s="2" t="n"/>
      <c r="P79" s="2" t="inlineStr">
        <is>
          <t>À rechercher</t>
        </is>
      </c>
      <c r="Q79" s="2" t="n"/>
      <c r="R79" s="2" t="n"/>
      <c r="S79" s="2" t="inlineStr">
        <is>
          <t>À confirmer</t>
        </is>
      </c>
      <c r="T79" s="2" t="n"/>
      <c r="U79" s="2" t="n"/>
      <c r="V79" s="2" t="n"/>
      <c r="W79" s="2" t="n"/>
      <c r="X79" s="2" t="inlineStr">
        <is>
          <t>À documenter</t>
        </is>
      </c>
      <c r="Y79" s="2" t="inlineStr">
        <is>
          <t>À documenter</t>
        </is>
      </c>
      <c r="Z79" s="2" t="inlineStr">
        <is>
          <t>À documenter</t>
        </is>
      </c>
      <c r="AA79" s="2" t="inlineStr">
        <is>
          <t>À documenter</t>
        </is>
      </c>
      <c r="AB79" s="2" t="inlineStr">
        <is>
          <t>À documenter</t>
        </is>
      </c>
      <c r="AC79" s="2" t="inlineStr">
        <is>
          <t>Aucun armement standard confirmé; dépend de la variante et des transformations de terrain</t>
        </is>
      </c>
      <c r="AD79" s="2" t="inlineStr">
        <is>
          <t>À documenter</t>
        </is>
      </c>
      <c r="AE79" s="2" t="inlineStr">
        <is>
          <t>À documenter</t>
        </is>
      </c>
      <c r="AF79" s="2" t="inlineStr">
        <is>
          <t>À définir</t>
        </is>
      </c>
      <c r="AG79" s="2" t="inlineStr">
        <is>
          <t>À définir</t>
        </is>
      </c>
      <c r="AH79" s="2" t="inlineStr">
        <is>
          <t>Réparation d’origine si véhicule complet ; démontage si incomplet</t>
        </is>
      </c>
      <c r="AI79" s="2" t="inlineStr">
        <is>
          <t>À documenter</t>
        </is>
      </c>
      <c r="AJ79" s="2" t="inlineStr">
        <is>
          <t>À définir</t>
        </is>
      </c>
      <c r="AK79" s="2" t="inlineStr">
        <is>
          <t>À documenter</t>
        </is>
      </c>
      <c r="AL79" s="2" t="inlineStr">
        <is>
          <t>À rechercher / voir sources historiques</t>
        </is>
      </c>
      <c r="AM79" s="2" t="inlineStr">
        <is>
          <t>À rechercher</t>
        </is>
      </c>
      <c r="AN79" s="2" t="inlineStr">
        <is>
          <t>Source de niveau variable ; contrôle par variante nécessaire</t>
        </is>
      </c>
      <c r="AO79" s="2" t="inlineStr">
        <is>
          <t>Non renseigné</t>
        </is>
      </c>
      <c r="AP79" s="2" t="inlineStr">
        <is>
          <t>Faible</t>
        </is>
      </c>
      <c r="AQ79" s="2" t="inlineStr">
        <is>
          <t>À vérifier</t>
        </is>
      </c>
      <c r="AR79" s="2" t="inlineStr">
        <is>
          <t>Partiel — fiche à compléter</t>
        </is>
      </c>
      <c r="AS79" s="2" t="inlineStr">
        <is>
          <t>P2/P3</t>
        </is>
      </c>
      <c r="AT79" s="2" t="inlineStr">
        <is>
          <t>Modèle à valider historiquement avant verrouillage</t>
        </is>
      </c>
      <c r="AU79" s="2" t="inlineStr">
        <is>
          <t>À intégrer après validation du prototype</t>
        </is>
      </c>
      <c r="AV79" s="2" t="inlineStr">
        <is>
          <t>AEC Armoured Car : véhicule de catégorie « Automitrailleuse lourde », d'origine Royaume-Uni. Motorisation recensée : À rechercher. Fiche de catalogue à compléter avec le rôle tactique et les caractéristiques de jeu.</t>
        </is>
      </c>
    </row>
    <row r="80" ht="60" customHeight="1">
      <c r="A80" s="2" t="inlineStr">
        <is>
          <t>VEH-079</t>
        </is>
      </c>
      <c r="B80" s="2" t="inlineStr">
        <is>
          <t>Automitrailleuses et reconnaissance</t>
        </is>
      </c>
      <c r="C80" s="2" t="inlineStr">
        <is>
          <t>Panhard AMD 178</t>
        </is>
      </c>
      <c r="D80" s="2" t="inlineStr">
        <is>
          <t>À distinguer si plusieurs variantes</t>
        </is>
      </c>
      <c r="E80" s="2" t="inlineStr">
        <is>
          <t>France</t>
        </is>
      </c>
      <c r="F80" s="2" t="inlineStr">
        <is>
          <t>À documenter</t>
        </is>
      </c>
      <c r="G80" s="2" t="inlineStr">
        <is>
          <t>À confirmer</t>
        </is>
      </c>
      <c r="H80" s="2" t="inlineStr">
        <is>
          <t>Automitrailleuse</t>
        </is>
      </c>
      <c r="I80" s="2" t="inlineStr">
        <is>
          <t>À définir</t>
        </is>
      </c>
      <c r="J80" s="2" t="n"/>
      <c r="K80" s="2" t="n"/>
      <c r="L80" s="2" t="n"/>
      <c r="M80" s="2" t="n"/>
      <c r="N80" s="2" t="n"/>
      <c r="O80" s="2" t="n"/>
      <c r="P80" s="2" t="inlineStr">
        <is>
          <t>À rechercher</t>
        </is>
      </c>
      <c r="Q80" s="2" t="n"/>
      <c r="R80" s="2" t="n"/>
      <c r="S80" s="2" t="inlineStr">
        <is>
          <t>À confirmer</t>
        </is>
      </c>
      <c r="T80" s="2" t="n"/>
      <c r="U80" s="2" t="n"/>
      <c r="V80" s="2" t="n"/>
      <c r="W80" s="2" t="n"/>
      <c r="X80" s="2" t="inlineStr">
        <is>
          <t>À documenter</t>
        </is>
      </c>
      <c r="Y80" s="2" t="inlineStr">
        <is>
          <t>À documenter</t>
        </is>
      </c>
      <c r="Z80" s="2" t="inlineStr">
        <is>
          <t>À documenter</t>
        </is>
      </c>
      <c r="AA80" s="2" t="inlineStr">
        <is>
          <t>À documenter</t>
        </is>
      </c>
      <c r="AB80" s="2" t="inlineStr">
        <is>
          <t>À documenter</t>
        </is>
      </c>
      <c r="AC80" s="2" t="inlineStr">
        <is>
          <t>Aucun armement standard confirmé; dépend de la variante et des transformations de terrain</t>
        </is>
      </c>
      <c r="AD80" s="2" t="inlineStr">
        <is>
          <t>À documenter</t>
        </is>
      </c>
      <c r="AE80" s="2" t="inlineStr">
        <is>
          <t>À documenter</t>
        </is>
      </c>
      <c r="AF80" s="2" t="inlineStr">
        <is>
          <t>À définir</t>
        </is>
      </c>
      <c r="AG80" s="2" t="inlineStr">
        <is>
          <t>À définir</t>
        </is>
      </c>
      <c r="AH80" s="2" t="inlineStr">
        <is>
          <t>Réparation d’origine si véhicule complet ; démontage si incomplet</t>
        </is>
      </c>
      <c r="AI80" s="2" t="inlineStr">
        <is>
          <t>À documenter</t>
        </is>
      </c>
      <c r="AJ80" s="2" t="inlineStr">
        <is>
          <t>À définir</t>
        </is>
      </c>
      <c r="AK80" s="2" t="inlineStr">
        <is>
          <t>À documenter</t>
        </is>
      </c>
      <c r="AL80" s="2" t="inlineStr">
        <is>
          <t>À rechercher / voir sources historiques</t>
        </is>
      </c>
      <c r="AM80" s="2" t="inlineStr">
        <is>
          <t>À rechercher</t>
        </is>
      </c>
      <c r="AN80" s="2" t="inlineStr">
        <is>
          <t>Source de niveau variable ; contrôle par variante nécessaire</t>
        </is>
      </c>
      <c r="AO80" s="2" t="inlineStr">
        <is>
          <t>Non renseigné</t>
        </is>
      </c>
      <c r="AP80" s="2" t="inlineStr">
        <is>
          <t>Faible</t>
        </is>
      </c>
      <c r="AQ80" s="2" t="inlineStr">
        <is>
          <t>À vérifier</t>
        </is>
      </c>
      <c r="AR80" s="2" t="inlineStr">
        <is>
          <t>Partiel — fiche à compléter</t>
        </is>
      </c>
      <c r="AS80" s="2" t="inlineStr">
        <is>
          <t>P2/P3</t>
        </is>
      </c>
      <c r="AT80" s="2" t="inlineStr">
        <is>
          <t>Modèle à valider historiquement avant verrouillage</t>
        </is>
      </c>
      <c r="AU80" s="2" t="inlineStr">
        <is>
          <t>À intégrer après validation du prototype</t>
        </is>
      </c>
      <c r="AV80" s="2" t="inlineStr">
        <is>
          <t>Panhard AMD 178 : véhicule de catégorie « Automitrailleuse », d'origine France. Motorisation recensée : À rechercher. Fiche de catalogue à compléter avec le rôle tactique et les caractéristiques de jeu.</t>
        </is>
      </c>
    </row>
    <row r="81" ht="60" customHeight="1">
      <c r="A81" s="2" t="inlineStr">
        <is>
          <t>VEH-080</t>
        </is>
      </c>
      <c r="B81" s="2" t="inlineStr">
        <is>
          <t>Automitrailleuses et reconnaissance</t>
        </is>
      </c>
      <c r="C81" s="2" t="inlineStr">
        <is>
          <t>Laffly 80 AM</t>
        </is>
      </c>
      <c r="D81" s="2" t="inlineStr">
        <is>
          <t>À distinguer si plusieurs variantes</t>
        </is>
      </c>
      <c r="E81" s="2" t="inlineStr">
        <is>
          <t>France</t>
        </is>
      </c>
      <c r="F81" s="2" t="inlineStr">
        <is>
          <t>À documenter</t>
        </is>
      </c>
      <c r="G81" s="2" t="inlineStr">
        <is>
          <t>À confirmer</t>
        </is>
      </c>
      <c r="H81" s="2" t="inlineStr">
        <is>
          <t>Automitrailleuse</t>
        </is>
      </c>
      <c r="I81" s="2" t="inlineStr">
        <is>
          <t>À définir</t>
        </is>
      </c>
      <c r="J81" s="2" t="n"/>
      <c r="K81" s="2" t="n"/>
      <c r="L81" s="2" t="n"/>
      <c r="M81" s="2" t="n"/>
      <c r="N81" s="2" t="n"/>
      <c r="O81" s="2" t="n"/>
      <c r="P81" s="2" t="inlineStr">
        <is>
          <t>À rechercher</t>
        </is>
      </c>
      <c r="Q81" s="2" t="n"/>
      <c r="R81" s="2" t="n"/>
      <c r="S81" s="2" t="inlineStr">
        <is>
          <t>À confirmer</t>
        </is>
      </c>
      <c r="T81" s="2" t="n"/>
      <c r="U81" s="2" t="n"/>
      <c r="V81" s="2" t="n"/>
      <c r="W81" s="2" t="n"/>
      <c r="X81" s="2" t="inlineStr">
        <is>
          <t>À documenter</t>
        </is>
      </c>
      <c r="Y81" s="2" t="inlineStr">
        <is>
          <t>À documenter</t>
        </is>
      </c>
      <c r="Z81" s="2" t="inlineStr">
        <is>
          <t>À documenter</t>
        </is>
      </c>
      <c r="AA81" s="2" t="inlineStr">
        <is>
          <t>À documenter</t>
        </is>
      </c>
      <c r="AB81" s="2" t="inlineStr">
        <is>
          <t>À documenter</t>
        </is>
      </c>
      <c r="AC81" s="2" t="inlineStr">
        <is>
          <t>Aucun armement standard confirmé; dépend de la variante et des transformations de terrain</t>
        </is>
      </c>
      <c r="AD81" s="2" t="inlineStr">
        <is>
          <t>À documenter</t>
        </is>
      </c>
      <c r="AE81" s="2" t="inlineStr">
        <is>
          <t>À documenter</t>
        </is>
      </c>
      <c r="AF81" s="2" t="inlineStr">
        <is>
          <t>À définir</t>
        </is>
      </c>
      <c r="AG81" s="2" t="inlineStr">
        <is>
          <t>À définir</t>
        </is>
      </c>
      <c r="AH81" s="2" t="inlineStr">
        <is>
          <t>Réparation d’origine si véhicule complet ; démontage si incomplet</t>
        </is>
      </c>
      <c r="AI81" s="2" t="inlineStr">
        <is>
          <t>À documenter</t>
        </is>
      </c>
      <c r="AJ81" s="2" t="inlineStr">
        <is>
          <t>À définir</t>
        </is>
      </c>
      <c r="AK81" s="2" t="inlineStr">
        <is>
          <t>À documenter</t>
        </is>
      </c>
      <c r="AL81" s="2" t="inlineStr">
        <is>
          <t>À rechercher / voir sources historiques</t>
        </is>
      </c>
      <c r="AM81" s="2" t="inlineStr">
        <is>
          <t>À rechercher</t>
        </is>
      </c>
      <c r="AN81" s="2" t="inlineStr">
        <is>
          <t>Source de niveau variable ; contrôle par variante nécessaire</t>
        </is>
      </c>
      <c r="AO81" s="2" t="inlineStr">
        <is>
          <t>Non renseigné</t>
        </is>
      </c>
      <c r="AP81" s="2" t="inlineStr">
        <is>
          <t>Faible</t>
        </is>
      </c>
      <c r="AQ81" s="2" t="inlineStr">
        <is>
          <t>À vérifier</t>
        </is>
      </c>
      <c r="AR81" s="2" t="inlineStr">
        <is>
          <t>Partiel — fiche à compléter</t>
        </is>
      </c>
      <c r="AS81" s="2" t="inlineStr">
        <is>
          <t>P2/P3</t>
        </is>
      </c>
      <c r="AT81" s="2" t="inlineStr">
        <is>
          <t>Modèle à valider historiquement avant verrouillage</t>
        </is>
      </c>
      <c r="AU81" s="2" t="inlineStr">
        <is>
          <t>À intégrer après validation du prototype</t>
        </is>
      </c>
      <c r="AV81" s="2" t="inlineStr">
        <is>
          <t>Laffly 80 AM : véhicule de catégorie « Automitrailleuse », d'origine France. Motorisation recensée : À rechercher. Fiche de catalogue à compléter avec le rôle tactique et les caractéristiques de jeu.</t>
        </is>
      </c>
    </row>
    <row r="82" ht="60" customHeight="1">
      <c r="A82" s="2" t="inlineStr">
        <is>
          <t>VEH-081</t>
        </is>
      </c>
      <c r="B82" s="2" t="inlineStr">
        <is>
          <t>Automitrailleuses et reconnaissance</t>
        </is>
      </c>
      <c r="C82" s="2" t="inlineStr">
        <is>
          <t>Sd.Kfz. 222</t>
        </is>
      </c>
      <c r="D82" s="2" t="inlineStr">
        <is>
          <t>À distinguer si plusieurs variantes</t>
        </is>
      </c>
      <c r="E82" s="2" t="inlineStr">
        <is>
          <t>Allemagne</t>
        </is>
      </c>
      <c r="F82" s="2" t="inlineStr">
        <is>
          <t>À documenter</t>
        </is>
      </c>
      <c r="G82" s="2" t="inlineStr">
        <is>
          <t>À confirmer</t>
        </is>
      </c>
      <c r="H82" s="2" t="inlineStr">
        <is>
          <t>Voiture blindée de reconnaissance</t>
        </is>
      </c>
      <c r="I82" s="2" t="inlineStr">
        <is>
          <t>À définir</t>
        </is>
      </c>
      <c r="J82" s="2" t="n"/>
      <c r="K82" s="2" t="n"/>
      <c r="L82" s="2" t="n"/>
      <c r="M82" s="2" t="n"/>
      <c r="N82" s="2" t="n"/>
      <c r="O82" s="2" t="n"/>
      <c r="P82" s="2" t="inlineStr">
        <is>
          <t>À rechercher</t>
        </is>
      </c>
      <c r="Q82" s="2" t="n"/>
      <c r="R82" s="2" t="n"/>
      <c r="S82" s="2" t="inlineStr">
        <is>
          <t>À confirmer</t>
        </is>
      </c>
      <c r="T82" s="2" t="n"/>
      <c r="U82" s="2" t="n"/>
      <c r="V82" s="2" t="n"/>
      <c r="W82" s="2" t="n"/>
      <c r="X82" s="2" t="inlineStr">
        <is>
          <t>À documenter</t>
        </is>
      </c>
      <c r="Y82" s="2" t="inlineStr">
        <is>
          <t>À documenter</t>
        </is>
      </c>
      <c r="Z82" s="2" t="inlineStr">
        <is>
          <t>À documenter</t>
        </is>
      </c>
      <c r="AA82" s="2" t="inlineStr">
        <is>
          <t>À documenter</t>
        </is>
      </c>
      <c r="AB82" s="2" t="inlineStr">
        <is>
          <t>À documenter</t>
        </is>
      </c>
      <c r="AC82" s="2" t="inlineStr">
        <is>
          <t>Armement historique à déterminer précisément pour ce modèle/sa variante</t>
        </is>
      </c>
      <c r="AD82" s="2" t="inlineStr">
        <is>
          <t>À documenter</t>
        </is>
      </c>
      <c r="AE82" s="2" t="inlineStr">
        <is>
          <t>À documenter</t>
        </is>
      </c>
      <c r="AF82" s="2" t="inlineStr">
        <is>
          <t>À définir</t>
        </is>
      </c>
      <c r="AG82" s="2" t="inlineStr">
        <is>
          <t>À définir</t>
        </is>
      </c>
      <c r="AH82" s="2" t="inlineStr">
        <is>
          <t>Réparation d’origine si véhicule complet ; démontage si incomplet</t>
        </is>
      </c>
      <c r="AI82" s="2" t="inlineStr">
        <is>
          <t>À documenter</t>
        </is>
      </c>
      <c r="AJ82" s="2" t="inlineStr">
        <is>
          <t>À définir</t>
        </is>
      </c>
      <c r="AK82" s="2" t="inlineStr">
        <is>
          <t>À documenter</t>
        </is>
      </c>
      <c r="AL82" s="2" t="inlineStr">
        <is>
          <t>À rechercher / voir sources historiques</t>
        </is>
      </c>
      <c r="AM82" s="2" t="inlineStr">
        <is>
          <t>À rechercher</t>
        </is>
      </c>
      <c r="AN82" s="2" t="inlineStr">
        <is>
          <t>Source de niveau variable ; contrôle par variante nécessaire</t>
        </is>
      </c>
      <c r="AO82" s="2" t="inlineStr">
        <is>
          <t>Non renseigné</t>
        </is>
      </c>
      <c r="AP82" s="2" t="inlineStr">
        <is>
          <t>Faible</t>
        </is>
      </c>
      <c r="AQ82" s="2" t="inlineStr">
        <is>
          <t>À vérifier</t>
        </is>
      </c>
      <c r="AR82" s="2" t="inlineStr">
        <is>
          <t>Partiel — fiche à compléter</t>
        </is>
      </c>
      <c r="AS82" s="2" t="inlineStr">
        <is>
          <t>P2/P3</t>
        </is>
      </c>
      <c r="AT82" s="2" t="inlineStr">
        <is>
          <t>Modèle à valider historiquement avant verrouillage</t>
        </is>
      </c>
      <c r="AU82" s="2" t="inlineStr">
        <is>
          <t>À intégrer après validation du prototype</t>
        </is>
      </c>
      <c r="AV82" s="2" t="inlineStr">
        <is>
          <t>Sd.Kfz. 222 : véhicule de catégorie « Voiture blindée de reconnaissance », d'origine Allemagne. Motorisation recensée : À rechercher. Fiche de catalogue à compléter avec le rôle tactique et les caractéristiques de jeu.</t>
        </is>
      </c>
    </row>
    <row r="83" ht="60" customHeight="1">
      <c r="A83" s="2" t="inlineStr">
        <is>
          <t>VEH-082</t>
        </is>
      </c>
      <c r="B83" s="2" t="inlineStr">
        <is>
          <t>Automitrailleuses et reconnaissance</t>
        </is>
      </c>
      <c r="C83" s="2" t="inlineStr">
        <is>
          <t>AB 41</t>
        </is>
      </c>
      <c r="D83" s="2" t="inlineStr">
        <is>
          <t>À distinguer si plusieurs variantes</t>
        </is>
      </c>
      <c r="E83" s="2" t="inlineStr">
        <is>
          <t>Italie</t>
        </is>
      </c>
      <c r="F83" s="2" t="inlineStr">
        <is>
          <t>À documenter</t>
        </is>
      </c>
      <c r="G83" s="2" t="inlineStr">
        <is>
          <t>À confirmer</t>
        </is>
      </c>
      <c r="H83" s="2" t="inlineStr">
        <is>
          <t>Automitrailleuse</t>
        </is>
      </c>
      <c r="I83" s="2" t="inlineStr">
        <is>
          <t>À définir</t>
        </is>
      </c>
      <c r="J83" s="2" t="n"/>
      <c r="K83" s="2" t="n"/>
      <c r="L83" s="2" t="n"/>
      <c r="M83" s="2" t="n"/>
      <c r="N83" s="2" t="n"/>
      <c r="O83" s="2" t="n"/>
      <c r="P83" s="2" t="inlineStr">
        <is>
          <t>À rechercher</t>
        </is>
      </c>
      <c r="Q83" s="2" t="n"/>
      <c r="R83" s="2" t="n"/>
      <c r="S83" s="2" t="inlineStr">
        <is>
          <t>À confirmer</t>
        </is>
      </c>
      <c r="T83" s="2" t="n"/>
      <c r="U83" s="2" t="n"/>
      <c r="V83" s="2" t="n"/>
      <c r="W83" s="2" t="n"/>
      <c r="X83" s="2" t="inlineStr">
        <is>
          <t>À documenter</t>
        </is>
      </c>
      <c r="Y83" s="2" t="inlineStr">
        <is>
          <t>À documenter</t>
        </is>
      </c>
      <c r="Z83" s="2" t="inlineStr">
        <is>
          <t>À documenter</t>
        </is>
      </c>
      <c r="AA83" s="2" t="inlineStr">
        <is>
          <t>À documenter</t>
        </is>
      </c>
      <c r="AB83" s="2" t="inlineStr">
        <is>
          <t>À documenter</t>
        </is>
      </c>
      <c r="AC83" s="2" t="inlineStr">
        <is>
          <t>Aucun armement standard confirmé; dépend de la variante et des transformations de terrain</t>
        </is>
      </c>
      <c r="AD83" s="2" t="inlineStr">
        <is>
          <t>À documenter</t>
        </is>
      </c>
      <c r="AE83" s="2" t="inlineStr">
        <is>
          <t>À documenter</t>
        </is>
      </c>
      <c r="AF83" s="2" t="inlineStr">
        <is>
          <t>À définir</t>
        </is>
      </c>
      <c r="AG83" s="2" t="inlineStr">
        <is>
          <t>À définir</t>
        </is>
      </c>
      <c r="AH83" s="2" t="inlineStr">
        <is>
          <t>Réparation d’origine si véhicule complet ; démontage si incomplet</t>
        </is>
      </c>
      <c r="AI83" s="2" t="inlineStr">
        <is>
          <t>À documenter</t>
        </is>
      </c>
      <c r="AJ83" s="2" t="inlineStr">
        <is>
          <t>À définir</t>
        </is>
      </c>
      <c r="AK83" s="2" t="inlineStr">
        <is>
          <t>À documenter</t>
        </is>
      </c>
      <c r="AL83" s="2" t="inlineStr">
        <is>
          <t>À rechercher / voir sources historiques</t>
        </is>
      </c>
      <c r="AM83" s="2" t="inlineStr">
        <is>
          <t>À rechercher</t>
        </is>
      </c>
      <c r="AN83" s="2" t="inlineStr">
        <is>
          <t>Source de niveau variable ; contrôle par variante nécessaire</t>
        </is>
      </c>
      <c r="AO83" s="2" t="inlineStr">
        <is>
          <t>Non renseigné</t>
        </is>
      </c>
      <c r="AP83" s="2" t="inlineStr">
        <is>
          <t>Faible</t>
        </is>
      </c>
      <c r="AQ83" s="2" t="inlineStr">
        <is>
          <t>À vérifier</t>
        </is>
      </c>
      <c r="AR83" s="2" t="inlineStr">
        <is>
          <t>Partiel — fiche à compléter</t>
        </is>
      </c>
      <c r="AS83" s="2" t="inlineStr">
        <is>
          <t>P2/P3</t>
        </is>
      </c>
      <c r="AT83" s="2" t="inlineStr">
        <is>
          <t>Modèle à valider historiquement avant verrouillage</t>
        </is>
      </c>
      <c r="AU83" s="2" t="inlineStr">
        <is>
          <t>À intégrer après validation du prototype</t>
        </is>
      </c>
      <c r="AV83" s="2" t="inlineStr">
        <is>
          <t>AB 41 : véhicule de catégorie « Automitrailleuse », d'origine Italie. Motorisation recensée : À rechercher. Fiche de catalogue à compléter avec le rôle tactique et les caractéristiques de jeu.</t>
        </is>
      </c>
    </row>
    <row r="84" ht="60" customHeight="1">
      <c r="A84" s="2" t="inlineStr">
        <is>
          <t>VEH-083</t>
        </is>
      </c>
      <c r="B84" s="2" t="inlineStr">
        <is>
          <t>Automitrailleuses et reconnaissance</t>
        </is>
      </c>
      <c r="C84" s="2" t="inlineStr">
        <is>
          <t>BA-64</t>
        </is>
      </c>
      <c r="D84" s="2" t="inlineStr">
        <is>
          <t>À distinguer si plusieurs variantes</t>
        </is>
      </c>
      <c r="E84" s="2" t="inlineStr">
        <is>
          <t>URSS</t>
        </is>
      </c>
      <c r="F84" s="2" t="inlineStr">
        <is>
          <t>À documenter</t>
        </is>
      </c>
      <c r="G84" s="2" t="inlineStr">
        <is>
          <t>À confirmer</t>
        </is>
      </c>
      <c r="H84" s="2" t="inlineStr">
        <is>
          <t>Voiture blindée</t>
        </is>
      </c>
      <c r="I84" s="2" t="inlineStr">
        <is>
          <t>À définir</t>
        </is>
      </c>
      <c r="J84" s="2" t="n"/>
      <c r="K84" s="2" t="n"/>
      <c r="L84" s="2" t="n"/>
      <c r="M84" s="2" t="n"/>
      <c r="N84" s="2" t="n"/>
      <c r="O84" s="2" t="n"/>
      <c r="P84" s="2" t="inlineStr">
        <is>
          <t>À rechercher</t>
        </is>
      </c>
      <c r="Q84" s="2" t="n"/>
      <c r="R84" s="2" t="n"/>
      <c r="S84" s="2" t="inlineStr">
        <is>
          <t>À confirmer</t>
        </is>
      </c>
      <c r="T84" s="2" t="n"/>
      <c r="U84" s="2" t="n"/>
      <c r="V84" s="2" t="n"/>
      <c r="W84" s="2" t="n"/>
      <c r="X84" s="2" t="inlineStr">
        <is>
          <t>À documenter</t>
        </is>
      </c>
      <c r="Y84" s="2" t="inlineStr">
        <is>
          <t>À documenter</t>
        </is>
      </c>
      <c r="Z84" s="2" t="inlineStr">
        <is>
          <t>À documenter</t>
        </is>
      </c>
      <c r="AA84" s="2" t="inlineStr">
        <is>
          <t>À documenter</t>
        </is>
      </c>
      <c r="AB84" s="2" t="inlineStr">
        <is>
          <t>À documenter</t>
        </is>
      </c>
      <c r="AC84" s="2" t="inlineStr">
        <is>
          <t>Canon automatique ou mitrailleuse selon modèle; armement à vérifier individuellement</t>
        </is>
      </c>
      <c r="AD84" s="2" t="inlineStr">
        <is>
          <t>À documenter</t>
        </is>
      </c>
      <c r="AE84" s="2" t="inlineStr">
        <is>
          <t>À documenter</t>
        </is>
      </c>
      <c r="AF84" s="2" t="inlineStr">
        <is>
          <t>À définir</t>
        </is>
      </c>
      <c r="AG84" s="2" t="inlineStr">
        <is>
          <t>À définir</t>
        </is>
      </c>
      <c r="AH84" s="2" t="inlineStr">
        <is>
          <t>Réparation d’origine si véhicule complet ; démontage si incomplet</t>
        </is>
      </c>
      <c r="AI84" s="2" t="inlineStr">
        <is>
          <t>À documenter</t>
        </is>
      </c>
      <c r="AJ84" s="2" t="inlineStr">
        <is>
          <t>À définir</t>
        </is>
      </c>
      <c r="AK84" s="2" t="inlineStr">
        <is>
          <t>À documenter</t>
        </is>
      </c>
      <c r="AL84" s="2" t="inlineStr">
        <is>
          <t>À rechercher / voir sources historiques</t>
        </is>
      </c>
      <c r="AM84" s="2" t="inlineStr">
        <is>
          <t>À rechercher</t>
        </is>
      </c>
      <c r="AN84" s="2" t="inlineStr">
        <is>
          <t>Source de niveau variable ; contrôle par variante nécessaire</t>
        </is>
      </c>
      <c r="AO84" s="2" t="inlineStr">
        <is>
          <t>Non renseigné</t>
        </is>
      </c>
      <c r="AP84" s="2" t="inlineStr">
        <is>
          <t>Faible</t>
        </is>
      </c>
      <c r="AQ84" s="2" t="inlineStr">
        <is>
          <t>À vérifier</t>
        </is>
      </c>
      <c r="AR84" s="2" t="inlineStr">
        <is>
          <t>Partiel — fiche à compléter</t>
        </is>
      </c>
      <c r="AS84" s="2" t="inlineStr">
        <is>
          <t>P2/P3</t>
        </is>
      </c>
      <c r="AT84" s="2" t="inlineStr">
        <is>
          <t>Modèle à valider historiquement avant verrouillage</t>
        </is>
      </c>
      <c r="AU84" s="2" t="inlineStr">
        <is>
          <t>À intégrer après validation du prototype</t>
        </is>
      </c>
      <c r="AV84" s="2" t="inlineStr">
        <is>
          <t>BA-64 : véhicule de catégorie « Voiture blindée », d'origine URSS. Motorisation recensée : À rechercher. Fiche de catalogue à compléter avec le rôle tactique et les caractéristiques de jeu.</t>
        </is>
      </c>
    </row>
    <row r="85" ht="60" customHeight="1">
      <c r="A85" s="2" t="inlineStr">
        <is>
          <t>VEH-084</t>
        </is>
      </c>
      <c r="B85" s="2" t="inlineStr">
        <is>
          <t>Chars légers</t>
        </is>
      </c>
      <c r="C85" s="2" t="inlineStr">
        <is>
          <t>M3 Stuart</t>
        </is>
      </c>
      <c r="D85" s="2" t="inlineStr">
        <is>
          <t>À distinguer si plusieurs variantes</t>
        </is>
      </c>
      <c r="E85" s="2" t="inlineStr">
        <is>
          <t>États-Unis</t>
        </is>
      </c>
      <c r="F85" s="2" t="inlineStr">
        <is>
          <t>À documenter</t>
        </is>
      </c>
      <c r="G85" s="2" t="inlineStr">
        <is>
          <t>À confirmer</t>
        </is>
      </c>
      <c r="H85" s="2" t="inlineStr">
        <is>
          <t>Char léger</t>
        </is>
      </c>
      <c r="I85" s="2" t="inlineStr">
        <is>
          <t>À définir</t>
        </is>
      </c>
      <c r="J85" s="2" t="n">
        <v>12700</v>
      </c>
      <c r="K85" s="2" t="n"/>
      <c r="L85" s="2" t="n">
        <v>4.53</v>
      </c>
      <c r="M85" s="2" t="n">
        <v>2.24</v>
      </c>
      <c r="N85" s="2" t="n">
        <v>2.64</v>
      </c>
      <c r="O85" s="2" t="n"/>
      <c r="P85" s="2" t="inlineStr">
        <is>
          <t>Continental W-670, moteur radial essence 7 cylindres (version de base M3)</t>
        </is>
      </c>
      <c r="Q85" s="2" t="n">
        <v>10.93</v>
      </c>
      <c r="R85" s="2" t="n">
        <v>250</v>
      </c>
      <c r="S85" s="2" t="inlineStr">
        <is>
          <t>Essence</t>
        </is>
      </c>
      <c r="T85" s="2" t="n">
        <v>212</v>
      </c>
      <c r="U85" s="2" t="n"/>
      <c r="V85" s="2" t="n">
        <v>58</v>
      </c>
      <c r="W85" s="2" t="n"/>
      <c r="X85" s="2" t="inlineStr">
        <is>
          <t>4 (selon version/équipement)</t>
        </is>
      </c>
      <c r="Y85" s="2" t="inlineStr">
        <is>
          <t>À documenter</t>
        </is>
      </c>
      <c r="Z85" s="2" t="inlineStr">
        <is>
          <t>À documenter</t>
        </is>
      </c>
      <c r="AA85" s="2" t="inlineStr">
        <is>
          <t>À documenter</t>
        </is>
      </c>
      <c r="AB85" s="2" t="inlineStr">
        <is>
          <t>Blindage riveté sur les versions initiales ; épaisseur maximale de l’ordre de 38 mm selon zone/variante</t>
        </is>
      </c>
      <c r="AC85" s="2" t="inlineStr">
        <is>
          <t>Canon de 37 mm sur la configuration initiale</t>
        </is>
      </c>
      <c r="AD85" s="2" t="inlineStr">
        <is>
          <t>Mitrailleuses de calibre .30, nombre et montage dépendant de la version</t>
        </is>
      </c>
      <c r="AE85" s="2" t="inlineStr">
        <is>
          <t>À documenter</t>
        </is>
      </c>
      <c r="AF85" s="2" t="inlineStr">
        <is>
          <t>À définir</t>
        </is>
      </c>
      <c r="AG85" s="2" t="inlineStr">
        <is>
          <t>À définir</t>
        </is>
      </c>
      <c r="AH85" s="2" t="inlineStr">
        <is>
          <t>Réparation d’origine si véhicule complet ; démontage si incomplet</t>
        </is>
      </c>
      <c r="AI85" s="2" t="inlineStr">
        <is>
          <t>Moteur radial, transmission, train de roulement/chenilles, embrayage-direction, réservoirs, tourelle et armement</t>
        </is>
      </c>
      <c r="AJ85" s="2" t="inlineStr">
        <is>
          <t>À définir</t>
        </is>
      </c>
      <c r="AK85" s="2" t="inlineStr">
        <is>
          <t>M3, M3A1, M3A3 et variantes diesel/essence ne doivent pas être fusionnés ; la fiche ci-dessus cible la configuration initiale M3</t>
        </is>
      </c>
      <c r="AL85" s="2" t="inlineStr">
        <is>
          <t>https://commons.wikimedia.org/wiki/File%3ATM_9-726_Light_Tank_M3%2C_1942_%28IA_TM9-726%29.pdf</t>
        </is>
      </c>
      <c r="AM85" s="2" t="inlineStr">
        <is>
          <t>https://www.mvcgfrance.org/stuart-m3/</t>
        </is>
      </c>
      <c r="AN85" s="2" t="inlineStr">
        <is>
          <t>Manuel technique US TM 9-726 + fiche de collection</t>
        </is>
      </c>
      <c r="AO85" s="2" t="inlineStr">
        <is>
          <t>Moyen — dimensions exactes à extraire de la variante définie</t>
        </is>
      </c>
      <c r="AP85" s="2" t="inlineStr">
        <is>
          <t>Élevé pour le moteur de la configuration M3 documentée ; variantes à séparer</t>
        </is>
      </c>
      <c r="AQ85" s="2" t="inlineStr">
        <is>
          <t>Moyen — l’armement dépend de la version</t>
        </is>
      </c>
      <c r="AR85" s="2" t="inlineStr">
        <is>
          <t>Partiel — données initiales sourcées, gabarit à confirmer</t>
        </is>
      </c>
      <c r="AS85" s="2" t="inlineStr">
        <is>
          <t>P1</t>
        </is>
      </c>
      <c r="AT85" s="2" t="inlineStr">
        <is>
          <t>La source TM 9-726 décrit le Light Tank M3 et ses sous-systèmes. Les valeurs publiées dans les fiches secondaires peuvent varier selon la masse considérée et la version exacte.</t>
        </is>
      </c>
      <c r="AU85" s="2" t="inlineStr">
        <is>
          <t>Char rapide léger</t>
        </is>
      </c>
      <c r="AV85" s="2" t="inlineStr">
        <is>
          <t>M3 Stuart : véhicule de catégorie « Char léger », d'origine États-Unis. Motorisation recensée : À rechercher. Fiche de catalogue à compléter avec le rôle tactique et les caractéristiques de jeu.</t>
        </is>
      </c>
    </row>
    <row r="86" ht="60" customHeight="1">
      <c r="A86" s="2" t="inlineStr">
        <is>
          <t>VEH-085</t>
        </is>
      </c>
      <c r="B86" s="2" t="inlineStr">
        <is>
          <t>Chars légers</t>
        </is>
      </c>
      <c r="C86" s="2" t="inlineStr">
        <is>
          <t>M5 Stuart</t>
        </is>
      </c>
      <c r="D86" s="2" t="inlineStr">
        <is>
          <t>À distinguer si plusieurs variantes</t>
        </is>
      </c>
      <c r="E86" s="2" t="inlineStr">
        <is>
          <t>États-Unis</t>
        </is>
      </c>
      <c r="F86" s="2" t="inlineStr">
        <is>
          <t>À documenter</t>
        </is>
      </c>
      <c r="G86" s="2" t="inlineStr">
        <is>
          <t>À confirmer</t>
        </is>
      </c>
      <c r="H86" s="2" t="inlineStr">
        <is>
          <t>Char léger</t>
        </is>
      </c>
      <c r="I86" s="2" t="inlineStr">
        <is>
          <t>À définir</t>
        </is>
      </c>
      <c r="J86" s="2" t="n"/>
      <c r="K86" s="2" t="n"/>
      <c r="L86" s="2" t="n"/>
      <c r="M86" s="2" t="n"/>
      <c r="N86" s="2" t="n"/>
      <c r="O86" s="2" t="n"/>
      <c r="P86" s="2" t="inlineStr">
        <is>
          <t>À rechercher</t>
        </is>
      </c>
      <c r="Q86" s="2" t="n"/>
      <c r="R86" s="2" t="n"/>
      <c r="S86" s="2" t="inlineStr">
        <is>
          <t>À confirmer</t>
        </is>
      </c>
      <c r="T86" s="2" t="n"/>
      <c r="U86" s="2" t="n"/>
      <c r="V86" s="2" t="n"/>
      <c r="W86" s="2" t="n"/>
      <c r="X86" s="2" t="inlineStr">
        <is>
          <t>À documenter</t>
        </is>
      </c>
      <c r="Y86" s="2" t="inlineStr">
        <is>
          <t>À documenter</t>
        </is>
      </c>
      <c r="Z86" s="2" t="inlineStr">
        <is>
          <t>À documenter</t>
        </is>
      </c>
      <c r="AA86" s="2" t="inlineStr">
        <is>
          <t>À documenter</t>
        </is>
      </c>
      <c r="AB86" s="2" t="inlineStr">
        <is>
          <t>À documenter</t>
        </is>
      </c>
      <c r="AC86" s="2" t="inlineStr">
        <is>
          <t>Canon de 37 mm M5/M6; mitrailleuses Browning .30, nombre variable selon version</t>
        </is>
      </c>
      <c r="AD86" s="2" t="inlineStr">
        <is>
          <t>À documenter</t>
        </is>
      </c>
      <c r="AE86" s="2" t="inlineStr">
        <is>
          <t>À documenter</t>
        </is>
      </c>
      <c r="AF86" s="2" t="inlineStr">
        <is>
          <t>À définir</t>
        </is>
      </c>
      <c r="AG86" s="2" t="inlineStr">
        <is>
          <t>À définir</t>
        </is>
      </c>
      <c r="AH86" s="2" t="inlineStr">
        <is>
          <t>Réparation d’origine si véhicule complet ; démontage si incomplet</t>
        </is>
      </c>
      <c r="AI86" s="2" t="inlineStr">
        <is>
          <t>À documenter</t>
        </is>
      </c>
      <c r="AJ86" s="2" t="inlineStr">
        <is>
          <t>À définir</t>
        </is>
      </c>
      <c r="AK86" s="2" t="inlineStr">
        <is>
          <t>À documenter</t>
        </is>
      </c>
      <c r="AL86" s="2" t="inlineStr">
        <is>
          <t>À rechercher / voir sources historiques</t>
        </is>
      </c>
      <c r="AM86" s="2" t="inlineStr">
        <is>
          <t>À rechercher</t>
        </is>
      </c>
      <c r="AN86" s="2" t="inlineStr">
        <is>
          <t>Source de niveau variable ; contrôle par variante nécessaire</t>
        </is>
      </c>
      <c r="AO86" s="2" t="inlineStr">
        <is>
          <t>Non renseigné</t>
        </is>
      </c>
      <c r="AP86" s="2" t="inlineStr">
        <is>
          <t>Faible</t>
        </is>
      </c>
      <c r="AQ86" s="2" t="inlineStr">
        <is>
          <t>Partiel</t>
        </is>
      </c>
      <c r="AR86" s="2" t="inlineStr">
        <is>
          <t>Partiel — fiche à compléter</t>
        </is>
      </c>
      <c r="AS86" s="2" t="inlineStr">
        <is>
          <t>P2/P3</t>
        </is>
      </c>
      <c r="AT86" s="2" t="inlineStr">
        <is>
          <t>Modèle à valider historiquement avant verrouillage</t>
        </is>
      </c>
      <c r="AU86" s="2" t="inlineStr">
        <is>
          <t>À intégrer après validation du prototype</t>
        </is>
      </c>
      <c r="AV86" s="2" t="inlineStr">
        <is>
          <t>M5 Stuart : véhicule de catégorie « Char léger », d'origine États-Unis. Motorisation recensée : À rechercher. Fiche de catalogue à compléter avec le rôle tactique et les caractéristiques de jeu.</t>
        </is>
      </c>
    </row>
    <row r="87" ht="60" customHeight="1">
      <c r="A87" s="2" t="inlineStr">
        <is>
          <t>VEH-086</t>
        </is>
      </c>
      <c r="B87" s="2" t="inlineStr">
        <is>
          <t>Chars légers</t>
        </is>
      </c>
      <c r="C87" s="2" t="inlineStr">
        <is>
          <t>M24 Chaffee</t>
        </is>
      </c>
      <c r="D87" s="2" t="inlineStr">
        <is>
          <t>À distinguer si plusieurs variantes</t>
        </is>
      </c>
      <c r="E87" s="2" t="inlineStr">
        <is>
          <t>États-Unis</t>
        </is>
      </c>
      <c r="F87" s="2" t="inlineStr">
        <is>
          <t>À documenter</t>
        </is>
      </c>
      <c r="G87" s="2" t="inlineStr">
        <is>
          <t>À confirmer</t>
        </is>
      </c>
      <c r="H87" s="2" t="inlineStr">
        <is>
          <t>Char léger conçu avant 1945</t>
        </is>
      </c>
      <c r="I87" s="2" t="inlineStr">
        <is>
          <t>À définir</t>
        </is>
      </c>
      <c r="J87" s="2" t="n"/>
      <c r="K87" s="2" t="n"/>
      <c r="L87" s="2" t="n"/>
      <c r="M87" s="2" t="n"/>
      <c r="N87" s="2" t="n"/>
      <c r="O87" s="2" t="n"/>
      <c r="P87" s="2" t="inlineStr">
        <is>
          <t>À rechercher</t>
        </is>
      </c>
      <c r="Q87" s="2" t="n"/>
      <c r="R87" s="2" t="n"/>
      <c r="S87" s="2" t="inlineStr">
        <is>
          <t>À confirmer</t>
        </is>
      </c>
      <c r="T87" s="2" t="n"/>
      <c r="U87" s="2" t="n"/>
      <c r="V87" s="2" t="n"/>
      <c r="W87" s="2" t="n"/>
      <c r="X87" s="2" t="inlineStr">
        <is>
          <t>À documenter</t>
        </is>
      </c>
      <c r="Y87" s="2" t="inlineStr">
        <is>
          <t>À documenter</t>
        </is>
      </c>
      <c r="Z87" s="2" t="inlineStr">
        <is>
          <t>À documenter</t>
        </is>
      </c>
      <c r="AA87" s="2" t="inlineStr">
        <is>
          <t>À documenter</t>
        </is>
      </c>
      <c r="AB87" s="2" t="inlineStr">
        <is>
          <t>À documenter</t>
        </is>
      </c>
      <c r="AC87" s="2" t="inlineStr">
        <is>
          <t>Canon de 75 mm M6; 2 mitrailleuses Browning .30 et une Browning .50</t>
        </is>
      </c>
      <c r="AD87" s="2" t="inlineStr">
        <is>
          <t>À documenter</t>
        </is>
      </c>
      <c r="AE87" s="2" t="inlineStr">
        <is>
          <t>À documenter</t>
        </is>
      </c>
      <c r="AF87" s="2" t="inlineStr">
        <is>
          <t>À définir</t>
        </is>
      </c>
      <c r="AG87" s="2" t="inlineStr">
        <is>
          <t>À définir</t>
        </is>
      </c>
      <c r="AH87" s="2" t="inlineStr">
        <is>
          <t>Réparation d’origine si véhicule complet ; démontage si incomplet</t>
        </is>
      </c>
      <c r="AI87" s="2" t="inlineStr">
        <is>
          <t>À documenter</t>
        </is>
      </c>
      <c r="AJ87" s="2" t="inlineStr">
        <is>
          <t>À définir</t>
        </is>
      </c>
      <c r="AK87" s="2" t="inlineStr">
        <is>
          <t>À documenter</t>
        </is>
      </c>
      <c r="AL87" s="2" t="inlineStr">
        <is>
          <t>À rechercher / voir sources historiques</t>
        </is>
      </c>
      <c r="AM87" s="2" t="inlineStr">
        <is>
          <t>À rechercher</t>
        </is>
      </c>
      <c r="AN87" s="2" t="inlineStr">
        <is>
          <t>Source de niveau variable ; contrôle par variante nécessaire</t>
        </is>
      </c>
      <c r="AO87" s="2" t="inlineStr">
        <is>
          <t>Non renseigné</t>
        </is>
      </c>
      <c r="AP87" s="2" t="inlineStr">
        <is>
          <t>Faible</t>
        </is>
      </c>
      <c r="AQ87" s="2" t="inlineStr">
        <is>
          <t>Élevé</t>
        </is>
      </c>
      <c r="AR87" s="2" t="inlineStr">
        <is>
          <t>Partiel — fiche à compléter</t>
        </is>
      </c>
      <c r="AS87" s="2" t="inlineStr">
        <is>
          <t>P2/P3</t>
        </is>
      </c>
      <c r="AT87" s="2" t="inlineStr">
        <is>
          <t>Modèle à valider historiquement avant verrouillage</t>
        </is>
      </c>
      <c r="AU87" s="2" t="inlineStr">
        <is>
          <t>À intégrer après validation du prototype</t>
        </is>
      </c>
      <c r="AV87" s="2" t="inlineStr">
        <is>
          <t>M24 Chaffee : véhicule de catégorie « Char léger conçu avant 1945 », d'origine États-Unis. Motorisation recensée : À rechercher. Fiche de catalogue à compléter avec le rôle tactique et les caractéristiques de jeu.</t>
        </is>
      </c>
    </row>
    <row r="88" ht="60" customHeight="1">
      <c r="A88" s="2" t="inlineStr">
        <is>
          <t>VEH-087</t>
        </is>
      </c>
      <c r="B88" s="2" t="inlineStr">
        <is>
          <t>Chars légers</t>
        </is>
      </c>
      <c r="C88" s="2" t="inlineStr">
        <is>
          <t>T-26</t>
        </is>
      </c>
      <c r="D88" s="2" t="inlineStr">
        <is>
          <t>À distinguer si plusieurs variantes</t>
        </is>
      </c>
      <c r="E88" s="2" t="inlineStr">
        <is>
          <t>URSS</t>
        </is>
      </c>
      <c r="F88" s="2" t="inlineStr">
        <is>
          <t>À documenter</t>
        </is>
      </c>
      <c r="G88" s="2" t="inlineStr">
        <is>
          <t>À confirmer</t>
        </is>
      </c>
      <c r="H88" s="2" t="inlineStr">
        <is>
          <t>Char léger</t>
        </is>
      </c>
      <c r="I88" s="2" t="inlineStr">
        <is>
          <t>À définir</t>
        </is>
      </c>
      <c r="J88" s="2" t="n"/>
      <c r="K88" s="2" t="n"/>
      <c r="L88" s="2" t="n"/>
      <c r="M88" s="2" t="n"/>
      <c r="N88" s="2" t="n"/>
      <c r="O88" s="2" t="n"/>
      <c r="P88" s="2" t="inlineStr">
        <is>
          <t>À rechercher</t>
        </is>
      </c>
      <c r="Q88" s="2" t="n"/>
      <c r="R88" s="2" t="n"/>
      <c r="S88" s="2" t="inlineStr">
        <is>
          <t>À confirmer</t>
        </is>
      </c>
      <c r="T88" s="2" t="n"/>
      <c r="U88" s="2" t="n"/>
      <c r="V88" s="2" t="n"/>
      <c r="W88" s="2" t="n"/>
      <c r="X88" s="2" t="inlineStr">
        <is>
          <t>À documenter</t>
        </is>
      </c>
      <c r="Y88" s="2" t="inlineStr">
        <is>
          <t>À documenter</t>
        </is>
      </c>
      <c r="Z88" s="2" t="inlineStr">
        <is>
          <t>À documenter</t>
        </is>
      </c>
      <c r="AA88" s="2" t="inlineStr">
        <is>
          <t>À documenter</t>
        </is>
      </c>
      <c r="AB88" s="2" t="inlineStr">
        <is>
          <t>À documenter</t>
        </is>
      </c>
      <c r="AC88" s="2" t="inlineStr">
        <is>
          <t>Canon de 37 mm ou 45 mm selon version; mitrailleuses DT de 7,62 mm</t>
        </is>
      </c>
      <c r="AD88" s="2" t="inlineStr">
        <is>
          <t>À documenter</t>
        </is>
      </c>
      <c r="AE88" s="2" t="inlineStr">
        <is>
          <t>À documenter</t>
        </is>
      </c>
      <c r="AF88" s="2" t="inlineStr">
        <is>
          <t>À définir</t>
        </is>
      </c>
      <c r="AG88" s="2" t="inlineStr">
        <is>
          <t>À définir</t>
        </is>
      </c>
      <c r="AH88" s="2" t="inlineStr">
        <is>
          <t>Réparation d’origine si véhicule complet ; démontage si incomplet</t>
        </is>
      </c>
      <c r="AI88" s="2" t="inlineStr">
        <is>
          <t>À documenter</t>
        </is>
      </c>
      <c r="AJ88" s="2" t="inlineStr">
        <is>
          <t>À définir</t>
        </is>
      </c>
      <c r="AK88" s="2" t="inlineStr">
        <is>
          <t>À documenter</t>
        </is>
      </c>
      <c r="AL88" s="2" t="inlineStr">
        <is>
          <t>À rechercher / voir sources historiques</t>
        </is>
      </c>
      <c r="AM88" s="2" t="inlineStr">
        <is>
          <t>À rechercher</t>
        </is>
      </c>
      <c r="AN88" s="2" t="inlineStr">
        <is>
          <t>Source de niveau variable ; contrôle par variante nécessaire</t>
        </is>
      </c>
      <c r="AO88" s="2" t="inlineStr">
        <is>
          <t>Non renseigné</t>
        </is>
      </c>
      <c r="AP88" s="2" t="inlineStr">
        <is>
          <t>Faible</t>
        </is>
      </c>
      <c r="AQ88" s="2" t="inlineStr">
        <is>
          <t>Partiel</t>
        </is>
      </c>
      <c r="AR88" s="2" t="inlineStr">
        <is>
          <t>Partiel — fiche à compléter</t>
        </is>
      </c>
      <c r="AS88" s="2" t="inlineStr">
        <is>
          <t>P2/P3</t>
        </is>
      </c>
      <c r="AT88" s="2" t="inlineStr">
        <is>
          <t>Modèle à valider historiquement avant verrouillage</t>
        </is>
      </c>
      <c r="AU88" s="2" t="inlineStr">
        <is>
          <t>À intégrer après validation du prototype</t>
        </is>
      </c>
      <c r="AV88" s="2" t="inlineStr">
        <is>
          <t>T-26 : véhicule de catégorie « Char léger », d'origine URSS. Motorisation recensée : À rechercher. Fiche de catalogue à compléter avec le rôle tactique et les caractéristiques de jeu.</t>
        </is>
      </c>
    </row>
    <row r="89" ht="60" customHeight="1">
      <c r="A89" s="2" t="inlineStr">
        <is>
          <t>VEH-088</t>
        </is>
      </c>
      <c r="B89" s="2" t="inlineStr">
        <is>
          <t>Chars légers</t>
        </is>
      </c>
      <c r="C89" s="2" t="inlineStr">
        <is>
          <t>BT-5 / BT-7</t>
        </is>
      </c>
      <c r="D89" s="2" t="inlineStr">
        <is>
          <t>À distinguer si plusieurs variantes</t>
        </is>
      </c>
      <c r="E89" s="2" t="inlineStr">
        <is>
          <t>URSS</t>
        </is>
      </c>
      <c r="F89" s="2" t="inlineStr">
        <is>
          <t>À documenter</t>
        </is>
      </c>
      <c r="G89" s="2" t="inlineStr">
        <is>
          <t>À confirmer</t>
        </is>
      </c>
      <c r="H89" s="2" t="inlineStr">
        <is>
          <t>Char léger rapide</t>
        </is>
      </c>
      <c r="I89" s="2" t="inlineStr">
        <is>
          <t>À définir</t>
        </is>
      </c>
      <c r="J89" s="2" t="n"/>
      <c r="K89" s="2" t="n"/>
      <c r="L89" s="2" t="n"/>
      <c r="M89" s="2" t="n"/>
      <c r="N89" s="2" t="n"/>
      <c r="O89" s="2" t="n"/>
      <c r="P89" s="2" t="inlineStr">
        <is>
          <t>À rechercher</t>
        </is>
      </c>
      <c r="Q89" s="2" t="n"/>
      <c r="R89" s="2" t="n"/>
      <c r="S89" s="2" t="inlineStr">
        <is>
          <t>À confirmer</t>
        </is>
      </c>
      <c r="T89" s="2" t="n"/>
      <c r="U89" s="2" t="n"/>
      <c r="V89" s="2" t="n"/>
      <c r="W89" s="2" t="n"/>
      <c r="X89" s="2" t="inlineStr">
        <is>
          <t>À documenter</t>
        </is>
      </c>
      <c r="Y89" s="2" t="inlineStr">
        <is>
          <t>À documenter</t>
        </is>
      </c>
      <c r="Z89" s="2" t="inlineStr">
        <is>
          <t>À documenter</t>
        </is>
      </c>
      <c r="AA89" s="2" t="inlineStr">
        <is>
          <t>À documenter</t>
        </is>
      </c>
      <c r="AB89" s="2" t="inlineStr">
        <is>
          <t>À documenter</t>
        </is>
      </c>
      <c r="AC89" s="2" t="inlineStr">
        <is>
          <t>Canon de 45 mm 20-K; mitrailleuse DT de 7,62 mm</t>
        </is>
      </c>
      <c r="AD89" s="2" t="inlineStr">
        <is>
          <t>À documenter</t>
        </is>
      </c>
      <c r="AE89" s="2" t="inlineStr">
        <is>
          <t>À documenter</t>
        </is>
      </c>
      <c r="AF89" s="2" t="inlineStr">
        <is>
          <t>À définir</t>
        </is>
      </c>
      <c r="AG89" s="2" t="inlineStr">
        <is>
          <t>À définir</t>
        </is>
      </c>
      <c r="AH89" s="2" t="inlineStr">
        <is>
          <t>Réparation d’origine si véhicule complet ; démontage si incomplet</t>
        </is>
      </c>
      <c r="AI89" s="2" t="inlineStr">
        <is>
          <t>À documenter</t>
        </is>
      </c>
      <c r="AJ89" s="2" t="inlineStr">
        <is>
          <t>À définir</t>
        </is>
      </c>
      <c r="AK89" s="2" t="inlineStr">
        <is>
          <t>À documenter</t>
        </is>
      </c>
      <c r="AL89" s="2" t="inlineStr">
        <is>
          <t>À rechercher / voir sources historiques</t>
        </is>
      </c>
      <c r="AM89" s="2" t="inlineStr">
        <is>
          <t>À rechercher</t>
        </is>
      </c>
      <c r="AN89" s="2" t="inlineStr">
        <is>
          <t>Source de niveau variable ; contrôle par variante nécessaire</t>
        </is>
      </c>
      <c r="AO89" s="2" t="inlineStr">
        <is>
          <t>Non renseigné</t>
        </is>
      </c>
      <c r="AP89" s="2" t="inlineStr">
        <is>
          <t>Faible</t>
        </is>
      </c>
      <c r="AQ89" s="2" t="inlineStr">
        <is>
          <t>Élevé</t>
        </is>
      </c>
      <c r="AR89" s="2" t="inlineStr">
        <is>
          <t>Partiel — fiche à compléter</t>
        </is>
      </c>
      <c r="AS89" s="2" t="inlineStr">
        <is>
          <t>P2/P3</t>
        </is>
      </c>
      <c r="AT89" s="2" t="inlineStr">
        <is>
          <t>Modèle à valider historiquement avant verrouillage</t>
        </is>
      </c>
      <c r="AU89" s="2" t="inlineStr">
        <is>
          <t>À intégrer après validation du prototype</t>
        </is>
      </c>
      <c r="AV89" s="2" t="inlineStr">
        <is>
          <t>BT-5 / BT-7 : véhicule de catégorie « Char léger rapide », d'origine URSS. Motorisation recensée : À rechercher. Fiche de catalogue à compléter avec le rôle tactique et les caractéristiques de jeu.</t>
        </is>
      </c>
    </row>
    <row r="90" ht="60" customHeight="1">
      <c r="A90" s="2" t="inlineStr">
        <is>
          <t>VEH-089</t>
        </is>
      </c>
      <c r="B90" s="2" t="inlineStr">
        <is>
          <t>Chars légers</t>
        </is>
      </c>
      <c r="C90" s="2" t="inlineStr">
        <is>
          <t>T-60</t>
        </is>
      </c>
      <c r="D90" s="2" t="inlineStr">
        <is>
          <t>À distinguer si plusieurs variantes</t>
        </is>
      </c>
      <c r="E90" s="2" t="inlineStr">
        <is>
          <t>URSS</t>
        </is>
      </c>
      <c r="F90" s="2" t="inlineStr">
        <is>
          <t>À documenter</t>
        </is>
      </c>
      <c r="G90" s="2" t="inlineStr">
        <is>
          <t>À confirmer</t>
        </is>
      </c>
      <c r="H90" s="2" t="inlineStr">
        <is>
          <t>Char léger</t>
        </is>
      </c>
      <c r="I90" s="2" t="inlineStr">
        <is>
          <t>À définir</t>
        </is>
      </c>
      <c r="J90" s="2" t="n"/>
      <c r="K90" s="2" t="n"/>
      <c r="L90" s="2" t="n"/>
      <c r="M90" s="2" t="n"/>
      <c r="N90" s="2" t="n"/>
      <c r="O90" s="2" t="n"/>
      <c r="P90" s="2" t="inlineStr">
        <is>
          <t>À rechercher</t>
        </is>
      </c>
      <c r="Q90" s="2" t="n"/>
      <c r="R90" s="2" t="n"/>
      <c r="S90" s="2" t="inlineStr">
        <is>
          <t>À confirmer</t>
        </is>
      </c>
      <c r="T90" s="2" t="n"/>
      <c r="U90" s="2" t="n"/>
      <c r="V90" s="2" t="n"/>
      <c r="W90" s="2" t="n"/>
      <c r="X90" s="2" t="inlineStr">
        <is>
          <t>À documenter</t>
        </is>
      </c>
      <c r="Y90" s="2" t="inlineStr">
        <is>
          <t>À documenter</t>
        </is>
      </c>
      <c r="Z90" s="2" t="inlineStr">
        <is>
          <t>À documenter</t>
        </is>
      </c>
      <c r="AA90" s="2" t="inlineStr">
        <is>
          <t>À documenter</t>
        </is>
      </c>
      <c r="AB90" s="2" t="inlineStr">
        <is>
          <t>À documenter</t>
        </is>
      </c>
      <c r="AC90" s="2" t="inlineStr">
        <is>
          <t>Armement historique à déterminer précisément pour ce modèle/sa variante</t>
        </is>
      </c>
      <c r="AD90" s="2" t="inlineStr">
        <is>
          <t>À documenter</t>
        </is>
      </c>
      <c r="AE90" s="2" t="inlineStr">
        <is>
          <t>À documenter</t>
        </is>
      </c>
      <c r="AF90" s="2" t="inlineStr">
        <is>
          <t>À définir</t>
        </is>
      </c>
      <c r="AG90" s="2" t="inlineStr">
        <is>
          <t>À définir</t>
        </is>
      </c>
      <c r="AH90" s="2" t="inlineStr">
        <is>
          <t>Réparation d’origine si véhicule complet ; démontage si incomplet</t>
        </is>
      </c>
      <c r="AI90" s="2" t="inlineStr">
        <is>
          <t>À documenter</t>
        </is>
      </c>
      <c r="AJ90" s="2" t="inlineStr">
        <is>
          <t>À définir</t>
        </is>
      </c>
      <c r="AK90" s="2" t="inlineStr">
        <is>
          <t>À documenter</t>
        </is>
      </c>
      <c r="AL90" s="2" t="inlineStr">
        <is>
          <t>À rechercher / voir sources historiques</t>
        </is>
      </c>
      <c r="AM90" s="2" t="inlineStr">
        <is>
          <t>À rechercher</t>
        </is>
      </c>
      <c r="AN90" s="2" t="inlineStr">
        <is>
          <t>Source de niveau variable ; contrôle par variante nécessaire</t>
        </is>
      </c>
      <c r="AO90" s="2" t="inlineStr">
        <is>
          <t>Non renseigné</t>
        </is>
      </c>
      <c r="AP90" s="2" t="inlineStr">
        <is>
          <t>Faible</t>
        </is>
      </c>
      <c r="AQ90" s="2" t="inlineStr">
        <is>
          <t>À vérifier</t>
        </is>
      </c>
      <c r="AR90" s="2" t="inlineStr">
        <is>
          <t>Partiel — fiche à compléter</t>
        </is>
      </c>
      <c r="AS90" s="2" t="inlineStr">
        <is>
          <t>P2/P3</t>
        </is>
      </c>
      <c r="AT90" s="2" t="inlineStr">
        <is>
          <t>Modèle à valider historiquement avant verrouillage</t>
        </is>
      </c>
      <c r="AU90" s="2" t="inlineStr">
        <is>
          <t>À intégrer après validation du prototype</t>
        </is>
      </c>
      <c r="AV90" s="2" t="inlineStr">
        <is>
          <t>T-60 : véhicule de catégorie « Char léger », d'origine URSS. Motorisation recensée : À rechercher. Fiche de catalogue à compléter avec le rôle tactique et les caractéristiques de jeu.</t>
        </is>
      </c>
    </row>
    <row r="91" ht="60" customHeight="1">
      <c r="A91" s="2" t="inlineStr">
        <is>
          <t>VEH-090</t>
        </is>
      </c>
      <c r="B91" s="2" t="inlineStr">
        <is>
          <t>Chars légers</t>
        </is>
      </c>
      <c r="C91" s="2" t="inlineStr">
        <is>
          <t>T-70</t>
        </is>
      </c>
      <c r="D91" s="2" t="inlineStr">
        <is>
          <t>À distinguer si plusieurs variantes</t>
        </is>
      </c>
      <c r="E91" s="2" t="inlineStr">
        <is>
          <t>URSS</t>
        </is>
      </c>
      <c r="F91" s="2" t="inlineStr">
        <is>
          <t>À documenter</t>
        </is>
      </c>
      <c r="G91" s="2" t="inlineStr">
        <is>
          <t>À confirmer</t>
        </is>
      </c>
      <c r="H91" s="2" t="inlineStr">
        <is>
          <t>Char léger</t>
        </is>
      </c>
      <c r="I91" s="2" t="inlineStr">
        <is>
          <t>À définir</t>
        </is>
      </c>
      <c r="J91" s="2" t="n"/>
      <c r="K91" s="2" t="n"/>
      <c r="L91" s="2" t="n"/>
      <c r="M91" s="2" t="n"/>
      <c r="N91" s="2" t="n"/>
      <c r="O91" s="2" t="n"/>
      <c r="P91" s="2" t="inlineStr">
        <is>
          <t>À rechercher</t>
        </is>
      </c>
      <c r="Q91" s="2" t="n"/>
      <c r="R91" s="2" t="n"/>
      <c r="S91" s="2" t="inlineStr">
        <is>
          <t>À confirmer</t>
        </is>
      </c>
      <c r="T91" s="2" t="n"/>
      <c r="U91" s="2" t="n"/>
      <c r="V91" s="2" t="n"/>
      <c r="W91" s="2" t="n"/>
      <c r="X91" s="2" t="inlineStr">
        <is>
          <t>À documenter</t>
        </is>
      </c>
      <c r="Y91" s="2" t="inlineStr">
        <is>
          <t>À documenter</t>
        </is>
      </c>
      <c r="Z91" s="2" t="inlineStr">
        <is>
          <t>À documenter</t>
        </is>
      </c>
      <c r="AA91" s="2" t="inlineStr">
        <is>
          <t>À documenter</t>
        </is>
      </c>
      <c r="AB91" s="2" t="inlineStr">
        <is>
          <t>À documenter</t>
        </is>
      </c>
      <c r="AC91" s="2" t="inlineStr">
        <is>
          <t>Armement historique à déterminer précisément pour ce modèle/sa variante</t>
        </is>
      </c>
      <c r="AD91" s="2" t="inlineStr">
        <is>
          <t>À documenter</t>
        </is>
      </c>
      <c r="AE91" s="2" t="inlineStr">
        <is>
          <t>À documenter</t>
        </is>
      </c>
      <c r="AF91" s="2" t="inlineStr">
        <is>
          <t>À définir</t>
        </is>
      </c>
      <c r="AG91" s="2" t="inlineStr">
        <is>
          <t>À définir</t>
        </is>
      </c>
      <c r="AH91" s="2" t="inlineStr">
        <is>
          <t>Réparation d’origine si véhicule complet ; démontage si incomplet</t>
        </is>
      </c>
      <c r="AI91" s="2" t="inlineStr">
        <is>
          <t>À documenter</t>
        </is>
      </c>
      <c r="AJ91" s="2" t="inlineStr">
        <is>
          <t>À définir</t>
        </is>
      </c>
      <c r="AK91" s="2" t="inlineStr">
        <is>
          <t>À documenter</t>
        </is>
      </c>
      <c r="AL91" s="2" t="inlineStr">
        <is>
          <t>À rechercher / voir sources historiques</t>
        </is>
      </c>
      <c r="AM91" s="2" t="inlineStr">
        <is>
          <t>À rechercher</t>
        </is>
      </c>
      <c r="AN91" s="2" t="inlineStr">
        <is>
          <t>Source de niveau variable ; contrôle par variante nécessaire</t>
        </is>
      </c>
      <c r="AO91" s="2" t="inlineStr">
        <is>
          <t>Non renseigné</t>
        </is>
      </c>
      <c r="AP91" s="2" t="inlineStr">
        <is>
          <t>Faible</t>
        </is>
      </c>
      <c r="AQ91" s="2" t="inlineStr">
        <is>
          <t>À vérifier</t>
        </is>
      </c>
      <c r="AR91" s="2" t="inlineStr">
        <is>
          <t>Partiel — fiche à compléter</t>
        </is>
      </c>
      <c r="AS91" s="2" t="inlineStr">
        <is>
          <t>P2/P3</t>
        </is>
      </c>
      <c r="AT91" s="2" t="inlineStr">
        <is>
          <t>Modèle à valider historiquement avant verrouillage</t>
        </is>
      </c>
      <c r="AU91" s="2" t="inlineStr">
        <is>
          <t>À intégrer après validation du prototype</t>
        </is>
      </c>
      <c r="AV91" s="2" t="inlineStr">
        <is>
          <t>T-70 : véhicule de catégorie « Char léger », d'origine URSS. Motorisation recensée : À rechercher. Fiche de catalogue à compléter avec le rôle tactique et les caractéristiques de jeu.</t>
        </is>
      </c>
    </row>
    <row r="92" ht="60" customHeight="1">
      <c r="A92" s="2" t="inlineStr">
        <is>
          <t>VEH-091</t>
        </is>
      </c>
      <c r="B92" s="2" t="inlineStr">
        <is>
          <t>Chars légers</t>
        </is>
      </c>
      <c r="C92" s="2" t="inlineStr">
        <is>
          <t>Panzer II</t>
        </is>
      </c>
      <c r="D92" s="2" t="inlineStr">
        <is>
          <t>À distinguer si plusieurs variantes</t>
        </is>
      </c>
      <c r="E92" s="2" t="inlineStr">
        <is>
          <t>Allemagne</t>
        </is>
      </c>
      <c r="F92" s="2" t="inlineStr">
        <is>
          <t>À documenter</t>
        </is>
      </c>
      <c r="G92" s="2" t="inlineStr">
        <is>
          <t>À confirmer</t>
        </is>
      </c>
      <c r="H92" s="2" t="inlineStr">
        <is>
          <t>Char léger</t>
        </is>
      </c>
      <c r="I92" s="2" t="inlineStr">
        <is>
          <t>À définir</t>
        </is>
      </c>
      <c r="J92" s="2" t="n"/>
      <c r="K92" s="2" t="n"/>
      <c r="L92" s="2" t="n"/>
      <c r="M92" s="2" t="n"/>
      <c r="N92" s="2" t="n"/>
      <c r="O92" s="2" t="n"/>
      <c r="P92" s="2" t="inlineStr">
        <is>
          <t>À rechercher</t>
        </is>
      </c>
      <c r="Q92" s="2" t="n"/>
      <c r="R92" s="2" t="n"/>
      <c r="S92" s="2" t="inlineStr">
        <is>
          <t>À confirmer</t>
        </is>
      </c>
      <c r="T92" s="2" t="n"/>
      <c r="U92" s="2" t="n"/>
      <c r="V92" s="2" t="n"/>
      <c r="W92" s="2" t="n"/>
      <c r="X92" s="2" t="inlineStr">
        <is>
          <t>À documenter</t>
        </is>
      </c>
      <c r="Y92" s="2" t="inlineStr">
        <is>
          <t>À documenter</t>
        </is>
      </c>
      <c r="Z92" s="2" t="inlineStr">
        <is>
          <t>À documenter</t>
        </is>
      </c>
      <c r="AA92" s="2" t="inlineStr">
        <is>
          <t>À documenter</t>
        </is>
      </c>
      <c r="AB92" s="2" t="inlineStr">
        <is>
          <t>À documenter</t>
        </is>
      </c>
      <c r="AC92" s="2" t="inlineStr">
        <is>
          <t>2 mitrailleuses MG 13 de 7,92 mm</t>
        </is>
      </c>
      <c r="AD92" s="2" t="inlineStr">
        <is>
          <t>À documenter</t>
        </is>
      </c>
      <c r="AE92" s="2" t="inlineStr">
        <is>
          <t>À documenter</t>
        </is>
      </c>
      <c r="AF92" s="2" t="inlineStr">
        <is>
          <t>À définir</t>
        </is>
      </c>
      <c r="AG92" s="2" t="inlineStr">
        <is>
          <t>À définir</t>
        </is>
      </c>
      <c r="AH92" s="2" t="inlineStr">
        <is>
          <t>Réparation d’origine si véhicule complet ; démontage si incomplet</t>
        </is>
      </c>
      <c r="AI92" s="2" t="inlineStr">
        <is>
          <t>À documenter</t>
        </is>
      </c>
      <c r="AJ92" s="2" t="inlineStr">
        <is>
          <t>À définir</t>
        </is>
      </c>
      <c r="AK92" s="2" t="inlineStr">
        <is>
          <t>À documenter</t>
        </is>
      </c>
      <c r="AL92" s="2" t="inlineStr">
        <is>
          <t>À rechercher / voir sources historiques</t>
        </is>
      </c>
      <c r="AM92" s="2" t="inlineStr">
        <is>
          <t>À rechercher</t>
        </is>
      </c>
      <c r="AN92" s="2" t="inlineStr">
        <is>
          <t>Source de niveau variable ; contrôle par variante nécessaire</t>
        </is>
      </c>
      <c r="AO92" s="2" t="inlineStr">
        <is>
          <t>Non renseigné</t>
        </is>
      </c>
      <c r="AP92" s="2" t="inlineStr">
        <is>
          <t>Faible</t>
        </is>
      </c>
      <c r="AQ92" s="2" t="inlineStr">
        <is>
          <t>Élevé</t>
        </is>
      </c>
      <c r="AR92" s="2" t="inlineStr">
        <is>
          <t>Partiel — fiche à compléter</t>
        </is>
      </c>
      <c r="AS92" s="2" t="inlineStr">
        <is>
          <t>P2/P3</t>
        </is>
      </c>
      <c r="AT92" s="2" t="inlineStr">
        <is>
          <t>Modèle à valider historiquement avant verrouillage</t>
        </is>
      </c>
      <c r="AU92" s="2" t="inlineStr">
        <is>
          <t>À intégrer après validation du prototype</t>
        </is>
      </c>
      <c r="AV92" s="2" t="inlineStr">
        <is>
          <t>Panzer II : véhicule de catégorie « Char léger », d'origine Allemagne. Motorisation recensée : À rechercher. Fiche de catalogue à compléter avec le rôle tactique et les caractéristiques de jeu.</t>
        </is>
      </c>
    </row>
    <row r="93" ht="60" customHeight="1">
      <c r="A93" s="2" t="inlineStr">
        <is>
          <t>VEH-092</t>
        </is>
      </c>
      <c r="B93" s="2" t="inlineStr">
        <is>
          <t>Chars légers</t>
        </is>
      </c>
      <c r="C93" s="2" t="inlineStr">
        <is>
          <t>Panzer 38(t)</t>
        </is>
      </c>
      <c r="D93" s="2" t="inlineStr">
        <is>
          <t>À distinguer si plusieurs variantes</t>
        </is>
      </c>
      <c r="E93" s="2" t="inlineStr">
        <is>
          <t>Tchécoslovaquie/Allemagne</t>
        </is>
      </c>
      <c r="F93" s="2" t="inlineStr">
        <is>
          <t>À documenter</t>
        </is>
      </c>
      <c r="G93" s="2" t="inlineStr">
        <is>
          <t>À confirmer</t>
        </is>
      </c>
      <c r="H93" s="2" t="inlineStr">
        <is>
          <t>Char léger</t>
        </is>
      </c>
      <c r="I93" s="2" t="inlineStr">
        <is>
          <t>À définir</t>
        </is>
      </c>
      <c r="J93" s="2" t="n"/>
      <c r="K93" s="2" t="n"/>
      <c r="L93" s="2" t="n"/>
      <c r="M93" s="2" t="n"/>
      <c r="N93" s="2" t="n"/>
      <c r="O93" s="2" t="n"/>
      <c r="P93" s="2" t="inlineStr">
        <is>
          <t>À rechercher</t>
        </is>
      </c>
      <c r="Q93" s="2" t="n"/>
      <c r="R93" s="2" t="n"/>
      <c r="S93" s="2" t="inlineStr">
        <is>
          <t>À confirmer</t>
        </is>
      </c>
      <c r="T93" s="2" t="n"/>
      <c r="U93" s="2" t="n"/>
      <c r="V93" s="2" t="n"/>
      <c r="W93" s="2" t="n"/>
      <c r="X93" s="2" t="inlineStr">
        <is>
          <t>À documenter</t>
        </is>
      </c>
      <c r="Y93" s="2" t="inlineStr">
        <is>
          <t>À documenter</t>
        </is>
      </c>
      <c r="Z93" s="2" t="inlineStr">
        <is>
          <t>À documenter</t>
        </is>
      </c>
      <c r="AA93" s="2" t="inlineStr">
        <is>
          <t>À documenter</t>
        </is>
      </c>
      <c r="AB93" s="2" t="inlineStr">
        <is>
          <t>À documenter</t>
        </is>
      </c>
      <c r="AC93" s="2" t="inlineStr">
        <is>
          <t>Armement historique à déterminer précisément pour ce modèle/sa variante</t>
        </is>
      </c>
      <c r="AD93" s="2" t="inlineStr">
        <is>
          <t>À documenter</t>
        </is>
      </c>
      <c r="AE93" s="2" t="inlineStr">
        <is>
          <t>À documenter</t>
        </is>
      </c>
      <c r="AF93" s="2" t="inlineStr">
        <is>
          <t>À définir</t>
        </is>
      </c>
      <c r="AG93" s="2" t="inlineStr">
        <is>
          <t>À définir</t>
        </is>
      </c>
      <c r="AH93" s="2" t="inlineStr">
        <is>
          <t>Réparation d’origine si véhicule complet ; démontage si incomplet</t>
        </is>
      </c>
      <c r="AI93" s="2" t="inlineStr">
        <is>
          <t>À documenter</t>
        </is>
      </c>
      <c r="AJ93" s="2" t="inlineStr">
        <is>
          <t>À définir</t>
        </is>
      </c>
      <c r="AK93" s="2" t="inlineStr">
        <is>
          <t>À documenter</t>
        </is>
      </c>
      <c r="AL93" s="2" t="inlineStr">
        <is>
          <t>À rechercher / voir sources historiques</t>
        </is>
      </c>
      <c r="AM93" s="2" t="inlineStr">
        <is>
          <t>À rechercher</t>
        </is>
      </c>
      <c r="AN93" s="2" t="inlineStr">
        <is>
          <t>Source de niveau variable ; contrôle par variante nécessaire</t>
        </is>
      </c>
      <c r="AO93" s="2" t="inlineStr">
        <is>
          <t>Non renseigné</t>
        </is>
      </c>
      <c r="AP93" s="2" t="inlineStr">
        <is>
          <t>Faible</t>
        </is>
      </c>
      <c r="AQ93" s="2" t="inlineStr">
        <is>
          <t>À vérifier</t>
        </is>
      </c>
      <c r="AR93" s="2" t="inlineStr">
        <is>
          <t>Partiel — fiche à compléter</t>
        </is>
      </c>
      <c r="AS93" s="2" t="inlineStr">
        <is>
          <t>P2/P3</t>
        </is>
      </c>
      <c r="AT93" s="2" t="inlineStr">
        <is>
          <t>Modèle à valider historiquement avant verrouillage</t>
        </is>
      </c>
      <c r="AU93" s="2" t="inlineStr">
        <is>
          <t>À intégrer après validation du prototype</t>
        </is>
      </c>
      <c r="AV93" s="2" t="inlineStr">
        <is>
          <t>Panzer 38(t) : véhicule de catégorie « Char léger », d'origine Tchécoslovaquie/Allemagne. Motorisation recensée : À rechercher. Fiche de catalogue à compléter avec le rôle tactique et les caractéristiques de jeu.</t>
        </is>
      </c>
    </row>
    <row r="94" ht="60" customHeight="1">
      <c r="A94" s="2" t="inlineStr">
        <is>
          <t>VEH-093</t>
        </is>
      </c>
      <c r="B94" s="2" t="inlineStr">
        <is>
          <t>Chars légers</t>
        </is>
      </c>
      <c r="C94" s="2" t="inlineStr">
        <is>
          <t>Renault R35</t>
        </is>
      </c>
      <c r="D94" s="2" t="inlineStr">
        <is>
          <t>À distinguer si plusieurs variantes</t>
        </is>
      </c>
      <c r="E94" s="2" t="inlineStr">
        <is>
          <t>France</t>
        </is>
      </c>
      <c r="F94" s="2" t="inlineStr">
        <is>
          <t>À documenter</t>
        </is>
      </c>
      <c r="G94" s="2" t="inlineStr">
        <is>
          <t>À confirmer</t>
        </is>
      </c>
      <c r="H94" s="2" t="inlineStr">
        <is>
          <t>Char léger</t>
        </is>
      </c>
      <c r="I94" s="2" t="inlineStr">
        <is>
          <t>À définir</t>
        </is>
      </c>
      <c r="J94" s="2" t="n"/>
      <c r="K94" s="2" t="n"/>
      <c r="L94" s="2" t="n"/>
      <c r="M94" s="2" t="n"/>
      <c r="N94" s="2" t="n"/>
      <c r="O94" s="2" t="n"/>
      <c r="P94" s="2" t="inlineStr">
        <is>
          <t>À rechercher</t>
        </is>
      </c>
      <c r="Q94" s="2" t="n"/>
      <c r="R94" s="2" t="n"/>
      <c r="S94" s="2" t="inlineStr">
        <is>
          <t>À confirmer</t>
        </is>
      </c>
      <c r="T94" s="2" t="n"/>
      <c r="U94" s="2" t="n"/>
      <c r="V94" s="2" t="n"/>
      <c r="W94" s="2" t="n"/>
      <c r="X94" s="2" t="inlineStr">
        <is>
          <t>À documenter</t>
        </is>
      </c>
      <c r="Y94" s="2" t="inlineStr">
        <is>
          <t>À documenter</t>
        </is>
      </c>
      <c r="Z94" s="2" t="inlineStr">
        <is>
          <t>À documenter</t>
        </is>
      </c>
      <c r="AA94" s="2" t="inlineStr">
        <is>
          <t>À documenter</t>
        </is>
      </c>
      <c r="AB94" s="2" t="inlineStr">
        <is>
          <t>À documenter</t>
        </is>
      </c>
      <c r="AC94" s="2" t="inlineStr">
        <is>
          <t>Armement historique à déterminer précisément pour ce modèle/sa variante</t>
        </is>
      </c>
      <c r="AD94" s="2" t="inlineStr">
        <is>
          <t>À documenter</t>
        </is>
      </c>
      <c r="AE94" s="2" t="inlineStr">
        <is>
          <t>À documenter</t>
        </is>
      </c>
      <c r="AF94" s="2" t="inlineStr">
        <is>
          <t>À définir</t>
        </is>
      </c>
      <c r="AG94" s="2" t="inlineStr">
        <is>
          <t>À définir</t>
        </is>
      </c>
      <c r="AH94" s="2" t="inlineStr">
        <is>
          <t>Réparation d’origine si véhicule complet ; démontage si incomplet</t>
        </is>
      </c>
      <c r="AI94" s="2" t="inlineStr">
        <is>
          <t>À documenter</t>
        </is>
      </c>
      <c r="AJ94" s="2" t="inlineStr">
        <is>
          <t>À définir</t>
        </is>
      </c>
      <c r="AK94" s="2" t="inlineStr">
        <is>
          <t>À documenter</t>
        </is>
      </c>
      <c r="AL94" s="2" t="inlineStr">
        <is>
          <t>À rechercher / voir sources historiques</t>
        </is>
      </c>
      <c r="AM94" s="2" t="inlineStr">
        <is>
          <t>À rechercher</t>
        </is>
      </c>
      <c r="AN94" s="2" t="inlineStr">
        <is>
          <t>Source de niveau variable ; contrôle par variante nécessaire</t>
        </is>
      </c>
      <c r="AO94" s="2" t="inlineStr">
        <is>
          <t>Non renseigné</t>
        </is>
      </c>
      <c r="AP94" s="2" t="inlineStr">
        <is>
          <t>Faible</t>
        </is>
      </c>
      <c r="AQ94" s="2" t="inlineStr">
        <is>
          <t>À vérifier</t>
        </is>
      </c>
      <c r="AR94" s="2" t="inlineStr">
        <is>
          <t>Partiel — fiche à compléter</t>
        </is>
      </c>
      <c r="AS94" s="2" t="inlineStr">
        <is>
          <t>P2/P3</t>
        </is>
      </c>
      <c r="AT94" s="2" t="inlineStr">
        <is>
          <t>Modèle à valider historiquement avant verrouillage</t>
        </is>
      </c>
      <c r="AU94" s="2" t="inlineStr">
        <is>
          <t>À intégrer après validation du prototype</t>
        </is>
      </c>
      <c r="AV94" s="2" t="inlineStr">
        <is>
          <t>Renault R35 : véhicule de catégorie « Char léger », d'origine France. Motorisation recensée : À rechercher. Fiche de catalogue à compléter avec le rôle tactique et les caractéristiques de jeu.</t>
        </is>
      </c>
    </row>
    <row r="95" ht="60" customHeight="1">
      <c r="A95" s="2" t="inlineStr">
        <is>
          <t>VEH-094</t>
        </is>
      </c>
      <c r="B95" s="2" t="inlineStr">
        <is>
          <t>Chars légers</t>
        </is>
      </c>
      <c r="C95" s="2" t="inlineStr">
        <is>
          <t>Hotchkiss H35 / H39</t>
        </is>
      </c>
      <c r="D95" s="2" t="inlineStr">
        <is>
          <t>À distinguer si plusieurs variantes</t>
        </is>
      </c>
      <c r="E95" s="2" t="inlineStr">
        <is>
          <t>France</t>
        </is>
      </c>
      <c r="F95" s="2" t="inlineStr">
        <is>
          <t>À documenter</t>
        </is>
      </c>
      <c r="G95" s="2" t="inlineStr">
        <is>
          <t>À confirmer</t>
        </is>
      </c>
      <c r="H95" s="2" t="inlineStr">
        <is>
          <t>Char léger</t>
        </is>
      </c>
      <c r="I95" s="2" t="inlineStr">
        <is>
          <t>À définir</t>
        </is>
      </c>
      <c r="J95" s="2" t="n"/>
      <c r="K95" s="2" t="n"/>
      <c r="L95" s="2" t="n"/>
      <c r="M95" s="2" t="n"/>
      <c r="N95" s="2" t="n"/>
      <c r="O95" s="2" t="n"/>
      <c r="P95" s="2" t="inlineStr">
        <is>
          <t>À rechercher</t>
        </is>
      </c>
      <c r="Q95" s="2" t="n"/>
      <c r="R95" s="2" t="n"/>
      <c r="S95" s="2" t="inlineStr">
        <is>
          <t>À confirmer</t>
        </is>
      </c>
      <c r="T95" s="2" t="n"/>
      <c r="U95" s="2" t="n"/>
      <c r="V95" s="2" t="n"/>
      <c r="W95" s="2" t="n"/>
      <c r="X95" s="2" t="inlineStr">
        <is>
          <t>À documenter</t>
        </is>
      </c>
      <c r="Y95" s="2" t="inlineStr">
        <is>
          <t>À documenter</t>
        </is>
      </c>
      <c r="Z95" s="2" t="inlineStr">
        <is>
          <t>À documenter</t>
        </is>
      </c>
      <c r="AA95" s="2" t="inlineStr">
        <is>
          <t>À documenter</t>
        </is>
      </c>
      <c r="AB95" s="2" t="inlineStr">
        <is>
          <t>À documenter</t>
        </is>
      </c>
      <c r="AC95" s="2" t="inlineStr">
        <is>
          <t>Armement historique à déterminer précisément pour ce modèle/sa variante</t>
        </is>
      </c>
      <c r="AD95" s="2" t="inlineStr">
        <is>
          <t>À documenter</t>
        </is>
      </c>
      <c r="AE95" s="2" t="inlineStr">
        <is>
          <t>À documenter</t>
        </is>
      </c>
      <c r="AF95" s="2" t="inlineStr">
        <is>
          <t>À définir</t>
        </is>
      </c>
      <c r="AG95" s="2" t="inlineStr">
        <is>
          <t>À définir</t>
        </is>
      </c>
      <c r="AH95" s="2" t="inlineStr">
        <is>
          <t>Réparation d’origine si véhicule complet ; démontage si incomplet</t>
        </is>
      </c>
      <c r="AI95" s="2" t="inlineStr">
        <is>
          <t>À documenter</t>
        </is>
      </c>
      <c r="AJ95" s="2" t="inlineStr">
        <is>
          <t>À définir</t>
        </is>
      </c>
      <c r="AK95" s="2" t="inlineStr">
        <is>
          <t>À documenter</t>
        </is>
      </c>
      <c r="AL95" s="2" t="inlineStr">
        <is>
          <t>À rechercher / voir sources historiques</t>
        </is>
      </c>
      <c r="AM95" s="2" t="inlineStr">
        <is>
          <t>À rechercher</t>
        </is>
      </c>
      <c r="AN95" s="2" t="inlineStr">
        <is>
          <t>Source de niveau variable ; contrôle par variante nécessaire</t>
        </is>
      </c>
      <c r="AO95" s="2" t="inlineStr">
        <is>
          <t>Non renseigné</t>
        </is>
      </c>
      <c r="AP95" s="2" t="inlineStr">
        <is>
          <t>Faible</t>
        </is>
      </c>
      <c r="AQ95" s="2" t="inlineStr">
        <is>
          <t>À vérifier</t>
        </is>
      </c>
      <c r="AR95" s="2" t="inlineStr">
        <is>
          <t>Partiel — fiche à compléter</t>
        </is>
      </c>
      <c r="AS95" s="2" t="inlineStr">
        <is>
          <t>P2/P3</t>
        </is>
      </c>
      <c r="AT95" s="2" t="inlineStr">
        <is>
          <t>Modèle à valider historiquement avant verrouillage</t>
        </is>
      </c>
      <c r="AU95" s="2" t="inlineStr">
        <is>
          <t>À intégrer après validation du prototype</t>
        </is>
      </c>
      <c r="AV95" s="2" t="inlineStr">
        <is>
          <t>Hotchkiss H35 / H39 : véhicule de catégorie « Char léger », d'origine France. Motorisation recensée : À rechercher. Fiche de catalogue à compléter avec le rôle tactique et les caractéristiques de jeu.</t>
        </is>
      </c>
    </row>
    <row r="96" ht="60" customHeight="1">
      <c r="A96" s="2" t="inlineStr">
        <is>
          <t>VEH-095</t>
        </is>
      </c>
      <c r="B96" s="2" t="inlineStr">
        <is>
          <t>Chars légers</t>
        </is>
      </c>
      <c r="C96" s="2" t="inlineStr">
        <is>
          <t>Fiat L3/35</t>
        </is>
      </c>
      <c r="D96" s="2" t="inlineStr">
        <is>
          <t>À distinguer si plusieurs variantes</t>
        </is>
      </c>
      <c r="E96" s="2" t="inlineStr">
        <is>
          <t>Italie</t>
        </is>
      </c>
      <c r="F96" s="2" t="inlineStr">
        <is>
          <t>À documenter</t>
        </is>
      </c>
      <c r="G96" s="2" t="inlineStr">
        <is>
          <t>À confirmer</t>
        </is>
      </c>
      <c r="H96" s="2" t="inlineStr">
        <is>
          <t>Tankette</t>
        </is>
      </c>
      <c r="I96" s="2" t="inlineStr">
        <is>
          <t>À définir</t>
        </is>
      </c>
      <c r="J96" s="2" t="n"/>
      <c r="K96" s="2" t="n"/>
      <c r="L96" s="2" t="n"/>
      <c r="M96" s="2" t="n"/>
      <c r="N96" s="2" t="n"/>
      <c r="O96" s="2" t="n"/>
      <c r="P96" s="2" t="inlineStr">
        <is>
          <t>À rechercher</t>
        </is>
      </c>
      <c r="Q96" s="2" t="n"/>
      <c r="R96" s="2" t="n"/>
      <c r="S96" s="2" t="inlineStr">
        <is>
          <t>À confirmer</t>
        </is>
      </c>
      <c r="T96" s="2" t="n"/>
      <c r="U96" s="2" t="n"/>
      <c r="V96" s="2" t="n"/>
      <c r="W96" s="2" t="n"/>
      <c r="X96" s="2" t="inlineStr">
        <is>
          <t>À documenter</t>
        </is>
      </c>
      <c r="Y96" s="2" t="inlineStr">
        <is>
          <t>À documenter</t>
        </is>
      </c>
      <c r="Z96" s="2" t="inlineStr">
        <is>
          <t>À documenter</t>
        </is>
      </c>
      <c r="AA96" s="2" t="inlineStr">
        <is>
          <t>À documenter</t>
        </is>
      </c>
      <c r="AB96" s="2" t="inlineStr">
        <is>
          <t>À documenter</t>
        </is>
      </c>
      <c r="AC96" s="2" t="inlineStr">
        <is>
          <t>Armement historique à déterminer précisément pour ce modèle/sa variante</t>
        </is>
      </c>
      <c r="AD96" s="2" t="inlineStr">
        <is>
          <t>À documenter</t>
        </is>
      </c>
      <c r="AE96" s="2" t="inlineStr">
        <is>
          <t>À documenter</t>
        </is>
      </c>
      <c r="AF96" s="2" t="inlineStr">
        <is>
          <t>À définir</t>
        </is>
      </c>
      <c r="AG96" s="2" t="inlineStr">
        <is>
          <t>À définir</t>
        </is>
      </c>
      <c r="AH96" s="2" t="inlineStr">
        <is>
          <t>Réparation d’origine si véhicule complet ; démontage si incomplet</t>
        </is>
      </c>
      <c r="AI96" s="2" t="inlineStr">
        <is>
          <t>À documenter</t>
        </is>
      </c>
      <c r="AJ96" s="2" t="inlineStr">
        <is>
          <t>À définir</t>
        </is>
      </c>
      <c r="AK96" s="2" t="inlineStr">
        <is>
          <t>À documenter</t>
        </is>
      </c>
      <c r="AL96" s="2" t="inlineStr">
        <is>
          <t>À rechercher / voir sources historiques</t>
        </is>
      </c>
      <c r="AM96" s="2" t="inlineStr">
        <is>
          <t>À rechercher</t>
        </is>
      </c>
      <c r="AN96" s="2" t="inlineStr">
        <is>
          <t>Source de niveau variable ; contrôle par variante nécessaire</t>
        </is>
      </c>
      <c r="AO96" s="2" t="inlineStr">
        <is>
          <t>Non renseigné</t>
        </is>
      </c>
      <c r="AP96" s="2" t="inlineStr">
        <is>
          <t>Faible</t>
        </is>
      </c>
      <c r="AQ96" s="2" t="inlineStr">
        <is>
          <t>À vérifier</t>
        </is>
      </c>
      <c r="AR96" s="2" t="inlineStr">
        <is>
          <t>Partiel — fiche à compléter</t>
        </is>
      </c>
      <c r="AS96" s="2" t="inlineStr">
        <is>
          <t>P2/P3</t>
        </is>
      </c>
      <c r="AT96" s="2" t="inlineStr">
        <is>
          <t>Modèle à valider historiquement avant verrouillage</t>
        </is>
      </c>
      <c r="AU96" s="2" t="inlineStr">
        <is>
          <t>À intégrer après validation du prototype</t>
        </is>
      </c>
      <c r="AV96" s="2" t="inlineStr">
        <is>
          <t>Fiat L3/35 : véhicule de catégorie « Tankette », d'origine Italie. Motorisation recensée : À rechercher. Fiche de catalogue à compléter avec le rôle tactique et les caractéristiques de jeu.</t>
        </is>
      </c>
    </row>
    <row r="97" ht="60" customHeight="1">
      <c r="A97" s="2" t="inlineStr">
        <is>
          <t>VEH-096</t>
        </is>
      </c>
      <c r="B97" s="2" t="inlineStr">
        <is>
          <t>Chars moyens</t>
        </is>
      </c>
      <c r="C97" s="2" t="inlineStr">
        <is>
          <t>M4 Sherman</t>
        </is>
      </c>
      <c r="D97" s="2" t="inlineStr">
        <is>
          <t>À distinguer si plusieurs variantes</t>
        </is>
      </c>
      <c r="E97" s="2" t="inlineStr">
        <is>
          <t>États-Unis</t>
        </is>
      </c>
      <c r="F97" s="2" t="inlineStr">
        <is>
          <t>À documenter</t>
        </is>
      </c>
      <c r="G97" s="2" t="inlineStr">
        <is>
          <t>À confirmer</t>
        </is>
      </c>
      <c r="H97" s="2" t="inlineStr">
        <is>
          <t>Char moyen</t>
        </is>
      </c>
      <c r="I97" s="2" t="inlineStr">
        <is>
          <t>À définir</t>
        </is>
      </c>
      <c r="J97" s="2" t="n">
        <v>30300</v>
      </c>
      <c r="K97" s="2" t="n"/>
      <c r="L97" s="2" t="n">
        <v>5.89</v>
      </c>
      <c r="M97" s="2" t="n">
        <v>2.62</v>
      </c>
      <c r="N97" s="2" t="n">
        <v>2.74</v>
      </c>
      <c r="O97" s="2" t="n"/>
      <c r="P97" s="2" t="inlineStr">
        <is>
          <t>À rechercher</t>
        </is>
      </c>
      <c r="Q97" s="2" t="n"/>
      <c r="R97" s="2" t="n">
        <v>400</v>
      </c>
      <c r="S97" s="2" t="inlineStr">
        <is>
          <t>Essence</t>
        </is>
      </c>
      <c r="T97" s="2" t="n"/>
      <c r="U97" s="2" t="n"/>
      <c r="V97" s="2" t="n">
        <v>38</v>
      </c>
      <c r="W97" s="2" t="n"/>
      <c r="X97" s="2" t="inlineStr">
        <is>
          <t>5</t>
        </is>
      </c>
      <c r="Y97" s="2" t="inlineStr">
        <is>
          <t>À documenter</t>
        </is>
      </c>
      <c r="Z97" s="2" t="inlineStr">
        <is>
          <t>À documenter</t>
        </is>
      </c>
      <c r="AA97" s="2" t="inlineStr">
        <is>
          <t>À documenter</t>
        </is>
      </c>
      <c r="AB97" s="2" t="inlineStr">
        <is>
          <t>À documenter</t>
        </is>
      </c>
      <c r="AC97" s="2" t="inlineStr">
        <is>
          <t>Canon de 75 mm M3, 76 mm M1 ou obusier de 105 mm selon version; mitrailleuses Browning .30 et souvent .50</t>
        </is>
      </c>
      <c r="AD97" s="2" t="inlineStr">
        <is>
          <t>À documenter</t>
        </is>
      </c>
      <c r="AE97" s="2" t="inlineStr">
        <is>
          <t>À documenter</t>
        </is>
      </c>
      <c r="AF97" s="2" t="inlineStr">
        <is>
          <t>À définir</t>
        </is>
      </c>
      <c r="AG97" s="2" t="inlineStr">
        <is>
          <t>À définir</t>
        </is>
      </c>
      <c r="AH97" s="2" t="inlineStr">
        <is>
          <t>Réparation d’origine si véhicule complet ; démontage si incomplet</t>
        </is>
      </c>
      <c r="AI97" s="2" t="inlineStr">
        <is>
          <t>À documenter</t>
        </is>
      </c>
      <c r="AJ97" s="2" t="inlineStr">
        <is>
          <t>À définir</t>
        </is>
      </c>
      <c r="AK97" s="2" t="inlineStr">
        <is>
          <t>À documenter</t>
        </is>
      </c>
      <c r="AL97" s="2" t="inlineStr">
        <is>
          <t>https://www.wardrawings.be/WW2/Files/1-Vehicles/Allies/1-USA/02-MediumTanks/M4-Sherman/Data/M4%28mid%29.htm</t>
        </is>
      </c>
      <c r="AM97" s="2" t="inlineStr">
        <is>
          <t>À rechercher</t>
        </is>
      </c>
      <c r="AN97" s="2" t="inlineStr">
        <is>
          <t>Source de niveau variable ; contrôle par variante nécessaire</t>
        </is>
      </c>
      <c r="AO97" s="2" t="inlineStr">
        <is>
          <t>Moyen</t>
        </is>
      </c>
      <c r="AP97" s="2" t="inlineStr">
        <is>
          <t>Faible</t>
        </is>
      </c>
      <c r="AQ97" s="2" t="inlineStr">
        <is>
          <t>Partiel</t>
        </is>
      </c>
      <c r="AR97" s="2" t="inlineStr">
        <is>
          <t>Partiel — premières données sourcées</t>
        </is>
      </c>
      <c r="AS97" s="2" t="inlineStr">
        <is>
          <t>P1</t>
        </is>
      </c>
      <c r="AT97" s="2" t="inlineStr">
        <is>
          <t>Modèle à valider historiquement avant verrouillage La famille M4 comprend de nombreuses variantes (M4, M4A1, M4A2, M4A3, M4A4, M4A6, armements et moteurs différents).</t>
        </is>
      </c>
      <c r="AU97" s="2" t="inlineStr">
        <is>
          <t>Char de combat polyvalent</t>
        </is>
      </c>
      <c r="AV97" s="2" t="inlineStr">
        <is>
          <t>M4 Sherman : véhicule de catégorie « Char moyen », d'origine États-Unis. Motorisation recensée : À rechercher. Fiche de catalogue à compléter avec le rôle tactique et les caractéristiques de jeu.</t>
        </is>
      </c>
    </row>
    <row r="98" ht="60" customHeight="1">
      <c r="A98" s="2" t="inlineStr">
        <is>
          <t>VEH-097</t>
        </is>
      </c>
      <c r="B98" s="2" t="inlineStr">
        <is>
          <t>Chars moyens</t>
        </is>
      </c>
      <c r="C98" s="2" t="inlineStr">
        <is>
          <t>M3 Lee / Grant</t>
        </is>
      </c>
      <c r="D98" s="2" t="inlineStr">
        <is>
          <t>À distinguer si plusieurs variantes</t>
        </is>
      </c>
      <c r="E98" s="2" t="inlineStr">
        <is>
          <t>États-Unis</t>
        </is>
      </c>
      <c r="F98" s="2" t="inlineStr">
        <is>
          <t>À documenter</t>
        </is>
      </c>
      <c r="G98" s="2" t="inlineStr">
        <is>
          <t>À confirmer</t>
        </is>
      </c>
      <c r="H98" s="2" t="inlineStr">
        <is>
          <t>Char moyen</t>
        </is>
      </c>
      <c r="I98" s="2" t="inlineStr">
        <is>
          <t>À définir</t>
        </is>
      </c>
      <c r="J98" s="2" t="n"/>
      <c r="K98" s="2" t="n"/>
      <c r="L98" s="2" t="n"/>
      <c r="M98" s="2" t="n"/>
      <c r="N98" s="2" t="n"/>
      <c r="O98" s="2" t="n"/>
      <c r="P98" s="2" t="inlineStr">
        <is>
          <t>À rechercher</t>
        </is>
      </c>
      <c r="Q98" s="2" t="n"/>
      <c r="R98" s="2" t="n"/>
      <c r="S98" s="2" t="inlineStr">
        <is>
          <t>À confirmer</t>
        </is>
      </c>
      <c r="T98" s="2" t="n"/>
      <c r="U98" s="2" t="n"/>
      <c r="V98" s="2" t="n"/>
      <c r="W98" s="2" t="n"/>
      <c r="X98" s="2" t="inlineStr">
        <is>
          <t>À documenter</t>
        </is>
      </c>
      <c r="Y98" s="2" t="inlineStr">
        <is>
          <t>À documenter</t>
        </is>
      </c>
      <c r="Z98" s="2" t="inlineStr">
        <is>
          <t>À documenter</t>
        </is>
      </c>
      <c r="AA98" s="2" t="inlineStr">
        <is>
          <t>À documenter</t>
        </is>
      </c>
      <c r="AB98" s="2" t="inlineStr">
        <is>
          <t>À documenter</t>
        </is>
      </c>
      <c r="AC98" s="2" t="inlineStr">
        <is>
          <t>Canon de 75 mm en casemate + canon de 37 mm en tourelle; mitrailleuses Browning .30</t>
        </is>
      </c>
      <c r="AD98" s="2" t="inlineStr">
        <is>
          <t>À documenter</t>
        </is>
      </c>
      <c r="AE98" s="2" t="inlineStr">
        <is>
          <t>À documenter</t>
        </is>
      </c>
      <c r="AF98" s="2" t="inlineStr">
        <is>
          <t>À définir</t>
        </is>
      </c>
      <c r="AG98" s="2" t="inlineStr">
        <is>
          <t>À définir</t>
        </is>
      </c>
      <c r="AH98" s="2" t="inlineStr">
        <is>
          <t>Réparation d’origine si véhicule complet ; démontage si incomplet</t>
        </is>
      </c>
      <c r="AI98" s="2" t="inlineStr">
        <is>
          <t>À documenter</t>
        </is>
      </c>
      <c r="AJ98" s="2" t="inlineStr">
        <is>
          <t>À définir</t>
        </is>
      </c>
      <c r="AK98" s="2" t="inlineStr">
        <is>
          <t>À documenter</t>
        </is>
      </c>
      <c r="AL98" s="2" t="inlineStr">
        <is>
          <t>À rechercher / voir sources historiques</t>
        </is>
      </c>
      <c r="AM98" s="2" t="inlineStr">
        <is>
          <t>À rechercher</t>
        </is>
      </c>
      <c r="AN98" s="2" t="inlineStr">
        <is>
          <t>Source de niveau variable ; contrôle par variante nécessaire</t>
        </is>
      </c>
      <c r="AO98" s="2" t="inlineStr">
        <is>
          <t>Non renseigné</t>
        </is>
      </c>
      <c r="AP98" s="2" t="inlineStr">
        <is>
          <t>Faible</t>
        </is>
      </c>
      <c r="AQ98" s="2" t="inlineStr">
        <is>
          <t>Élevé</t>
        </is>
      </c>
      <c r="AR98" s="2" t="inlineStr">
        <is>
          <t>Partiel — fiche à compléter</t>
        </is>
      </c>
      <c r="AS98" s="2" t="inlineStr">
        <is>
          <t>P2/P3</t>
        </is>
      </c>
      <c r="AT98" s="2" t="inlineStr">
        <is>
          <t>Modèle à valider historiquement avant verrouillage</t>
        </is>
      </c>
      <c r="AU98" s="2" t="inlineStr">
        <is>
          <t>À intégrer après validation du prototype</t>
        </is>
      </c>
      <c r="AV98" s="2" t="inlineStr">
        <is>
          <t>M3 Lee / Grant : véhicule de catégorie « Char moyen », d'origine États-Unis. Motorisation recensée : À rechercher. Fiche de catalogue à compléter avec le rôle tactique et les caractéristiques de jeu.</t>
        </is>
      </c>
    </row>
    <row r="99" ht="60" customHeight="1">
      <c r="A99" s="2" t="inlineStr">
        <is>
          <t>VEH-098</t>
        </is>
      </c>
      <c r="B99" s="2" t="inlineStr">
        <is>
          <t>Chars moyens</t>
        </is>
      </c>
      <c r="C99" s="2" t="inlineStr">
        <is>
          <t>T-34</t>
        </is>
      </c>
      <c r="D99" s="2" t="inlineStr">
        <is>
          <t>À distinguer si plusieurs variantes</t>
        </is>
      </c>
      <c r="E99" s="2" t="inlineStr">
        <is>
          <t>URSS</t>
        </is>
      </c>
      <c r="F99" s="2" t="inlineStr">
        <is>
          <t>À documenter</t>
        </is>
      </c>
      <c r="G99" s="2" t="inlineStr">
        <is>
          <t>À confirmer</t>
        </is>
      </c>
      <c r="H99" s="2" t="inlineStr">
        <is>
          <t>Char moyen</t>
        </is>
      </c>
      <c r="I99" s="2" t="inlineStr">
        <is>
          <t>À définir</t>
        </is>
      </c>
      <c r="J99" s="2" t="n"/>
      <c r="K99" s="2" t="n"/>
      <c r="L99" s="2" t="n"/>
      <c r="M99" s="2" t="n"/>
      <c r="N99" s="2" t="n"/>
      <c r="O99" s="2" t="n"/>
      <c r="P99" s="2" t="inlineStr">
        <is>
          <t>À rechercher</t>
        </is>
      </c>
      <c r="Q99" s="2" t="n"/>
      <c r="R99" s="2" t="n"/>
      <c r="S99" s="2" t="inlineStr">
        <is>
          <t>À confirmer</t>
        </is>
      </c>
      <c r="T99" s="2" t="n"/>
      <c r="U99" s="2" t="n"/>
      <c r="V99" s="2" t="n"/>
      <c r="W99" s="2" t="n"/>
      <c r="X99" s="2" t="inlineStr">
        <is>
          <t>À documenter</t>
        </is>
      </c>
      <c r="Y99" s="2" t="inlineStr">
        <is>
          <t>À documenter</t>
        </is>
      </c>
      <c r="Z99" s="2" t="inlineStr">
        <is>
          <t>À documenter</t>
        </is>
      </c>
      <c r="AA99" s="2" t="inlineStr">
        <is>
          <t>À documenter</t>
        </is>
      </c>
      <c r="AB99" s="2" t="inlineStr">
        <is>
          <t>À documenter</t>
        </is>
      </c>
      <c r="AC99" s="2" t="inlineStr">
        <is>
          <t>Canon de 76,2 mm L-11/F-34 selon modèle; 2 mitrailleuses DT de 7,62 mm</t>
        </is>
      </c>
      <c r="AD99" s="2" t="inlineStr">
        <is>
          <t>À documenter</t>
        </is>
      </c>
      <c r="AE99" s="2" t="inlineStr">
        <is>
          <t>À documenter</t>
        </is>
      </c>
      <c r="AF99" s="2" t="inlineStr">
        <is>
          <t>À définir</t>
        </is>
      </c>
      <c r="AG99" s="2" t="inlineStr">
        <is>
          <t>À définir</t>
        </is>
      </c>
      <c r="AH99" s="2" t="inlineStr">
        <is>
          <t>Réparation d’origine si véhicule complet ; démontage si incomplet</t>
        </is>
      </c>
      <c r="AI99" s="2" t="inlineStr">
        <is>
          <t>À documenter</t>
        </is>
      </c>
      <c r="AJ99" s="2" t="inlineStr">
        <is>
          <t>À définir</t>
        </is>
      </c>
      <c r="AK99" s="2" t="inlineStr">
        <is>
          <t>À documenter</t>
        </is>
      </c>
      <c r="AL99" s="2" t="inlineStr">
        <is>
          <t>À rechercher / voir sources historiques</t>
        </is>
      </c>
      <c r="AM99" s="2" t="inlineStr">
        <is>
          <t>À rechercher</t>
        </is>
      </c>
      <c r="AN99" s="2" t="inlineStr">
        <is>
          <t>Source de niveau variable ; contrôle par variante nécessaire</t>
        </is>
      </c>
      <c r="AO99" s="2" t="inlineStr">
        <is>
          <t>Non renseigné</t>
        </is>
      </c>
      <c r="AP99" s="2" t="inlineStr">
        <is>
          <t>Faible</t>
        </is>
      </c>
      <c r="AQ99" s="2" t="inlineStr">
        <is>
          <t>Élevé</t>
        </is>
      </c>
      <c r="AR99" s="2" t="inlineStr">
        <is>
          <t>Partiel — fiche à compléter</t>
        </is>
      </c>
      <c r="AS99" s="2" t="inlineStr">
        <is>
          <t>P2/P3</t>
        </is>
      </c>
      <c r="AT99" s="2" t="inlineStr">
        <is>
          <t>Modèle à valider historiquement avant verrouillage</t>
        </is>
      </c>
      <c r="AU99" s="2" t="inlineStr">
        <is>
          <t>À intégrer après validation du prototype</t>
        </is>
      </c>
      <c r="AV99" s="2" t="inlineStr">
        <is>
          <t>T-34 : véhicule de catégorie « Char moyen », d'origine URSS. Motorisation recensée : À rechercher. Fiche de catalogue à compléter avec le rôle tactique et les caractéristiques de jeu.</t>
        </is>
      </c>
    </row>
    <row r="100" ht="60" customHeight="1">
      <c r="A100" s="2" t="inlineStr">
        <is>
          <t>VEH-099</t>
        </is>
      </c>
      <c r="B100" s="2" t="inlineStr">
        <is>
          <t>Chars moyens</t>
        </is>
      </c>
      <c r="C100" s="2" t="inlineStr">
        <is>
          <t>Panzer III</t>
        </is>
      </c>
      <c r="D100" s="2" t="inlineStr">
        <is>
          <t>À distinguer si plusieurs variantes</t>
        </is>
      </c>
      <c r="E100" s="2" t="inlineStr">
        <is>
          <t>Allemagne</t>
        </is>
      </c>
      <c r="F100" s="2" t="inlineStr">
        <is>
          <t>À documenter</t>
        </is>
      </c>
      <c r="G100" s="2" t="inlineStr">
        <is>
          <t>À confirmer</t>
        </is>
      </c>
      <c r="H100" s="2" t="inlineStr">
        <is>
          <t>Char moyen</t>
        </is>
      </c>
      <c r="I100" s="2" t="inlineStr">
        <is>
          <t>À définir</t>
        </is>
      </c>
      <c r="J100" s="2" t="n"/>
      <c r="K100" s="2" t="n"/>
      <c r="L100" s="2" t="n"/>
      <c r="M100" s="2" t="n"/>
      <c r="N100" s="2" t="n"/>
      <c r="O100" s="2" t="n"/>
      <c r="P100" s="2" t="inlineStr">
        <is>
          <t>À rechercher</t>
        </is>
      </c>
      <c r="Q100" s="2" t="n"/>
      <c r="R100" s="2" t="n"/>
      <c r="S100" s="2" t="inlineStr">
        <is>
          <t>À confirmer</t>
        </is>
      </c>
      <c r="T100" s="2" t="n"/>
      <c r="U100" s="2" t="n"/>
      <c r="V100" s="2" t="n"/>
      <c r="W100" s="2" t="n"/>
      <c r="X100" s="2" t="inlineStr">
        <is>
          <t>À documenter</t>
        </is>
      </c>
      <c r="Y100" s="2" t="inlineStr">
        <is>
          <t>À documenter</t>
        </is>
      </c>
      <c r="Z100" s="2" t="inlineStr">
        <is>
          <t>À documenter</t>
        </is>
      </c>
      <c r="AA100" s="2" t="inlineStr">
        <is>
          <t>À documenter</t>
        </is>
      </c>
      <c r="AB100" s="2" t="inlineStr">
        <is>
          <t>À documenter</t>
        </is>
      </c>
      <c r="AC100" s="2" t="inlineStr">
        <is>
          <t>2 mitrailleuses MG 13 de 7,92 mm</t>
        </is>
      </c>
      <c r="AD100" s="2" t="inlineStr">
        <is>
          <t>À documenter</t>
        </is>
      </c>
      <c r="AE100" s="2" t="inlineStr">
        <is>
          <t>À documenter</t>
        </is>
      </c>
      <c r="AF100" s="2" t="inlineStr">
        <is>
          <t>À définir</t>
        </is>
      </c>
      <c r="AG100" s="2" t="inlineStr">
        <is>
          <t>À définir</t>
        </is>
      </c>
      <c r="AH100" s="2" t="inlineStr">
        <is>
          <t>Réparation d’origine si véhicule complet ; démontage si incomplet</t>
        </is>
      </c>
      <c r="AI100" s="2" t="inlineStr">
        <is>
          <t>À documenter</t>
        </is>
      </c>
      <c r="AJ100" s="2" t="inlineStr">
        <is>
          <t>À définir</t>
        </is>
      </c>
      <c r="AK100" s="2" t="inlineStr">
        <is>
          <t>À documenter</t>
        </is>
      </c>
      <c r="AL100" s="2" t="inlineStr">
        <is>
          <t>À rechercher / voir sources historiques</t>
        </is>
      </c>
      <c r="AM100" s="2" t="inlineStr">
        <is>
          <t>À rechercher</t>
        </is>
      </c>
      <c r="AN100" s="2" t="inlineStr">
        <is>
          <t>Source de niveau variable ; contrôle par variante nécessaire</t>
        </is>
      </c>
      <c r="AO100" s="2" t="inlineStr">
        <is>
          <t>Non renseigné</t>
        </is>
      </c>
      <c r="AP100" s="2" t="inlineStr">
        <is>
          <t>Faible</t>
        </is>
      </c>
      <c r="AQ100" s="2" t="inlineStr">
        <is>
          <t>Élevé</t>
        </is>
      </c>
      <c r="AR100" s="2" t="inlineStr">
        <is>
          <t>Partiel — fiche à compléter</t>
        </is>
      </c>
      <c r="AS100" s="2" t="inlineStr">
        <is>
          <t>P2/P3</t>
        </is>
      </c>
      <c r="AT100" s="2" t="inlineStr">
        <is>
          <t>Modèle à valider historiquement avant verrouillage</t>
        </is>
      </c>
      <c r="AU100" s="2" t="inlineStr">
        <is>
          <t>À intégrer après validation du prototype</t>
        </is>
      </c>
      <c r="AV100" s="2" t="inlineStr">
        <is>
          <t>Panzer III : véhicule de catégorie « Char moyen », d'origine Allemagne. Motorisation recensée : À rechercher. Fiche de catalogue à compléter avec le rôle tactique et les caractéristiques de jeu.</t>
        </is>
      </c>
    </row>
    <row r="101" ht="60" customHeight="1">
      <c r="A101" s="2" t="inlineStr">
        <is>
          <t>VEH-100</t>
        </is>
      </c>
      <c r="B101" s="2" t="inlineStr">
        <is>
          <t>Chars moyens</t>
        </is>
      </c>
      <c r="C101" s="2" t="inlineStr">
        <is>
          <t>Panzer IV</t>
        </is>
      </c>
      <c r="D101" s="2" t="inlineStr">
        <is>
          <t>À distinguer si plusieurs variantes</t>
        </is>
      </c>
      <c r="E101" s="2" t="inlineStr">
        <is>
          <t>Allemagne</t>
        </is>
      </c>
      <c r="F101" s="2" t="inlineStr">
        <is>
          <t>À documenter</t>
        </is>
      </c>
      <c r="G101" s="2" t="inlineStr">
        <is>
          <t>À confirmer</t>
        </is>
      </c>
      <c r="H101" s="2" t="inlineStr">
        <is>
          <t>Char moyen</t>
        </is>
      </c>
      <c r="I101" s="2" t="inlineStr">
        <is>
          <t>À définir</t>
        </is>
      </c>
      <c r="J101" s="2" t="n"/>
      <c r="K101" s="2" t="n"/>
      <c r="L101" s="2" t="n"/>
      <c r="M101" s="2" t="n"/>
      <c r="N101" s="2" t="n"/>
      <c r="O101" s="2" t="n"/>
      <c r="P101" s="2" t="inlineStr">
        <is>
          <t>À rechercher</t>
        </is>
      </c>
      <c r="Q101" s="2" t="n"/>
      <c r="R101" s="2" t="n"/>
      <c r="S101" s="2" t="inlineStr">
        <is>
          <t>À confirmer</t>
        </is>
      </c>
      <c r="T101" s="2" t="n"/>
      <c r="U101" s="2" t="n"/>
      <c r="V101" s="2" t="n"/>
      <c r="W101" s="2" t="n"/>
      <c r="X101" s="2" t="inlineStr">
        <is>
          <t>À documenter</t>
        </is>
      </c>
      <c r="Y101" s="2" t="inlineStr">
        <is>
          <t>À documenter</t>
        </is>
      </c>
      <c r="Z101" s="2" t="inlineStr">
        <is>
          <t>À documenter</t>
        </is>
      </c>
      <c r="AA101" s="2" t="inlineStr">
        <is>
          <t>À documenter</t>
        </is>
      </c>
      <c r="AB101" s="2" t="inlineStr">
        <is>
          <t>À documenter</t>
        </is>
      </c>
      <c r="AC101" s="2" t="inlineStr">
        <is>
          <t>2 mitrailleuses MG 13 de 7,92 mm</t>
        </is>
      </c>
      <c r="AD101" s="2" t="inlineStr">
        <is>
          <t>À documenter</t>
        </is>
      </c>
      <c r="AE101" s="2" t="inlineStr">
        <is>
          <t>À documenter</t>
        </is>
      </c>
      <c r="AF101" s="2" t="inlineStr">
        <is>
          <t>À définir</t>
        </is>
      </c>
      <c r="AG101" s="2" t="inlineStr">
        <is>
          <t>À définir</t>
        </is>
      </c>
      <c r="AH101" s="2" t="inlineStr">
        <is>
          <t>Réparation d’origine si véhicule complet ; démontage si incomplet</t>
        </is>
      </c>
      <c r="AI101" s="2" t="inlineStr">
        <is>
          <t>À documenter</t>
        </is>
      </c>
      <c r="AJ101" s="2" t="inlineStr">
        <is>
          <t>À définir</t>
        </is>
      </c>
      <c r="AK101" s="2" t="inlineStr">
        <is>
          <t>À documenter</t>
        </is>
      </c>
      <c r="AL101" s="2" t="inlineStr">
        <is>
          <t>À rechercher / voir sources historiques</t>
        </is>
      </c>
      <c r="AM101" s="2" t="inlineStr">
        <is>
          <t>À rechercher</t>
        </is>
      </c>
      <c r="AN101" s="2" t="inlineStr">
        <is>
          <t>Source de niveau variable ; contrôle par variante nécessaire</t>
        </is>
      </c>
      <c r="AO101" s="2" t="inlineStr">
        <is>
          <t>Non renseigné</t>
        </is>
      </c>
      <c r="AP101" s="2" t="inlineStr">
        <is>
          <t>Faible</t>
        </is>
      </c>
      <c r="AQ101" s="2" t="inlineStr">
        <is>
          <t>Élevé</t>
        </is>
      </c>
      <c r="AR101" s="2" t="inlineStr">
        <is>
          <t>Partiel — fiche à compléter</t>
        </is>
      </c>
      <c r="AS101" s="2" t="inlineStr">
        <is>
          <t>P2/P3</t>
        </is>
      </c>
      <c r="AT101" s="2" t="inlineStr">
        <is>
          <t>Modèle à valider historiquement avant verrouillage</t>
        </is>
      </c>
      <c r="AU101" s="2" t="inlineStr">
        <is>
          <t>À intégrer après validation du prototype</t>
        </is>
      </c>
      <c r="AV101" s="2" t="inlineStr">
        <is>
          <t>Panzer IV : véhicule de catégorie « Char moyen », d'origine Allemagne. Motorisation recensée : À rechercher. Fiche de catalogue à compléter avec le rôle tactique et les caractéristiques de jeu.</t>
        </is>
      </c>
    </row>
    <row r="102" ht="60" customHeight="1">
      <c r="A102" s="2" t="inlineStr">
        <is>
          <t>VEH-101</t>
        </is>
      </c>
      <c r="B102" s="2" t="inlineStr">
        <is>
          <t>Chars moyens</t>
        </is>
      </c>
      <c r="C102" s="2" t="inlineStr">
        <is>
          <t>Panther (Panzer V)</t>
        </is>
      </c>
      <c r="D102" s="2" t="inlineStr">
        <is>
          <t>À distinguer si plusieurs variantes</t>
        </is>
      </c>
      <c r="E102" s="2" t="inlineStr">
        <is>
          <t>Allemagne</t>
        </is>
      </c>
      <c r="F102" s="2" t="inlineStr">
        <is>
          <t>À documenter</t>
        </is>
      </c>
      <c r="G102" s="2" t="inlineStr">
        <is>
          <t>À confirmer</t>
        </is>
      </c>
      <c r="H102" s="2" t="inlineStr">
        <is>
          <t>Char moyen</t>
        </is>
      </c>
      <c r="I102" s="2" t="inlineStr">
        <is>
          <t>À définir</t>
        </is>
      </c>
      <c r="J102" s="2" t="n"/>
      <c r="K102" s="2" t="n"/>
      <c r="L102" s="2" t="n"/>
      <c r="M102" s="2" t="n"/>
      <c r="N102" s="2" t="n"/>
      <c r="O102" s="2" t="n"/>
      <c r="P102" s="2" t="inlineStr">
        <is>
          <t>À rechercher</t>
        </is>
      </c>
      <c r="Q102" s="2" t="n"/>
      <c r="R102" s="2" t="n"/>
      <c r="S102" s="2" t="inlineStr">
        <is>
          <t>À confirmer</t>
        </is>
      </c>
      <c r="T102" s="2" t="n"/>
      <c r="U102" s="2" t="n"/>
      <c r="V102" s="2" t="n"/>
      <c r="W102" s="2" t="n"/>
      <c r="X102" s="2" t="inlineStr">
        <is>
          <t>À documenter</t>
        </is>
      </c>
      <c r="Y102" s="2" t="inlineStr">
        <is>
          <t>À documenter</t>
        </is>
      </c>
      <c r="Z102" s="2" t="inlineStr">
        <is>
          <t>À documenter</t>
        </is>
      </c>
      <c r="AA102" s="2" t="inlineStr">
        <is>
          <t>À documenter</t>
        </is>
      </c>
      <c r="AB102" s="2" t="inlineStr">
        <is>
          <t>À documenter</t>
        </is>
      </c>
      <c r="AC102" s="2" t="inlineStr">
        <is>
          <t>Canon de 75 mm KwK 42 L/70; 2–3 MG 34/42 selon version</t>
        </is>
      </c>
      <c r="AD102" s="2" t="inlineStr">
        <is>
          <t>À documenter</t>
        </is>
      </c>
      <c r="AE102" s="2" t="inlineStr">
        <is>
          <t>À documenter</t>
        </is>
      </c>
      <c r="AF102" s="2" t="inlineStr">
        <is>
          <t>À définir</t>
        </is>
      </c>
      <c r="AG102" s="2" t="inlineStr">
        <is>
          <t>À définir</t>
        </is>
      </c>
      <c r="AH102" s="2" t="inlineStr">
        <is>
          <t>Réparation d’origine si véhicule complet ; démontage si incomplet</t>
        </is>
      </c>
      <c r="AI102" s="2" t="inlineStr">
        <is>
          <t>À documenter</t>
        </is>
      </c>
      <c r="AJ102" s="2" t="inlineStr">
        <is>
          <t>À définir</t>
        </is>
      </c>
      <c r="AK102" s="2" t="inlineStr">
        <is>
          <t>À documenter</t>
        </is>
      </c>
      <c r="AL102" s="2" t="inlineStr">
        <is>
          <t>À rechercher / voir sources historiques</t>
        </is>
      </c>
      <c r="AM102" s="2" t="inlineStr">
        <is>
          <t>À rechercher</t>
        </is>
      </c>
      <c r="AN102" s="2" t="inlineStr">
        <is>
          <t>Source de niveau variable ; contrôle par variante nécessaire</t>
        </is>
      </c>
      <c r="AO102" s="2" t="inlineStr">
        <is>
          <t>Non renseigné</t>
        </is>
      </c>
      <c r="AP102" s="2" t="inlineStr">
        <is>
          <t>Faible</t>
        </is>
      </c>
      <c r="AQ102" s="2" t="inlineStr">
        <is>
          <t>Élevé</t>
        </is>
      </c>
      <c r="AR102" s="2" t="inlineStr">
        <is>
          <t>Partiel — fiche à compléter</t>
        </is>
      </c>
      <c r="AS102" s="2" t="inlineStr">
        <is>
          <t>P2/P3</t>
        </is>
      </c>
      <c r="AT102" s="2" t="inlineStr">
        <is>
          <t>Modèle à valider historiquement avant verrouillage</t>
        </is>
      </c>
      <c r="AU102" s="2" t="inlineStr">
        <is>
          <t>À intégrer après validation du prototype</t>
        </is>
      </c>
      <c r="AV102" s="2" t="inlineStr">
        <is>
          <t>Panther (Panzer V) : véhicule de catégorie « Char moyen », d'origine Allemagne. Motorisation recensée : À rechercher. Fiche de catalogue à compléter avec le rôle tactique et les caractéristiques de jeu.</t>
        </is>
      </c>
    </row>
    <row r="103" ht="60" customHeight="1">
      <c r="A103" s="2" t="inlineStr">
        <is>
          <t>VEH-102</t>
        </is>
      </c>
      <c r="B103" s="2" t="inlineStr">
        <is>
          <t>Chars moyens</t>
        </is>
      </c>
      <c r="C103" s="2" t="inlineStr">
        <is>
          <t>Cromwell</t>
        </is>
      </c>
      <c r="D103" s="2" t="inlineStr">
        <is>
          <t>À distinguer si plusieurs variantes</t>
        </is>
      </c>
      <c r="E103" s="2" t="inlineStr">
        <is>
          <t>Royaume-Uni</t>
        </is>
      </c>
      <c r="F103" s="2" t="inlineStr">
        <is>
          <t>À documenter</t>
        </is>
      </c>
      <c r="G103" s="2" t="inlineStr">
        <is>
          <t>À confirmer</t>
        </is>
      </c>
      <c r="H103" s="2" t="inlineStr">
        <is>
          <t>Char moyen</t>
        </is>
      </c>
      <c r="I103" s="2" t="inlineStr">
        <is>
          <t>À définir</t>
        </is>
      </c>
      <c r="J103" s="2" t="n"/>
      <c r="K103" s="2" t="n"/>
      <c r="L103" s="2" t="n"/>
      <c r="M103" s="2" t="n"/>
      <c r="N103" s="2" t="n"/>
      <c r="O103" s="2" t="n"/>
      <c r="P103" s="2" t="inlineStr">
        <is>
          <t>À rechercher</t>
        </is>
      </c>
      <c r="Q103" s="2" t="n"/>
      <c r="R103" s="2" t="n"/>
      <c r="S103" s="2" t="inlineStr">
        <is>
          <t>À confirmer</t>
        </is>
      </c>
      <c r="T103" s="2" t="n"/>
      <c r="U103" s="2" t="n"/>
      <c r="V103" s="2" t="n"/>
      <c r="W103" s="2" t="n"/>
      <c r="X103" s="2" t="inlineStr">
        <is>
          <t>À documenter</t>
        </is>
      </c>
      <c r="Y103" s="2" t="inlineStr">
        <is>
          <t>À documenter</t>
        </is>
      </c>
      <c r="Z103" s="2" t="inlineStr">
        <is>
          <t>À documenter</t>
        </is>
      </c>
      <c r="AA103" s="2" t="inlineStr">
        <is>
          <t>À documenter</t>
        </is>
      </c>
      <c r="AB103" s="2" t="inlineStr">
        <is>
          <t>À documenter</t>
        </is>
      </c>
      <c r="AC103" s="2" t="inlineStr">
        <is>
          <t>Canon de 6-pdr ou 75 mm selon version; mitrailleuses Besa 7,92 mm</t>
        </is>
      </c>
      <c r="AD103" s="2" t="inlineStr">
        <is>
          <t>À documenter</t>
        </is>
      </c>
      <c r="AE103" s="2" t="inlineStr">
        <is>
          <t>À documenter</t>
        </is>
      </c>
      <c r="AF103" s="2" t="inlineStr">
        <is>
          <t>À définir</t>
        </is>
      </c>
      <c r="AG103" s="2" t="inlineStr">
        <is>
          <t>À définir</t>
        </is>
      </c>
      <c r="AH103" s="2" t="inlineStr">
        <is>
          <t>Réparation d’origine si véhicule complet ; démontage si incomplet</t>
        </is>
      </c>
      <c r="AI103" s="2" t="inlineStr">
        <is>
          <t>À documenter</t>
        </is>
      </c>
      <c r="AJ103" s="2" t="inlineStr">
        <is>
          <t>À définir</t>
        </is>
      </c>
      <c r="AK103" s="2" t="inlineStr">
        <is>
          <t>À documenter</t>
        </is>
      </c>
      <c r="AL103" s="2" t="inlineStr">
        <is>
          <t>À rechercher / voir sources historiques</t>
        </is>
      </c>
      <c r="AM103" s="2" t="inlineStr">
        <is>
          <t>À rechercher</t>
        </is>
      </c>
      <c r="AN103" s="2" t="inlineStr">
        <is>
          <t>Source de niveau variable ; contrôle par variante nécessaire</t>
        </is>
      </c>
      <c r="AO103" s="2" t="inlineStr">
        <is>
          <t>Non renseigné</t>
        </is>
      </c>
      <c r="AP103" s="2" t="inlineStr">
        <is>
          <t>Faible</t>
        </is>
      </c>
      <c r="AQ103" s="2" t="inlineStr">
        <is>
          <t>Partiel</t>
        </is>
      </c>
      <c r="AR103" s="2" t="inlineStr">
        <is>
          <t>Partiel — fiche à compléter</t>
        </is>
      </c>
      <c r="AS103" s="2" t="inlineStr">
        <is>
          <t>P2/P3</t>
        </is>
      </c>
      <c r="AT103" s="2" t="inlineStr">
        <is>
          <t>Modèle à valider historiquement avant verrouillage</t>
        </is>
      </c>
      <c r="AU103" s="2" t="inlineStr">
        <is>
          <t>À intégrer après validation du prototype</t>
        </is>
      </c>
      <c r="AV103" s="2" t="inlineStr">
        <is>
          <t>Cromwell : véhicule de catégorie « Char moyen », d'origine Royaume-Uni. Motorisation recensée : À rechercher. Fiche de catalogue à compléter avec le rôle tactique et les caractéristiques de jeu.</t>
        </is>
      </c>
    </row>
    <row r="104" ht="60" customHeight="1">
      <c r="A104" s="2" t="inlineStr">
        <is>
          <t>VEH-103</t>
        </is>
      </c>
      <c r="B104" s="2" t="inlineStr">
        <is>
          <t>Chars moyens</t>
        </is>
      </c>
      <c r="C104" s="2" t="inlineStr">
        <is>
          <t>Crusader</t>
        </is>
      </c>
      <c r="D104" s="2" t="inlineStr">
        <is>
          <t>À distinguer si plusieurs variantes</t>
        </is>
      </c>
      <c r="E104" s="2" t="inlineStr">
        <is>
          <t>Royaume-Uni</t>
        </is>
      </c>
      <c r="F104" s="2" t="inlineStr">
        <is>
          <t>À documenter</t>
        </is>
      </c>
      <c r="G104" s="2" t="inlineStr">
        <is>
          <t>À confirmer</t>
        </is>
      </c>
      <c r="H104" s="2" t="inlineStr">
        <is>
          <t>Char croiseur</t>
        </is>
      </c>
      <c r="I104" s="2" t="inlineStr">
        <is>
          <t>À définir</t>
        </is>
      </c>
      <c r="J104" s="2" t="n"/>
      <c r="K104" s="2" t="n"/>
      <c r="L104" s="2" t="n"/>
      <c r="M104" s="2" t="n"/>
      <c r="N104" s="2" t="n"/>
      <c r="O104" s="2" t="n"/>
      <c r="P104" s="2" t="inlineStr">
        <is>
          <t>À rechercher</t>
        </is>
      </c>
      <c r="Q104" s="2" t="n"/>
      <c r="R104" s="2" t="n"/>
      <c r="S104" s="2" t="inlineStr">
        <is>
          <t>À confirmer</t>
        </is>
      </c>
      <c r="T104" s="2" t="n"/>
      <c r="U104" s="2" t="n"/>
      <c r="V104" s="2" t="n"/>
      <c r="W104" s="2" t="n"/>
      <c r="X104" s="2" t="inlineStr">
        <is>
          <t>À documenter</t>
        </is>
      </c>
      <c r="Y104" s="2" t="inlineStr">
        <is>
          <t>À documenter</t>
        </is>
      </c>
      <c r="Z104" s="2" t="inlineStr">
        <is>
          <t>À documenter</t>
        </is>
      </c>
      <c r="AA104" s="2" t="inlineStr">
        <is>
          <t>À documenter</t>
        </is>
      </c>
      <c r="AB104" s="2" t="inlineStr">
        <is>
          <t>À documenter</t>
        </is>
      </c>
      <c r="AC104" s="2" t="inlineStr">
        <is>
          <t>Canon de 2-pdr ou 6-pdr selon version; mitrailleuse Besa 7,92 mm</t>
        </is>
      </c>
      <c r="AD104" s="2" t="inlineStr">
        <is>
          <t>À documenter</t>
        </is>
      </c>
      <c r="AE104" s="2" t="inlineStr">
        <is>
          <t>À documenter</t>
        </is>
      </c>
      <c r="AF104" s="2" t="inlineStr">
        <is>
          <t>À définir</t>
        </is>
      </c>
      <c r="AG104" s="2" t="inlineStr">
        <is>
          <t>À définir</t>
        </is>
      </c>
      <c r="AH104" s="2" t="inlineStr">
        <is>
          <t>Réparation d’origine si véhicule complet ; démontage si incomplet</t>
        </is>
      </c>
      <c r="AI104" s="2" t="inlineStr">
        <is>
          <t>À documenter</t>
        </is>
      </c>
      <c r="AJ104" s="2" t="inlineStr">
        <is>
          <t>À définir</t>
        </is>
      </c>
      <c r="AK104" s="2" t="inlineStr">
        <is>
          <t>À documenter</t>
        </is>
      </c>
      <c r="AL104" s="2" t="inlineStr">
        <is>
          <t>À rechercher / voir sources historiques</t>
        </is>
      </c>
      <c r="AM104" s="2" t="inlineStr">
        <is>
          <t>À rechercher</t>
        </is>
      </c>
      <c r="AN104" s="2" t="inlineStr">
        <is>
          <t>Source de niveau variable ; contrôle par variante nécessaire</t>
        </is>
      </c>
      <c r="AO104" s="2" t="inlineStr">
        <is>
          <t>Non renseigné</t>
        </is>
      </c>
      <c r="AP104" s="2" t="inlineStr">
        <is>
          <t>Faible</t>
        </is>
      </c>
      <c r="AQ104" s="2" t="inlineStr">
        <is>
          <t>Partiel</t>
        </is>
      </c>
      <c r="AR104" s="2" t="inlineStr">
        <is>
          <t>Partiel — fiche à compléter</t>
        </is>
      </c>
      <c r="AS104" s="2" t="inlineStr">
        <is>
          <t>P2/P3</t>
        </is>
      </c>
      <c r="AT104" s="2" t="inlineStr">
        <is>
          <t>Modèle à valider historiquement avant verrouillage</t>
        </is>
      </c>
      <c r="AU104" s="2" t="inlineStr">
        <is>
          <t>À intégrer après validation du prototype</t>
        </is>
      </c>
      <c r="AV104" s="2" t="inlineStr">
        <is>
          <t>Crusader : véhicule de catégorie « Char croiseur », d'origine Royaume-Uni. Motorisation recensée : À rechercher. Fiche de catalogue à compléter avec le rôle tactique et les caractéristiques de jeu.</t>
        </is>
      </c>
    </row>
    <row r="105" ht="60" customHeight="1">
      <c r="A105" s="2" t="inlineStr">
        <is>
          <t>VEH-104</t>
        </is>
      </c>
      <c r="B105" s="2" t="inlineStr">
        <is>
          <t>Chars moyens</t>
        </is>
      </c>
      <c r="C105" s="2" t="inlineStr">
        <is>
          <t>Valentine</t>
        </is>
      </c>
      <c r="D105" s="2" t="inlineStr">
        <is>
          <t>À distinguer si plusieurs variantes</t>
        </is>
      </c>
      <c r="E105" s="2" t="inlineStr">
        <is>
          <t>Royaume-Uni</t>
        </is>
      </c>
      <c r="F105" s="2" t="inlineStr">
        <is>
          <t>À documenter</t>
        </is>
      </c>
      <c r="G105" s="2" t="inlineStr">
        <is>
          <t>À confirmer</t>
        </is>
      </c>
      <c r="H105" s="2" t="inlineStr">
        <is>
          <t>Char d'infanterie</t>
        </is>
      </c>
      <c r="I105" s="2" t="inlineStr">
        <is>
          <t>À définir</t>
        </is>
      </c>
      <c r="J105" s="2" t="n"/>
      <c r="K105" s="2" t="n"/>
      <c r="L105" s="2" t="n"/>
      <c r="M105" s="2" t="n"/>
      <c r="N105" s="2" t="n"/>
      <c r="O105" s="2" t="n"/>
      <c r="P105" s="2" t="inlineStr">
        <is>
          <t>À rechercher</t>
        </is>
      </c>
      <c r="Q105" s="2" t="n"/>
      <c r="R105" s="2" t="n"/>
      <c r="S105" s="2" t="inlineStr">
        <is>
          <t>À confirmer</t>
        </is>
      </c>
      <c r="T105" s="2" t="n"/>
      <c r="U105" s="2" t="n"/>
      <c r="V105" s="2" t="n"/>
      <c r="W105" s="2" t="n"/>
      <c r="X105" s="2" t="inlineStr">
        <is>
          <t>À documenter</t>
        </is>
      </c>
      <c r="Y105" s="2" t="inlineStr">
        <is>
          <t>À documenter</t>
        </is>
      </c>
      <c r="Z105" s="2" t="inlineStr">
        <is>
          <t>À documenter</t>
        </is>
      </c>
      <c r="AA105" s="2" t="inlineStr">
        <is>
          <t>À documenter</t>
        </is>
      </c>
      <c r="AB105" s="2" t="inlineStr">
        <is>
          <t>À documenter</t>
        </is>
      </c>
      <c r="AC105" s="2" t="inlineStr">
        <is>
          <t>Canon de 2-pdr, 6-pdr ou 75 mm selon version; mitrailleuse Besa 7,92 mm</t>
        </is>
      </c>
      <c r="AD105" s="2" t="inlineStr">
        <is>
          <t>À documenter</t>
        </is>
      </c>
      <c r="AE105" s="2" t="inlineStr">
        <is>
          <t>À documenter</t>
        </is>
      </c>
      <c r="AF105" s="2" t="inlineStr">
        <is>
          <t>À définir</t>
        </is>
      </c>
      <c r="AG105" s="2" t="inlineStr">
        <is>
          <t>À définir</t>
        </is>
      </c>
      <c r="AH105" s="2" t="inlineStr">
        <is>
          <t>Réparation d’origine si véhicule complet ; démontage si incomplet</t>
        </is>
      </c>
      <c r="AI105" s="2" t="inlineStr">
        <is>
          <t>À documenter</t>
        </is>
      </c>
      <c r="AJ105" s="2" t="inlineStr">
        <is>
          <t>À définir</t>
        </is>
      </c>
      <c r="AK105" s="2" t="inlineStr">
        <is>
          <t>À documenter</t>
        </is>
      </c>
      <c r="AL105" s="2" t="inlineStr">
        <is>
          <t>À rechercher / voir sources historiques</t>
        </is>
      </c>
      <c r="AM105" s="2" t="inlineStr">
        <is>
          <t>À rechercher</t>
        </is>
      </c>
      <c r="AN105" s="2" t="inlineStr">
        <is>
          <t>Source de niveau variable ; contrôle par variante nécessaire</t>
        </is>
      </c>
      <c r="AO105" s="2" t="inlineStr">
        <is>
          <t>Non renseigné</t>
        </is>
      </c>
      <c r="AP105" s="2" t="inlineStr">
        <is>
          <t>Faible</t>
        </is>
      </c>
      <c r="AQ105" s="2" t="inlineStr">
        <is>
          <t>Partiel</t>
        </is>
      </c>
      <c r="AR105" s="2" t="inlineStr">
        <is>
          <t>Partiel — fiche à compléter</t>
        </is>
      </c>
      <c r="AS105" s="2" t="inlineStr">
        <is>
          <t>P2/P3</t>
        </is>
      </c>
      <c r="AT105" s="2" t="inlineStr">
        <is>
          <t>Modèle à valider historiquement avant verrouillage</t>
        </is>
      </c>
      <c r="AU105" s="2" t="inlineStr">
        <is>
          <t>À intégrer après validation du prototype</t>
        </is>
      </c>
      <c r="AV105" s="2" t="inlineStr">
        <is>
          <t>Valentine : véhicule de catégorie « Char d'infanterie », d'origine Royaume-Uni. Motorisation recensée : À rechercher. Fiche de catalogue à compléter avec le rôle tactique et les caractéristiques de jeu.</t>
        </is>
      </c>
    </row>
    <row r="106" ht="60" customHeight="1">
      <c r="A106" s="2" t="inlineStr">
        <is>
          <t>VEH-105</t>
        </is>
      </c>
      <c r="B106" s="2" t="inlineStr">
        <is>
          <t>Chars moyens</t>
        </is>
      </c>
      <c r="C106" s="2" t="inlineStr">
        <is>
          <t>Matilda II</t>
        </is>
      </c>
      <c r="D106" s="2" t="inlineStr">
        <is>
          <t>À distinguer si plusieurs variantes</t>
        </is>
      </c>
      <c r="E106" s="2" t="inlineStr">
        <is>
          <t>Royaume-Uni</t>
        </is>
      </c>
      <c r="F106" s="2" t="inlineStr">
        <is>
          <t>À documenter</t>
        </is>
      </c>
      <c r="G106" s="2" t="inlineStr">
        <is>
          <t>À confirmer</t>
        </is>
      </c>
      <c r="H106" s="2" t="inlineStr">
        <is>
          <t>Char d'infanterie</t>
        </is>
      </c>
      <c r="I106" s="2" t="inlineStr">
        <is>
          <t>À définir</t>
        </is>
      </c>
      <c r="J106" s="2" t="n"/>
      <c r="K106" s="2" t="n"/>
      <c r="L106" s="2" t="n"/>
      <c r="M106" s="2" t="n"/>
      <c r="N106" s="2" t="n"/>
      <c r="O106" s="2" t="n"/>
      <c r="P106" s="2" t="inlineStr">
        <is>
          <t>À rechercher</t>
        </is>
      </c>
      <c r="Q106" s="2" t="n"/>
      <c r="R106" s="2" t="n"/>
      <c r="S106" s="2" t="inlineStr">
        <is>
          <t>À confirmer</t>
        </is>
      </c>
      <c r="T106" s="2" t="n"/>
      <c r="U106" s="2" t="n"/>
      <c r="V106" s="2" t="n"/>
      <c r="W106" s="2" t="n"/>
      <c r="X106" s="2" t="inlineStr">
        <is>
          <t>À documenter</t>
        </is>
      </c>
      <c r="Y106" s="2" t="inlineStr">
        <is>
          <t>À documenter</t>
        </is>
      </c>
      <c r="Z106" s="2" t="inlineStr">
        <is>
          <t>À documenter</t>
        </is>
      </c>
      <c r="AA106" s="2" t="inlineStr">
        <is>
          <t>À documenter</t>
        </is>
      </c>
      <c r="AB106" s="2" t="inlineStr">
        <is>
          <t>À documenter</t>
        </is>
      </c>
      <c r="AC106" s="2" t="inlineStr">
        <is>
          <t>Canon de 2-pdr (40 mm); mitrailleuse Besa 7,92 mm; parfois lance-fumigènes</t>
        </is>
      </c>
      <c r="AD106" s="2" t="inlineStr">
        <is>
          <t>À documenter</t>
        </is>
      </c>
      <c r="AE106" s="2" t="inlineStr">
        <is>
          <t>À documenter</t>
        </is>
      </c>
      <c r="AF106" s="2" t="inlineStr">
        <is>
          <t>À définir</t>
        </is>
      </c>
      <c r="AG106" s="2" t="inlineStr">
        <is>
          <t>À définir</t>
        </is>
      </c>
      <c r="AH106" s="2" t="inlineStr">
        <is>
          <t>Réparation d’origine si véhicule complet ; démontage si incomplet</t>
        </is>
      </c>
      <c r="AI106" s="2" t="inlineStr">
        <is>
          <t>À documenter</t>
        </is>
      </c>
      <c r="AJ106" s="2" t="inlineStr">
        <is>
          <t>À définir</t>
        </is>
      </c>
      <c r="AK106" s="2" t="inlineStr">
        <is>
          <t>À documenter</t>
        </is>
      </c>
      <c r="AL106" s="2" t="inlineStr">
        <is>
          <t>À rechercher / voir sources historiques</t>
        </is>
      </c>
      <c r="AM106" s="2" t="inlineStr">
        <is>
          <t>À rechercher</t>
        </is>
      </c>
      <c r="AN106" s="2" t="inlineStr">
        <is>
          <t>Source de niveau variable ; contrôle par variante nécessaire</t>
        </is>
      </c>
      <c r="AO106" s="2" t="inlineStr">
        <is>
          <t>Non renseigné</t>
        </is>
      </c>
      <c r="AP106" s="2" t="inlineStr">
        <is>
          <t>Faible</t>
        </is>
      </c>
      <c r="AQ106" s="2" t="inlineStr">
        <is>
          <t>Élevé</t>
        </is>
      </c>
      <c r="AR106" s="2" t="inlineStr">
        <is>
          <t>Partiel — fiche à compléter</t>
        </is>
      </c>
      <c r="AS106" s="2" t="inlineStr">
        <is>
          <t>P2/P3</t>
        </is>
      </c>
      <c r="AT106" s="2" t="inlineStr">
        <is>
          <t>Modèle à valider historiquement avant verrouillage</t>
        </is>
      </c>
      <c r="AU106" s="2" t="inlineStr">
        <is>
          <t>À intégrer après validation du prototype</t>
        </is>
      </c>
      <c r="AV106" s="2" t="inlineStr">
        <is>
          <t>Matilda II : véhicule de catégorie « Char d'infanterie », d'origine Royaume-Uni. Motorisation recensée : À rechercher. Fiche de catalogue à compléter avec le rôle tactique et les caractéristiques de jeu.</t>
        </is>
      </c>
    </row>
    <row r="107" ht="60" customHeight="1">
      <c r="A107" s="2" t="inlineStr">
        <is>
          <t>VEH-106</t>
        </is>
      </c>
      <c r="B107" s="2" t="inlineStr">
        <is>
          <t>Chars moyens</t>
        </is>
      </c>
      <c r="C107" s="2" t="inlineStr">
        <is>
          <t>SOMUA S35</t>
        </is>
      </c>
      <c r="D107" s="2" t="inlineStr">
        <is>
          <t>À distinguer si plusieurs variantes</t>
        </is>
      </c>
      <c r="E107" s="2" t="inlineStr">
        <is>
          <t>France</t>
        </is>
      </c>
      <c r="F107" s="2" t="inlineStr">
        <is>
          <t>À documenter</t>
        </is>
      </c>
      <c r="G107" s="2" t="inlineStr">
        <is>
          <t>À confirmer</t>
        </is>
      </c>
      <c r="H107" s="2" t="inlineStr">
        <is>
          <t>Char moyen</t>
        </is>
      </c>
      <c r="I107" s="2" t="inlineStr">
        <is>
          <t>À définir</t>
        </is>
      </c>
      <c r="J107" s="2" t="n"/>
      <c r="K107" s="2" t="n"/>
      <c r="L107" s="2" t="n"/>
      <c r="M107" s="2" t="n"/>
      <c r="N107" s="2" t="n"/>
      <c r="O107" s="2" t="n"/>
      <c r="P107" s="2" t="inlineStr">
        <is>
          <t>À rechercher</t>
        </is>
      </c>
      <c r="Q107" s="2" t="n"/>
      <c r="R107" s="2" t="n"/>
      <c r="S107" s="2" t="inlineStr">
        <is>
          <t>À confirmer</t>
        </is>
      </c>
      <c r="T107" s="2" t="n"/>
      <c r="U107" s="2" t="n"/>
      <c r="V107" s="2" t="n"/>
      <c r="W107" s="2" t="n"/>
      <c r="X107" s="2" t="inlineStr">
        <is>
          <t>À documenter</t>
        </is>
      </c>
      <c r="Y107" s="2" t="inlineStr">
        <is>
          <t>À documenter</t>
        </is>
      </c>
      <c r="Z107" s="2" t="inlineStr">
        <is>
          <t>À documenter</t>
        </is>
      </c>
      <c r="AA107" s="2" t="inlineStr">
        <is>
          <t>À documenter</t>
        </is>
      </c>
      <c r="AB107" s="2" t="inlineStr">
        <is>
          <t>À documenter</t>
        </is>
      </c>
      <c r="AC107" s="2" t="inlineStr">
        <is>
          <t>Armement historique à déterminer précisément pour ce modèle/sa variante</t>
        </is>
      </c>
      <c r="AD107" s="2" t="inlineStr">
        <is>
          <t>À documenter</t>
        </is>
      </c>
      <c r="AE107" s="2" t="inlineStr">
        <is>
          <t>À documenter</t>
        </is>
      </c>
      <c r="AF107" s="2" t="inlineStr">
        <is>
          <t>À définir</t>
        </is>
      </c>
      <c r="AG107" s="2" t="inlineStr">
        <is>
          <t>À définir</t>
        </is>
      </c>
      <c r="AH107" s="2" t="inlineStr">
        <is>
          <t>Réparation d’origine si véhicule complet ; démontage si incomplet</t>
        </is>
      </c>
      <c r="AI107" s="2" t="inlineStr">
        <is>
          <t>À documenter</t>
        </is>
      </c>
      <c r="AJ107" s="2" t="inlineStr">
        <is>
          <t>À définir</t>
        </is>
      </c>
      <c r="AK107" s="2" t="inlineStr">
        <is>
          <t>À documenter</t>
        </is>
      </c>
      <c r="AL107" s="2" t="inlineStr">
        <is>
          <t>À rechercher / voir sources historiques</t>
        </is>
      </c>
      <c r="AM107" s="2" t="inlineStr">
        <is>
          <t>À rechercher</t>
        </is>
      </c>
      <c r="AN107" s="2" t="inlineStr">
        <is>
          <t>Source de niveau variable ; contrôle par variante nécessaire</t>
        </is>
      </c>
      <c r="AO107" s="2" t="inlineStr">
        <is>
          <t>Non renseigné</t>
        </is>
      </c>
      <c r="AP107" s="2" t="inlineStr">
        <is>
          <t>Faible</t>
        </is>
      </c>
      <c r="AQ107" s="2" t="inlineStr">
        <is>
          <t>À vérifier</t>
        </is>
      </c>
      <c r="AR107" s="2" t="inlineStr">
        <is>
          <t>Partiel — fiche à compléter</t>
        </is>
      </c>
      <c r="AS107" s="2" t="inlineStr">
        <is>
          <t>P2/P3</t>
        </is>
      </c>
      <c r="AT107" s="2" t="inlineStr">
        <is>
          <t>Modèle à valider historiquement avant verrouillage</t>
        </is>
      </c>
      <c r="AU107" s="2" t="inlineStr">
        <is>
          <t>À intégrer après validation du prototype</t>
        </is>
      </c>
      <c r="AV107" s="2" t="inlineStr">
        <is>
          <t>SOMUA S35 : véhicule de catégorie « Char moyen », d'origine France. Motorisation recensée : À rechercher. Fiche de catalogue à compléter avec le rôle tactique et les caractéristiques de jeu.</t>
        </is>
      </c>
    </row>
    <row r="108" ht="60" customHeight="1">
      <c r="A108" s="2" t="inlineStr">
        <is>
          <t>VEH-107</t>
        </is>
      </c>
      <c r="B108" s="2" t="inlineStr">
        <is>
          <t>Chars moyens</t>
        </is>
      </c>
      <c r="C108" s="2" t="inlineStr">
        <is>
          <t>Char B1 bis</t>
        </is>
      </c>
      <c r="D108" s="2" t="inlineStr">
        <is>
          <t>À distinguer si plusieurs variantes</t>
        </is>
      </c>
      <c r="E108" s="2" t="inlineStr">
        <is>
          <t>France</t>
        </is>
      </c>
      <c r="F108" s="2" t="inlineStr">
        <is>
          <t>À documenter</t>
        </is>
      </c>
      <c r="G108" s="2" t="inlineStr">
        <is>
          <t>À confirmer</t>
        </is>
      </c>
      <c r="H108" s="2" t="inlineStr">
        <is>
          <t>Char lourd</t>
        </is>
      </c>
      <c r="I108" s="2" t="inlineStr">
        <is>
          <t>À définir</t>
        </is>
      </c>
      <c r="J108" s="2" t="n"/>
      <c r="K108" s="2" t="n"/>
      <c r="L108" s="2" t="n"/>
      <c r="M108" s="2" t="n"/>
      <c r="N108" s="2" t="n"/>
      <c r="O108" s="2" t="n"/>
      <c r="P108" s="2" t="inlineStr">
        <is>
          <t>À rechercher</t>
        </is>
      </c>
      <c r="Q108" s="2" t="n"/>
      <c r="R108" s="2" t="n"/>
      <c r="S108" s="2" t="inlineStr">
        <is>
          <t>À confirmer</t>
        </is>
      </c>
      <c r="T108" s="2" t="n"/>
      <c r="U108" s="2" t="n"/>
      <c r="V108" s="2" t="n"/>
      <c r="W108" s="2" t="n"/>
      <c r="X108" s="2" t="inlineStr">
        <is>
          <t>À documenter</t>
        </is>
      </c>
      <c r="Y108" s="2" t="inlineStr">
        <is>
          <t>À documenter</t>
        </is>
      </c>
      <c r="Z108" s="2" t="inlineStr">
        <is>
          <t>À documenter</t>
        </is>
      </c>
      <c r="AA108" s="2" t="inlineStr">
        <is>
          <t>À documenter</t>
        </is>
      </c>
      <c r="AB108" s="2" t="inlineStr">
        <is>
          <t>À documenter</t>
        </is>
      </c>
      <c r="AC108" s="2" t="inlineStr">
        <is>
          <t>Armement historique à déterminer précisément pour ce modèle/sa variante</t>
        </is>
      </c>
      <c r="AD108" s="2" t="inlineStr">
        <is>
          <t>À documenter</t>
        </is>
      </c>
      <c r="AE108" s="2" t="inlineStr">
        <is>
          <t>À documenter</t>
        </is>
      </c>
      <c r="AF108" s="2" t="inlineStr">
        <is>
          <t>À définir</t>
        </is>
      </c>
      <c r="AG108" s="2" t="inlineStr">
        <is>
          <t>À définir</t>
        </is>
      </c>
      <c r="AH108" s="2" t="inlineStr">
        <is>
          <t>Réparation d’origine si véhicule complet ; démontage si incomplet</t>
        </is>
      </c>
      <c r="AI108" s="2" t="inlineStr">
        <is>
          <t>À documenter</t>
        </is>
      </c>
      <c r="AJ108" s="2" t="inlineStr">
        <is>
          <t>À définir</t>
        </is>
      </c>
      <c r="AK108" s="2" t="inlineStr">
        <is>
          <t>À documenter</t>
        </is>
      </c>
      <c r="AL108" s="2" t="inlineStr">
        <is>
          <t>À rechercher / voir sources historiques</t>
        </is>
      </c>
      <c r="AM108" s="2" t="inlineStr">
        <is>
          <t>À rechercher</t>
        </is>
      </c>
      <c r="AN108" s="2" t="inlineStr">
        <is>
          <t>Source de niveau variable ; contrôle par variante nécessaire</t>
        </is>
      </c>
      <c r="AO108" s="2" t="inlineStr">
        <is>
          <t>Non renseigné</t>
        </is>
      </c>
      <c r="AP108" s="2" t="inlineStr">
        <is>
          <t>Faible</t>
        </is>
      </c>
      <c r="AQ108" s="2" t="inlineStr">
        <is>
          <t>À vérifier</t>
        </is>
      </c>
      <c r="AR108" s="2" t="inlineStr">
        <is>
          <t>Partiel — fiche à compléter</t>
        </is>
      </c>
      <c r="AS108" s="2" t="inlineStr">
        <is>
          <t>P2/P3</t>
        </is>
      </c>
      <c r="AT108" s="2" t="inlineStr">
        <is>
          <t>Modèle à valider historiquement avant verrouillage</t>
        </is>
      </c>
      <c r="AU108" s="2" t="inlineStr">
        <is>
          <t>À intégrer après validation du prototype</t>
        </is>
      </c>
      <c r="AV108" s="2" t="inlineStr">
        <is>
          <t>Char B1 bis : véhicule de catégorie « Char lourd », d'origine France. Motorisation recensée : À rechercher. Fiche de catalogue à compléter avec le rôle tactique et les caractéristiques de jeu.</t>
        </is>
      </c>
    </row>
    <row r="109" ht="60" customHeight="1">
      <c r="A109" s="2" t="inlineStr">
        <is>
          <t>VEH-108</t>
        </is>
      </c>
      <c r="B109" s="2" t="inlineStr">
        <is>
          <t>Chars moyens</t>
        </is>
      </c>
      <c r="C109" s="2" t="inlineStr">
        <is>
          <t>M13/40</t>
        </is>
      </c>
      <c r="D109" s="2" t="inlineStr">
        <is>
          <t>À distinguer si plusieurs variantes</t>
        </is>
      </c>
      <c r="E109" s="2" t="inlineStr">
        <is>
          <t>Italie</t>
        </is>
      </c>
      <c r="F109" s="2" t="inlineStr">
        <is>
          <t>À documenter</t>
        </is>
      </c>
      <c r="G109" s="2" t="inlineStr">
        <is>
          <t>À confirmer</t>
        </is>
      </c>
      <c r="H109" s="2" t="inlineStr">
        <is>
          <t>Char moyen</t>
        </is>
      </c>
      <c r="I109" s="2" t="inlineStr">
        <is>
          <t>À définir</t>
        </is>
      </c>
      <c r="J109" s="2" t="n"/>
      <c r="K109" s="2" t="n"/>
      <c r="L109" s="2" t="n"/>
      <c r="M109" s="2" t="n"/>
      <c r="N109" s="2" t="n"/>
      <c r="O109" s="2" t="n"/>
      <c r="P109" s="2" t="inlineStr">
        <is>
          <t>À rechercher</t>
        </is>
      </c>
      <c r="Q109" s="2" t="n"/>
      <c r="R109" s="2" t="n"/>
      <c r="S109" s="2" t="inlineStr">
        <is>
          <t>À confirmer</t>
        </is>
      </c>
      <c r="T109" s="2" t="n"/>
      <c r="U109" s="2" t="n"/>
      <c r="V109" s="2" t="n"/>
      <c r="W109" s="2" t="n"/>
      <c r="X109" s="2" t="inlineStr">
        <is>
          <t>À documenter</t>
        </is>
      </c>
      <c r="Y109" s="2" t="inlineStr">
        <is>
          <t>À documenter</t>
        </is>
      </c>
      <c r="Z109" s="2" t="inlineStr">
        <is>
          <t>À documenter</t>
        </is>
      </c>
      <c r="AA109" s="2" t="inlineStr">
        <is>
          <t>À documenter</t>
        </is>
      </c>
      <c r="AB109" s="2" t="inlineStr">
        <is>
          <t>À documenter</t>
        </is>
      </c>
      <c r="AC109" s="2" t="inlineStr">
        <is>
          <t>Armement historique à déterminer précisément pour ce modèle/sa variante</t>
        </is>
      </c>
      <c r="AD109" s="2" t="inlineStr">
        <is>
          <t>À documenter</t>
        </is>
      </c>
      <c r="AE109" s="2" t="inlineStr">
        <is>
          <t>À documenter</t>
        </is>
      </c>
      <c r="AF109" s="2" t="inlineStr">
        <is>
          <t>À définir</t>
        </is>
      </c>
      <c r="AG109" s="2" t="inlineStr">
        <is>
          <t>À définir</t>
        </is>
      </c>
      <c r="AH109" s="2" t="inlineStr">
        <is>
          <t>Réparation d’origine si véhicule complet ; démontage si incomplet</t>
        </is>
      </c>
      <c r="AI109" s="2" t="inlineStr">
        <is>
          <t>À documenter</t>
        </is>
      </c>
      <c r="AJ109" s="2" t="inlineStr">
        <is>
          <t>À définir</t>
        </is>
      </c>
      <c r="AK109" s="2" t="inlineStr">
        <is>
          <t>À documenter</t>
        </is>
      </c>
      <c r="AL109" s="2" t="inlineStr">
        <is>
          <t>À rechercher / voir sources historiques</t>
        </is>
      </c>
      <c r="AM109" s="2" t="inlineStr">
        <is>
          <t>À rechercher</t>
        </is>
      </c>
      <c r="AN109" s="2" t="inlineStr">
        <is>
          <t>Source de niveau variable ; contrôle par variante nécessaire</t>
        </is>
      </c>
      <c r="AO109" s="2" t="inlineStr">
        <is>
          <t>Non renseigné</t>
        </is>
      </c>
      <c r="AP109" s="2" t="inlineStr">
        <is>
          <t>Faible</t>
        </is>
      </c>
      <c r="AQ109" s="2" t="inlineStr">
        <is>
          <t>À vérifier</t>
        </is>
      </c>
      <c r="AR109" s="2" t="inlineStr">
        <is>
          <t>Partiel — fiche à compléter</t>
        </is>
      </c>
      <c r="AS109" s="2" t="inlineStr">
        <is>
          <t>P2/P3</t>
        </is>
      </c>
      <c r="AT109" s="2" t="inlineStr">
        <is>
          <t>Modèle à valider historiquement avant verrouillage</t>
        </is>
      </c>
      <c r="AU109" s="2" t="inlineStr">
        <is>
          <t>À intégrer après validation du prototype</t>
        </is>
      </c>
      <c r="AV109" s="2" t="inlineStr">
        <is>
          <t>M13/40 : véhicule de catégorie « Char moyen », d'origine Italie. Motorisation recensée : À rechercher. Fiche de catalogue à compléter avec le rôle tactique et les caractéristiques de jeu.</t>
        </is>
      </c>
    </row>
    <row r="110" ht="60" customHeight="1">
      <c r="A110" s="2" t="inlineStr">
        <is>
          <t>VEH-109</t>
        </is>
      </c>
      <c r="B110" s="2" t="inlineStr">
        <is>
          <t>Chars moyens</t>
        </is>
      </c>
      <c r="C110" s="2" t="inlineStr">
        <is>
          <t>M15/42</t>
        </is>
      </c>
      <c r="D110" s="2" t="inlineStr">
        <is>
          <t>À distinguer si plusieurs variantes</t>
        </is>
      </c>
      <c r="E110" s="2" t="inlineStr">
        <is>
          <t>Italie</t>
        </is>
      </c>
      <c r="F110" s="2" t="inlineStr">
        <is>
          <t>À documenter</t>
        </is>
      </c>
      <c r="G110" s="2" t="inlineStr">
        <is>
          <t>À confirmer</t>
        </is>
      </c>
      <c r="H110" s="2" t="inlineStr">
        <is>
          <t>Char moyen</t>
        </is>
      </c>
      <c r="I110" s="2" t="inlineStr">
        <is>
          <t>À définir</t>
        </is>
      </c>
      <c r="J110" s="2" t="n"/>
      <c r="K110" s="2" t="n"/>
      <c r="L110" s="2" t="n"/>
      <c r="M110" s="2" t="n"/>
      <c r="N110" s="2" t="n"/>
      <c r="O110" s="2" t="n"/>
      <c r="P110" s="2" t="inlineStr">
        <is>
          <t>À rechercher</t>
        </is>
      </c>
      <c r="Q110" s="2" t="n"/>
      <c r="R110" s="2" t="n"/>
      <c r="S110" s="2" t="inlineStr">
        <is>
          <t>À confirmer</t>
        </is>
      </c>
      <c r="T110" s="2" t="n"/>
      <c r="U110" s="2" t="n"/>
      <c r="V110" s="2" t="n"/>
      <c r="W110" s="2" t="n"/>
      <c r="X110" s="2" t="inlineStr">
        <is>
          <t>À documenter</t>
        </is>
      </c>
      <c r="Y110" s="2" t="inlineStr">
        <is>
          <t>À documenter</t>
        </is>
      </c>
      <c r="Z110" s="2" t="inlineStr">
        <is>
          <t>À documenter</t>
        </is>
      </c>
      <c r="AA110" s="2" t="inlineStr">
        <is>
          <t>À documenter</t>
        </is>
      </c>
      <c r="AB110" s="2" t="inlineStr">
        <is>
          <t>À documenter</t>
        </is>
      </c>
      <c r="AC110" s="2" t="inlineStr">
        <is>
          <t>Canon de 47/32 mm; mitrailleuses Breda 8 mm</t>
        </is>
      </c>
      <c r="AD110" s="2" t="inlineStr">
        <is>
          <t>À documenter</t>
        </is>
      </c>
      <c r="AE110" s="2" t="inlineStr">
        <is>
          <t>À documenter</t>
        </is>
      </c>
      <c r="AF110" s="2" t="inlineStr">
        <is>
          <t>À définir</t>
        </is>
      </c>
      <c r="AG110" s="2" t="inlineStr">
        <is>
          <t>À définir</t>
        </is>
      </c>
      <c r="AH110" s="2" t="inlineStr">
        <is>
          <t>Réparation d’origine si véhicule complet ; démontage si incomplet</t>
        </is>
      </c>
      <c r="AI110" s="2" t="inlineStr">
        <is>
          <t>À documenter</t>
        </is>
      </c>
      <c r="AJ110" s="2" t="inlineStr">
        <is>
          <t>À définir</t>
        </is>
      </c>
      <c r="AK110" s="2" t="inlineStr">
        <is>
          <t>À documenter</t>
        </is>
      </c>
      <c r="AL110" s="2" t="inlineStr">
        <is>
          <t>À rechercher / voir sources historiques</t>
        </is>
      </c>
      <c r="AM110" s="2" t="inlineStr">
        <is>
          <t>À rechercher</t>
        </is>
      </c>
      <c r="AN110" s="2" t="inlineStr">
        <is>
          <t>Source de niveau variable ; contrôle par variante nécessaire</t>
        </is>
      </c>
      <c r="AO110" s="2" t="inlineStr">
        <is>
          <t>Non renseigné</t>
        </is>
      </c>
      <c r="AP110" s="2" t="inlineStr">
        <is>
          <t>Faible</t>
        </is>
      </c>
      <c r="AQ110" s="2" t="inlineStr">
        <is>
          <t>Partiel</t>
        </is>
      </c>
      <c r="AR110" s="2" t="inlineStr">
        <is>
          <t>Partiel — fiche à compléter</t>
        </is>
      </c>
      <c r="AS110" s="2" t="inlineStr">
        <is>
          <t>P2/P3</t>
        </is>
      </c>
      <c r="AT110" s="2" t="inlineStr">
        <is>
          <t>Modèle à valider historiquement avant verrouillage</t>
        </is>
      </c>
      <c r="AU110" s="2" t="inlineStr">
        <is>
          <t>À intégrer après validation du prototype</t>
        </is>
      </c>
      <c r="AV110" s="2" t="inlineStr">
        <is>
          <t>M15/42 : véhicule de catégorie « Char moyen », d'origine Italie. Motorisation recensée : À rechercher. Fiche de catalogue à compléter avec le rôle tactique et les caractéristiques de jeu.</t>
        </is>
      </c>
    </row>
    <row r="111" ht="60" customHeight="1">
      <c r="A111" s="2" t="inlineStr">
        <is>
          <t>VEH-110</t>
        </is>
      </c>
      <c r="B111" s="2" t="inlineStr">
        <is>
          <t>Chars moyens</t>
        </is>
      </c>
      <c r="C111" s="2" t="inlineStr">
        <is>
          <t>Type 97 Chi-Ha</t>
        </is>
      </c>
      <c r="D111" s="2" t="inlineStr">
        <is>
          <t>À distinguer si plusieurs variantes</t>
        </is>
      </c>
      <c r="E111" s="2" t="inlineStr">
        <is>
          <t>Japon</t>
        </is>
      </c>
      <c r="F111" s="2" t="inlineStr">
        <is>
          <t>À documenter</t>
        </is>
      </c>
      <c r="G111" s="2" t="inlineStr">
        <is>
          <t>À confirmer</t>
        </is>
      </c>
      <c r="H111" s="2" t="inlineStr">
        <is>
          <t>Char moyen</t>
        </is>
      </c>
      <c r="I111" s="2" t="inlineStr">
        <is>
          <t>À définir</t>
        </is>
      </c>
      <c r="J111" s="2" t="n"/>
      <c r="K111" s="2" t="n"/>
      <c r="L111" s="2" t="n"/>
      <c r="M111" s="2" t="n"/>
      <c r="N111" s="2" t="n"/>
      <c r="O111" s="2" t="n"/>
      <c r="P111" s="2" t="inlineStr">
        <is>
          <t>À rechercher</t>
        </is>
      </c>
      <c r="Q111" s="2" t="n"/>
      <c r="R111" s="2" t="n"/>
      <c r="S111" s="2" t="inlineStr">
        <is>
          <t>À confirmer</t>
        </is>
      </c>
      <c r="T111" s="2" t="n"/>
      <c r="U111" s="2" t="n"/>
      <c r="V111" s="2" t="n"/>
      <c r="W111" s="2" t="n"/>
      <c r="X111" s="2" t="inlineStr">
        <is>
          <t>À documenter</t>
        </is>
      </c>
      <c r="Y111" s="2" t="inlineStr">
        <is>
          <t>À documenter</t>
        </is>
      </c>
      <c r="Z111" s="2" t="inlineStr">
        <is>
          <t>À documenter</t>
        </is>
      </c>
      <c r="AA111" s="2" t="inlineStr">
        <is>
          <t>À documenter</t>
        </is>
      </c>
      <c r="AB111" s="2" t="inlineStr">
        <is>
          <t>À documenter</t>
        </is>
      </c>
      <c r="AC111" s="2" t="inlineStr">
        <is>
          <t>Canon de 57 mm Type 97 ou 47 mm Type 1 selon version; mitrailleuses Type 97 de 7,7 mm</t>
        </is>
      </c>
      <c r="AD111" s="2" t="inlineStr">
        <is>
          <t>À documenter</t>
        </is>
      </c>
      <c r="AE111" s="2" t="inlineStr">
        <is>
          <t>À documenter</t>
        </is>
      </c>
      <c r="AF111" s="2" t="inlineStr">
        <is>
          <t>À définir</t>
        </is>
      </c>
      <c r="AG111" s="2" t="inlineStr">
        <is>
          <t>À définir</t>
        </is>
      </c>
      <c r="AH111" s="2" t="inlineStr">
        <is>
          <t>Réparation d’origine si véhicule complet ; démontage si incomplet</t>
        </is>
      </c>
      <c r="AI111" s="2" t="inlineStr">
        <is>
          <t>À documenter</t>
        </is>
      </c>
      <c r="AJ111" s="2" t="inlineStr">
        <is>
          <t>À définir</t>
        </is>
      </c>
      <c r="AK111" s="2" t="inlineStr">
        <is>
          <t>À documenter</t>
        </is>
      </c>
      <c r="AL111" s="2" t="inlineStr">
        <is>
          <t>À rechercher / voir sources historiques</t>
        </is>
      </c>
      <c r="AM111" s="2" t="inlineStr">
        <is>
          <t>À rechercher</t>
        </is>
      </c>
      <c r="AN111" s="2" t="inlineStr">
        <is>
          <t>Source de niveau variable ; contrôle par variante nécessaire</t>
        </is>
      </c>
      <c r="AO111" s="2" t="inlineStr">
        <is>
          <t>Non renseigné</t>
        </is>
      </c>
      <c r="AP111" s="2" t="inlineStr">
        <is>
          <t>Faible</t>
        </is>
      </c>
      <c r="AQ111" s="2" t="inlineStr">
        <is>
          <t>Partiel</t>
        </is>
      </c>
      <c r="AR111" s="2" t="inlineStr">
        <is>
          <t>Partiel — fiche à compléter</t>
        </is>
      </c>
      <c r="AS111" s="2" t="inlineStr">
        <is>
          <t>P2/P3</t>
        </is>
      </c>
      <c r="AT111" s="2" t="inlineStr">
        <is>
          <t>Modèle à valider historiquement avant verrouillage</t>
        </is>
      </c>
      <c r="AU111" s="2" t="inlineStr">
        <is>
          <t>À intégrer après validation du prototype</t>
        </is>
      </c>
      <c r="AV111" s="2" t="inlineStr">
        <is>
          <t>Type 97 Chi-Ha : véhicule de catégorie « Char moyen », d'origine Japon. Motorisation recensée : À rechercher. Fiche de catalogue à compléter avec le rôle tactique et les caractéristiques de jeu.</t>
        </is>
      </c>
    </row>
    <row r="112" ht="60" customHeight="1">
      <c r="A112" s="2" t="inlineStr">
        <is>
          <t>VEH-111</t>
        </is>
      </c>
      <c r="B112" s="2" t="inlineStr">
        <is>
          <t>Chars lourds et chasseurs de chars</t>
        </is>
      </c>
      <c r="C112" s="2" t="inlineStr">
        <is>
          <t>Churchill</t>
        </is>
      </c>
      <c r="D112" s="2" t="inlineStr">
        <is>
          <t>À distinguer si plusieurs variantes</t>
        </is>
      </c>
      <c r="E112" s="2" t="inlineStr">
        <is>
          <t>Royaume-Uni</t>
        </is>
      </c>
      <c r="F112" s="2" t="inlineStr">
        <is>
          <t>À documenter</t>
        </is>
      </c>
      <c r="G112" s="2" t="inlineStr">
        <is>
          <t>À confirmer</t>
        </is>
      </c>
      <c r="H112" s="2" t="inlineStr">
        <is>
          <t>Char d'infanterie lourd</t>
        </is>
      </c>
      <c r="I112" s="2" t="inlineStr">
        <is>
          <t>À définir</t>
        </is>
      </c>
      <c r="J112" s="2" t="n"/>
      <c r="K112" s="2" t="n"/>
      <c r="L112" s="2" t="n"/>
      <c r="M112" s="2" t="n"/>
      <c r="N112" s="2" t="n"/>
      <c r="O112" s="2" t="n"/>
      <c r="P112" s="2" t="inlineStr">
        <is>
          <t>À rechercher</t>
        </is>
      </c>
      <c r="Q112" s="2" t="n"/>
      <c r="R112" s="2" t="n"/>
      <c r="S112" s="2" t="inlineStr">
        <is>
          <t>À confirmer</t>
        </is>
      </c>
      <c r="T112" s="2" t="n"/>
      <c r="U112" s="2" t="n"/>
      <c r="V112" s="2" t="n"/>
      <c r="W112" s="2" t="n"/>
      <c r="X112" s="2" t="inlineStr">
        <is>
          <t>À documenter</t>
        </is>
      </c>
      <c r="Y112" s="2" t="inlineStr">
        <is>
          <t>À documenter</t>
        </is>
      </c>
      <c r="Z112" s="2" t="inlineStr">
        <is>
          <t>À documenter</t>
        </is>
      </c>
      <c r="AA112" s="2" t="inlineStr">
        <is>
          <t>À documenter</t>
        </is>
      </c>
      <c r="AB112" s="2" t="inlineStr">
        <is>
          <t>À documenter</t>
        </is>
      </c>
      <c r="AC112" s="2" t="inlineStr">
        <is>
          <t>Canon de 2-pdr, 6-pdr ou 75 mm selon version; mitrailleuse Besa 7,92 mm; parfois obusier de 3 pouces</t>
        </is>
      </c>
      <c r="AD112" s="2" t="inlineStr">
        <is>
          <t>À documenter</t>
        </is>
      </c>
      <c r="AE112" s="2" t="inlineStr">
        <is>
          <t>À documenter</t>
        </is>
      </c>
      <c r="AF112" s="2" t="inlineStr">
        <is>
          <t>À définir</t>
        </is>
      </c>
      <c r="AG112" s="2" t="inlineStr">
        <is>
          <t>À définir</t>
        </is>
      </c>
      <c r="AH112" s="2" t="inlineStr">
        <is>
          <t>Réparation d’origine si véhicule complet ; démontage si incomplet</t>
        </is>
      </c>
      <c r="AI112" s="2" t="inlineStr">
        <is>
          <t>À documenter</t>
        </is>
      </c>
      <c r="AJ112" s="2" t="inlineStr">
        <is>
          <t>À définir</t>
        </is>
      </c>
      <c r="AK112" s="2" t="inlineStr">
        <is>
          <t>À documenter</t>
        </is>
      </c>
      <c r="AL112" s="2" t="inlineStr">
        <is>
          <t>À rechercher / voir sources historiques</t>
        </is>
      </c>
      <c r="AM112" s="2" t="inlineStr">
        <is>
          <t>À rechercher</t>
        </is>
      </c>
      <c r="AN112" s="2" t="inlineStr">
        <is>
          <t>Source de niveau variable ; contrôle par variante nécessaire</t>
        </is>
      </c>
      <c r="AO112" s="2" t="inlineStr">
        <is>
          <t>Non renseigné</t>
        </is>
      </c>
      <c r="AP112" s="2" t="inlineStr">
        <is>
          <t>Faible</t>
        </is>
      </c>
      <c r="AQ112" s="2" t="inlineStr">
        <is>
          <t>Partiel</t>
        </is>
      </c>
      <c r="AR112" s="2" t="inlineStr">
        <is>
          <t>Partiel — fiche à compléter</t>
        </is>
      </c>
      <c r="AS112" s="2" t="inlineStr">
        <is>
          <t>P2/P3</t>
        </is>
      </c>
      <c r="AT112" s="2" t="inlineStr">
        <is>
          <t>Modèle à valider historiquement avant verrouillage</t>
        </is>
      </c>
      <c r="AU112" s="2" t="inlineStr">
        <is>
          <t>À intégrer après validation du prototype</t>
        </is>
      </c>
      <c r="AV112" s="2" t="inlineStr">
        <is>
          <t>Churchill : véhicule de catégorie « Char d'infanterie lourd », d'origine Royaume-Uni. Motorisation recensée : À rechercher. Fiche de catalogue à compléter avec le rôle tactique et les caractéristiques de jeu.</t>
        </is>
      </c>
    </row>
    <row r="113" ht="60" customHeight="1">
      <c r="A113" s="2" t="inlineStr">
        <is>
          <t>VEH-112</t>
        </is>
      </c>
      <c r="B113" s="2" t="inlineStr">
        <is>
          <t>Chars lourds et chasseurs de chars</t>
        </is>
      </c>
      <c r="C113" s="2" t="inlineStr">
        <is>
          <t>Tiger I</t>
        </is>
      </c>
      <c r="D113" s="2" t="inlineStr">
        <is>
          <t>À distinguer si plusieurs variantes</t>
        </is>
      </c>
      <c r="E113" s="2" t="inlineStr">
        <is>
          <t>Allemagne</t>
        </is>
      </c>
      <c r="F113" s="2" t="inlineStr">
        <is>
          <t>À documenter</t>
        </is>
      </c>
      <c r="G113" s="2" t="inlineStr">
        <is>
          <t>À confirmer</t>
        </is>
      </c>
      <c r="H113" s="2" t="inlineStr">
        <is>
          <t>Char lourd</t>
        </is>
      </c>
      <c r="I113" s="2" t="inlineStr">
        <is>
          <t>À définir</t>
        </is>
      </c>
      <c r="J113" s="2" t="n">
        <v>57000</v>
      </c>
      <c r="K113" s="2" t="n"/>
      <c r="L113" s="2" t="n">
        <v>8.449999999999999</v>
      </c>
      <c r="M113" s="2" t="n">
        <v>3.71</v>
      </c>
      <c r="N113" s="2" t="n">
        <v>3</v>
      </c>
      <c r="O113" s="2" t="n"/>
      <c r="P113" s="2" t="inlineStr">
        <is>
          <t>Maybach HL 210 P45 ou HL 230 P45, V12 essence refroidi par liquide</t>
        </is>
      </c>
      <c r="Q113" s="2" t="n">
        <v>23</v>
      </c>
      <c r="R113" s="2" t="n">
        <v>700</v>
      </c>
      <c r="S113" s="2" t="inlineStr">
        <is>
          <t>Essence</t>
        </is>
      </c>
      <c r="T113" s="2" t="n"/>
      <c r="U113" s="2" t="n"/>
      <c r="V113" s="2" t="n">
        <v>38</v>
      </c>
      <c r="W113" s="2" t="n"/>
      <c r="X113" s="2" t="inlineStr">
        <is>
          <t>5</t>
        </is>
      </c>
      <c r="Y113" s="2" t="inlineStr">
        <is>
          <t>À documenter</t>
        </is>
      </c>
      <c r="Z113" s="2" t="inlineStr">
        <is>
          <t>À documenter</t>
        </is>
      </c>
      <c r="AA113" s="2" t="inlineStr">
        <is>
          <t>À documenter</t>
        </is>
      </c>
      <c r="AB113" s="2" t="inlineStr">
        <is>
          <t>À documenter</t>
        </is>
      </c>
      <c r="AC113" s="2" t="inlineStr">
        <is>
          <t>Canon de 88 mm KwK 36 L/56; 2 mitrailleuses MG 34 de 7,92 mm</t>
        </is>
      </c>
      <c r="AD113" s="2" t="inlineStr">
        <is>
          <t>À documenter</t>
        </is>
      </c>
      <c r="AE113" s="2" t="inlineStr">
        <is>
          <t>À documenter</t>
        </is>
      </c>
      <c r="AF113" s="2" t="inlineStr">
        <is>
          <t>À définir</t>
        </is>
      </c>
      <c r="AG113" s="2" t="inlineStr">
        <is>
          <t>À définir</t>
        </is>
      </c>
      <c r="AH113" s="2" t="inlineStr">
        <is>
          <t>Réparation d’origine si véhicule complet ; démontage si incomplet</t>
        </is>
      </c>
      <c r="AI113" s="2" t="inlineStr">
        <is>
          <t>À documenter</t>
        </is>
      </c>
      <c r="AJ113" s="2" t="inlineStr">
        <is>
          <t>À définir</t>
        </is>
      </c>
      <c r="AK113" s="2" t="inlineStr">
        <is>
          <t>À documenter</t>
        </is>
      </c>
      <c r="AL113" s="2" t="inlineStr">
        <is>
          <t>https://www.alanhamby.com/technical.html</t>
        </is>
      </c>
      <c r="AM113" s="2" t="inlineStr">
        <is>
          <t>À rechercher</t>
        </is>
      </c>
      <c r="AN113" s="2" t="inlineStr">
        <is>
          <t>Source de niveau variable ; contrôle par variante nécessaire</t>
        </is>
      </c>
      <c r="AO113" s="2" t="inlineStr">
        <is>
          <t>Moyen</t>
        </is>
      </c>
      <c r="AP113" s="2" t="inlineStr">
        <is>
          <t>Moyen</t>
        </is>
      </c>
      <c r="AQ113" s="2" t="inlineStr">
        <is>
          <t>Élevé</t>
        </is>
      </c>
      <c r="AR113" s="2" t="inlineStr">
        <is>
          <t>Partiel — premières données sourcées</t>
        </is>
      </c>
      <c r="AS113" s="2" t="inlineStr">
        <is>
          <t>P1</t>
        </is>
      </c>
      <c r="AT113" s="2" t="inlineStr">
        <is>
          <t>Modèle à valider historiquement avant verrouillage Le moteur HL 210 équipe les premiers véhicules ; le HL 230 apparaît ensuite. Ne pas traiter comme une seule configuration sans variante.</t>
        </is>
      </c>
      <c r="AU113" s="2" t="inlineStr">
        <is>
          <t>Char lourd à forte puissance de feu</t>
        </is>
      </c>
      <c r="AV113" s="2" t="inlineStr">
        <is>
          <t>Tiger I : véhicule de catégorie « Char lourd », d'origine Allemagne. Motorisation recensée : À rechercher. Fiche de catalogue à compléter avec le rôle tactique et les caractéristiques de jeu.</t>
        </is>
      </c>
    </row>
    <row r="114" ht="60" customHeight="1">
      <c r="A114" s="2" t="inlineStr">
        <is>
          <t>VEH-113</t>
        </is>
      </c>
      <c r="B114" s="2" t="inlineStr">
        <is>
          <t>Chars lourds et chasseurs de chars</t>
        </is>
      </c>
      <c r="C114" s="2" t="inlineStr">
        <is>
          <t>Tiger II</t>
        </is>
      </c>
      <c r="D114" s="2" t="inlineStr">
        <is>
          <t>À distinguer si plusieurs variantes</t>
        </is>
      </c>
      <c r="E114" s="2" t="inlineStr">
        <is>
          <t>Allemagne</t>
        </is>
      </c>
      <c r="F114" s="2" t="inlineStr">
        <is>
          <t>À documenter</t>
        </is>
      </c>
      <c r="G114" s="2" t="inlineStr">
        <is>
          <t>À confirmer</t>
        </is>
      </c>
      <c r="H114" s="2" t="inlineStr">
        <is>
          <t>Char lourd</t>
        </is>
      </c>
      <c r="I114" s="2" t="inlineStr">
        <is>
          <t>À définir</t>
        </is>
      </c>
      <c r="J114" s="2" t="n">
        <v>69800</v>
      </c>
      <c r="K114" s="2" t="n"/>
      <c r="L114" s="2" t="n">
        <v>10.28</v>
      </c>
      <c r="M114" s="2" t="n">
        <v>3.65</v>
      </c>
      <c r="N114" s="2" t="n">
        <v>3.09</v>
      </c>
      <c r="O114" s="2" t="n"/>
      <c r="P114" s="2" t="inlineStr">
        <is>
          <t>Maybach HL 230 P30, V12 essence refroidi par liquide</t>
        </is>
      </c>
      <c r="Q114" s="2" t="n">
        <v>23.88</v>
      </c>
      <c r="R114" s="2" t="n">
        <v>700</v>
      </c>
      <c r="S114" s="2" t="inlineStr">
        <is>
          <t>Essence</t>
        </is>
      </c>
      <c r="T114" s="2" t="n">
        <v>860</v>
      </c>
      <c r="U114" s="2" t="n"/>
      <c r="V114" s="2" t="n">
        <v>38</v>
      </c>
      <c r="W114" s="2" t="n">
        <v>170</v>
      </c>
      <c r="X114" s="2" t="inlineStr">
        <is>
          <t>5</t>
        </is>
      </c>
      <c r="Y114" s="2" t="inlineStr">
        <is>
          <t>À documenter</t>
        </is>
      </c>
      <c r="Z114" s="2" t="inlineStr">
        <is>
          <t>À documenter</t>
        </is>
      </c>
      <c r="AA114" s="2" t="inlineStr">
        <is>
          <t>À documenter</t>
        </is>
      </c>
      <c r="AB114" s="2" t="inlineStr">
        <is>
          <t>Caisse avant jusqu’à environ 150 mm ; tourelle frontale jusqu’à environ 180–185 mm selon version/zone</t>
        </is>
      </c>
      <c r="AC114" s="2" t="inlineStr">
        <is>
          <t>Canon de 8,8 cm KwK 43 L/71</t>
        </is>
      </c>
      <c r="AD114" s="2" t="inlineStr">
        <is>
          <t>Deux mitrailleuses MG 34 de 7,92 mm selon configuration</t>
        </is>
      </c>
      <c r="AE114" s="2" t="inlineStr">
        <is>
          <t>À documenter</t>
        </is>
      </c>
      <c r="AF114" s="2" t="inlineStr">
        <is>
          <t>À définir</t>
        </is>
      </c>
      <c r="AG114" s="2" t="inlineStr">
        <is>
          <t>À définir</t>
        </is>
      </c>
      <c r="AH114" s="2" t="inlineStr">
        <is>
          <t>Réparation d’origine si véhicule complet ; démontage si incomplet</t>
        </is>
      </c>
      <c r="AI114" s="2" t="inlineStr">
        <is>
          <t>Moteur HL 230, transmission, embrayage/direction, chenilles, barbotins, trains de roulement, tourelle, canon, réservoirs</t>
        </is>
      </c>
      <c r="AJ114" s="2" t="inlineStr">
        <is>
          <t>À définir</t>
        </is>
      </c>
      <c r="AK114" s="2" t="inlineStr">
        <is>
          <t>Tourelle Henschel de production et tourelle Porsche de présérie doivent être distinguées visuellement et par variante ; données de masse et blindage selon configuration</t>
        </is>
      </c>
      <c r="AL114" s="2" t="inlineStr">
        <is>
          <t>https://tankmuseum.org/tank_collection/tiger-ii</t>
        </is>
      </c>
      <c r="AM114" s="2" t="inlineStr">
        <is>
          <t>https://normandy-victory-museum.fr/vie-du-musee/un-char-tigre-2-au-normandy-victory-museum/</t>
        </is>
      </c>
      <c r="AN114" s="2" t="inlineStr">
        <is>
          <t>Musée spécialisé + musée de collection ; valeurs de performances à traiter comme indicatives</t>
        </is>
      </c>
      <c r="AO114" s="2" t="inlineStr">
        <is>
          <t>Élevé pour dimensions générales publiées ; préciser la configuration</t>
        </is>
      </c>
      <c r="AP114" s="2" t="inlineStr">
        <is>
          <t>Élevé pour HL 230 P30 de production ; ne pas attribuer à tous les prototypes</t>
        </is>
      </c>
      <c r="AQ114" s="2" t="inlineStr">
        <is>
          <t>Élevé pour le canon principal de production ; armement secondaire à confirmer par variante</t>
        </is>
      </c>
      <c r="AR114" s="2" t="inlineStr">
        <is>
          <t>Partiel — caractéristiques de base sourcées, variantes et valeurs de gameplay à établir</t>
        </is>
      </c>
      <c r="AS114" s="2" t="inlineStr">
        <is>
          <t>P1</t>
        </is>
      </c>
      <c r="AT114" s="2" t="inlineStr">
        <is>
          <t>Les sources divergent sur la vitesse maximale publiée (26 kph vs environ 38 km/h). Conserver 26 km/h comme donnée muséale prudente et traiter 38 km/h comme valeur maximale théorique/selon source à arbitrer avant intégration. La consommation est fortement dépendante du terrain.</t>
        </is>
      </c>
      <c r="AU114" s="2" t="inlineStr">
        <is>
          <t>Char lourd à forte puissance de feu</t>
        </is>
      </c>
      <c r="AV114" s="2" t="inlineStr">
        <is>
          <t>Tiger II : véhicule de catégorie « Char lourd », d'origine Allemagne. Motorisation recensée : À rechercher. Fiche de catalogue à compléter avec le rôle tactique et les caractéristiques de jeu.</t>
        </is>
      </c>
    </row>
    <row r="115" ht="60" customHeight="1">
      <c r="A115" s="2" t="inlineStr">
        <is>
          <t>VEH-114</t>
        </is>
      </c>
      <c r="B115" s="2" t="inlineStr">
        <is>
          <t>Chars lourds et chasseurs de chars</t>
        </is>
      </c>
      <c r="C115" s="2" t="inlineStr">
        <is>
          <t>Jagdtiger</t>
        </is>
      </c>
      <c r="D115" s="2" t="inlineStr">
        <is>
          <t>À distinguer si plusieurs variantes</t>
        </is>
      </c>
      <c r="E115" s="2" t="inlineStr">
        <is>
          <t>Allemagne</t>
        </is>
      </c>
      <c r="F115" s="2" t="inlineStr">
        <is>
          <t>À documenter</t>
        </is>
      </c>
      <c r="G115" s="2" t="inlineStr">
        <is>
          <t>À confirmer</t>
        </is>
      </c>
      <c r="H115" s="2" t="inlineStr">
        <is>
          <t>Chasseur de chars lourd</t>
        </is>
      </c>
      <c r="I115" s="2" t="inlineStr">
        <is>
          <t>À définir</t>
        </is>
      </c>
      <c r="J115" s="2" t="n"/>
      <c r="K115" s="2" t="n"/>
      <c r="L115" s="2" t="n"/>
      <c r="M115" s="2" t="n"/>
      <c r="N115" s="2" t="n"/>
      <c r="O115" s="2" t="n"/>
      <c r="P115" s="2" t="inlineStr">
        <is>
          <t>À rechercher</t>
        </is>
      </c>
      <c r="Q115" s="2" t="n"/>
      <c r="R115" s="2" t="n"/>
      <c r="S115" s="2" t="inlineStr">
        <is>
          <t>À confirmer</t>
        </is>
      </c>
      <c r="T115" s="2" t="n"/>
      <c r="U115" s="2" t="n"/>
      <c r="V115" s="2" t="n"/>
      <c r="W115" s="2" t="n"/>
      <c r="X115" s="2" t="inlineStr">
        <is>
          <t>À documenter</t>
        </is>
      </c>
      <c r="Y115" s="2" t="inlineStr">
        <is>
          <t>À documenter</t>
        </is>
      </c>
      <c r="Z115" s="2" t="inlineStr">
        <is>
          <t>À documenter</t>
        </is>
      </c>
      <c r="AA115" s="2" t="inlineStr">
        <is>
          <t>À documenter</t>
        </is>
      </c>
      <c r="AB115" s="2" t="inlineStr">
        <is>
          <t>À documenter</t>
        </is>
      </c>
      <c r="AC115" s="2" t="inlineStr">
        <is>
          <t>Armement historique à déterminer précisément pour ce modèle/sa variante</t>
        </is>
      </c>
      <c r="AD115" s="2" t="inlineStr">
        <is>
          <t>À documenter</t>
        </is>
      </c>
      <c r="AE115" s="2" t="inlineStr">
        <is>
          <t>À documenter</t>
        </is>
      </c>
      <c r="AF115" s="2" t="inlineStr">
        <is>
          <t>À définir</t>
        </is>
      </c>
      <c r="AG115" s="2" t="inlineStr">
        <is>
          <t>À définir</t>
        </is>
      </c>
      <c r="AH115" s="2" t="inlineStr">
        <is>
          <t>Réparation d’origine si véhicule complet ; démontage si incomplet</t>
        </is>
      </c>
      <c r="AI115" s="2" t="inlineStr">
        <is>
          <t>À documenter</t>
        </is>
      </c>
      <c r="AJ115" s="2" t="inlineStr">
        <is>
          <t>À définir</t>
        </is>
      </c>
      <c r="AK115" s="2" t="inlineStr">
        <is>
          <t>À documenter</t>
        </is>
      </c>
      <c r="AL115" s="2" t="inlineStr">
        <is>
          <t>À rechercher / voir sources historiques</t>
        </is>
      </c>
      <c r="AM115" s="2" t="inlineStr">
        <is>
          <t>À rechercher</t>
        </is>
      </c>
      <c r="AN115" s="2" t="inlineStr">
        <is>
          <t>Source de niveau variable ; contrôle par variante nécessaire</t>
        </is>
      </c>
      <c r="AO115" s="2" t="inlineStr">
        <is>
          <t>Non renseigné</t>
        </is>
      </c>
      <c r="AP115" s="2" t="inlineStr">
        <is>
          <t>Faible</t>
        </is>
      </c>
      <c r="AQ115" s="2" t="inlineStr">
        <is>
          <t>À vérifier</t>
        </is>
      </c>
      <c r="AR115" s="2" t="inlineStr">
        <is>
          <t>Partiel — fiche à compléter</t>
        </is>
      </c>
      <c r="AS115" s="2" t="inlineStr">
        <is>
          <t>P2/P3</t>
        </is>
      </c>
      <c r="AT115" s="2" t="inlineStr">
        <is>
          <t>Modèle à valider historiquement avant verrouillage</t>
        </is>
      </c>
      <c r="AU115" s="2" t="inlineStr">
        <is>
          <t>À intégrer après validation du prototype</t>
        </is>
      </c>
      <c r="AV115" s="2" t="inlineStr">
        <is>
          <t>Jagdtiger : véhicule de catégorie « Chasseur de chars lourd », d'origine Allemagne. Motorisation recensée : À rechercher. Fiche de catalogue à compléter avec le rôle tactique et les caractéristiques de jeu.</t>
        </is>
      </c>
    </row>
    <row r="116" ht="60" customHeight="1">
      <c r="A116" s="2" t="inlineStr">
        <is>
          <t>VEH-115</t>
        </is>
      </c>
      <c r="B116" s="2" t="inlineStr">
        <is>
          <t>Chars lourds et chasseurs de chars</t>
        </is>
      </c>
      <c r="C116" s="2" t="inlineStr">
        <is>
          <t>Jagdpanther</t>
        </is>
      </c>
      <c r="D116" s="2" t="inlineStr">
        <is>
          <t>À distinguer si plusieurs variantes</t>
        </is>
      </c>
      <c r="E116" s="2" t="inlineStr">
        <is>
          <t>Allemagne</t>
        </is>
      </c>
      <c r="F116" s="2" t="inlineStr">
        <is>
          <t>À documenter</t>
        </is>
      </c>
      <c r="G116" s="2" t="inlineStr">
        <is>
          <t>À confirmer</t>
        </is>
      </c>
      <c r="H116" s="2" t="inlineStr">
        <is>
          <t>Chasseur de chars</t>
        </is>
      </c>
      <c r="I116" s="2" t="inlineStr">
        <is>
          <t>À définir</t>
        </is>
      </c>
      <c r="J116" s="2" t="n"/>
      <c r="K116" s="2" t="n"/>
      <c r="L116" s="2" t="n"/>
      <c r="M116" s="2" t="n"/>
      <c r="N116" s="2" t="n"/>
      <c r="O116" s="2" t="n"/>
      <c r="P116" s="2" t="inlineStr">
        <is>
          <t>À rechercher</t>
        </is>
      </c>
      <c r="Q116" s="2" t="n"/>
      <c r="R116" s="2" t="n"/>
      <c r="S116" s="2" t="inlineStr">
        <is>
          <t>À confirmer</t>
        </is>
      </c>
      <c r="T116" s="2" t="n"/>
      <c r="U116" s="2" t="n"/>
      <c r="V116" s="2" t="n"/>
      <c r="W116" s="2" t="n"/>
      <c r="X116" s="2" t="inlineStr">
        <is>
          <t>À documenter</t>
        </is>
      </c>
      <c r="Y116" s="2" t="inlineStr">
        <is>
          <t>À documenter</t>
        </is>
      </c>
      <c r="Z116" s="2" t="inlineStr">
        <is>
          <t>À documenter</t>
        </is>
      </c>
      <c r="AA116" s="2" t="inlineStr">
        <is>
          <t>À documenter</t>
        </is>
      </c>
      <c r="AB116" s="2" t="inlineStr">
        <is>
          <t>À documenter</t>
        </is>
      </c>
      <c r="AC116" s="2" t="inlineStr">
        <is>
          <t>Canon de 75 mm KwK 42 L/70; 2–3 MG 34/42 selon version</t>
        </is>
      </c>
      <c r="AD116" s="2" t="inlineStr">
        <is>
          <t>À documenter</t>
        </is>
      </c>
      <c r="AE116" s="2" t="inlineStr">
        <is>
          <t>À documenter</t>
        </is>
      </c>
      <c r="AF116" s="2" t="inlineStr">
        <is>
          <t>À définir</t>
        </is>
      </c>
      <c r="AG116" s="2" t="inlineStr">
        <is>
          <t>À définir</t>
        </is>
      </c>
      <c r="AH116" s="2" t="inlineStr">
        <is>
          <t>Réparation d’origine si véhicule complet ; démontage si incomplet</t>
        </is>
      </c>
      <c r="AI116" s="2" t="inlineStr">
        <is>
          <t>À documenter</t>
        </is>
      </c>
      <c r="AJ116" s="2" t="inlineStr">
        <is>
          <t>À définir</t>
        </is>
      </c>
      <c r="AK116" s="2" t="inlineStr">
        <is>
          <t>À documenter</t>
        </is>
      </c>
      <c r="AL116" s="2" t="inlineStr">
        <is>
          <t>À rechercher / voir sources historiques</t>
        </is>
      </c>
      <c r="AM116" s="2" t="inlineStr">
        <is>
          <t>À rechercher</t>
        </is>
      </c>
      <c r="AN116" s="2" t="inlineStr">
        <is>
          <t>Source de niveau variable ; contrôle par variante nécessaire</t>
        </is>
      </c>
      <c r="AO116" s="2" t="inlineStr">
        <is>
          <t>Non renseigné</t>
        </is>
      </c>
      <c r="AP116" s="2" t="inlineStr">
        <is>
          <t>Faible</t>
        </is>
      </c>
      <c r="AQ116" s="2" t="inlineStr">
        <is>
          <t>Élevé</t>
        </is>
      </c>
      <c r="AR116" s="2" t="inlineStr">
        <is>
          <t>Partiel — fiche à compléter</t>
        </is>
      </c>
      <c r="AS116" s="2" t="inlineStr">
        <is>
          <t>P2/P3</t>
        </is>
      </c>
      <c r="AT116" s="2" t="inlineStr">
        <is>
          <t>Modèle à valider historiquement avant verrouillage</t>
        </is>
      </c>
      <c r="AU116" s="2" t="inlineStr">
        <is>
          <t>À intégrer après validation du prototype</t>
        </is>
      </c>
      <c r="AV116" s="2" t="inlineStr">
        <is>
          <t>Jagdpanther : véhicule de catégorie « Chasseur de chars », d'origine Allemagne. Motorisation recensée : À rechercher. Fiche de catalogue à compléter avec le rôle tactique et les caractéristiques de jeu.</t>
        </is>
      </c>
    </row>
    <row r="117" ht="60" customHeight="1">
      <c r="A117" s="2" t="inlineStr">
        <is>
          <t>VEH-116</t>
        </is>
      </c>
      <c r="B117" s="2" t="inlineStr">
        <is>
          <t>Chars lourds et chasseurs de chars</t>
        </is>
      </c>
      <c r="C117" s="2" t="inlineStr">
        <is>
          <t>StuG III</t>
        </is>
      </c>
      <c r="D117" s="2" t="inlineStr">
        <is>
          <t>À distinguer si plusieurs variantes</t>
        </is>
      </c>
      <c r="E117" s="2" t="inlineStr">
        <is>
          <t>Allemagne</t>
        </is>
      </c>
      <c r="F117" s="2" t="inlineStr">
        <is>
          <t>À documenter</t>
        </is>
      </c>
      <c r="G117" s="2" t="inlineStr">
        <is>
          <t>À confirmer</t>
        </is>
      </c>
      <c r="H117" s="2" t="inlineStr">
        <is>
          <t>Canon d'assaut</t>
        </is>
      </c>
      <c r="I117" s="2" t="inlineStr">
        <is>
          <t>À définir</t>
        </is>
      </c>
      <c r="J117" s="2" t="n"/>
      <c r="K117" s="2" t="n"/>
      <c r="L117" s="2" t="n"/>
      <c r="M117" s="2" t="n"/>
      <c r="N117" s="2" t="n"/>
      <c r="O117" s="2" t="n"/>
      <c r="P117" s="2" t="inlineStr">
        <is>
          <t>À rechercher</t>
        </is>
      </c>
      <c r="Q117" s="2" t="n"/>
      <c r="R117" s="2" t="n"/>
      <c r="S117" s="2" t="inlineStr">
        <is>
          <t>À confirmer</t>
        </is>
      </c>
      <c r="T117" s="2" t="n"/>
      <c r="U117" s="2" t="n"/>
      <c r="V117" s="2" t="n"/>
      <c r="W117" s="2" t="n"/>
      <c r="X117" s="2" t="inlineStr">
        <is>
          <t>À documenter</t>
        </is>
      </c>
      <c r="Y117" s="2" t="inlineStr">
        <is>
          <t>À documenter</t>
        </is>
      </c>
      <c r="Z117" s="2" t="inlineStr">
        <is>
          <t>À documenter</t>
        </is>
      </c>
      <c r="AA117" s="2" t="inlineStr">
        <is>
          <t>À documenter</t>
        </is>
      </c>
      <c r="AB117" s="2" t="inlineStr">
        <is>
          <t>À documenter</t>
        </is>
      </c>
      <c r="AC117" s="2" t="inlineStr">
        <is>
          <t>Canon de 75 mm StuK 37/40 selon version; MG de caisse ou bouclier sur versions tardives</t>
        </is>
      </c>
      <c r="AD117" s="2" t="inlineStr">
        <is>
          <t>À documenter</t>
        </is>
      </c>
      <c r="AE117" s="2" t="inlineStr">
        <is>
          <t>À documenter</t>
        </is>
      </c>
      <c r="AF117" s="2" t="inlineStr">
        <is>
          <t>À définir</t>
        </is>
      </c>
      <c r="AG117" s="2" t="inlineStr">
        <is>
          <t>À définir</t>
        </is>
      </c>
      <c r="AH117" s="2" t="inlineStr">
        <is>
          <t>Réparation d’origine si véhicule complet ; démontage si incomplet</t>
        </is>
      </c>
      <c r="AI117" s="2" t="inlineStr">
        <is>
          <t>À documenter</t>
        </is>
      </c>
      <c r="AJ117" s="2" t="inlineStr">
        <is>
          <t>À définir</t>
        </is>
      </c>
      <c r="AK117" s="2" t="inlineStr">
        <is>
          <t>À documenter</t>
        </is>
      </c>
      <c r="AL117" s="2" t="inlineStr">
        <is>
          <t>À rechercher / voir sources historiques</t>
        </is>
      </c>
      <c r="AM117" s="2" t="inlineStr">
        <is>
          <t>À rechercher</t>
        </is>
      </c>
      <c r="AN117" s="2" t="inlineStr">
        <is>
          <t>Source de niveau variable ; contrôle par variante nécessaire</t>
        </is>
      </c>
      <c r="AO117" s="2" t="inlineStr">
        <is>
          <t>Non renseigné</t>
        </is>
      </c>
      <c r="AP117" s="2" t="inlineStr">
        <is>
          <t>Faible</t>
        </is>
      </c>
      <c r="AQ117" s="2" t="inlineStr">
        <is>
          <t>Partiel</t>
        </is>
      </c>
      <c r="AR117" s="2" t="inlineStr">
        <is>
          <t>Partiel — fiche à compléter</t>
        </is>
      </c>
      <c r="AS117" s="2" t="inlineStr">
        <is>
          <t>P2/P3</t>
        </is>
      </c>
      <c r="AT117" s="2" t="inlineStr">
        <is>
          <t>Modèle à valider historiquement avant verrouillage</t>
        </is>
      </c>
      <c r="AU117" s="2" t="inlineStr">
        <is>
          <t>À intégrer après validation du prototype</t>
        </is>
      </c>
      <c r="AV117" s="2" t="inlineStr">
        <is>
          <t>StuG III : véhicule de catégorie « Canon d'assaut », d'origine Allemagne. Motorisation recensée : À rechercher. Fiche de catalogue à compléter avec le rôle tactique et les caractéristiques de jeu.</t>
        </is>
      </c>
    </row>
    <row r="118" ht="60" customHeight="1">
      <c r="A118" s="2" t="inlineStr">
        <is>
          <t>VEH-117</t>
        </is>
      </c>
      <c r="B118" s="2" t="inlineStr">
        <is>
          <t>Chars lourds et chasseurs de chars</t>
        </is>
      </c>
      <c r="C118" s="2" t="inlineStr">
        <is>
          <t>Jagdpanzer 38(t) Hetzer</t>
        </is>
      </c>
      <c r="D118" s="2" t="inlineStr">
        <is>
          <t>À distinguer si plusieurs variantes</t>
        </is>
      </c>
      <c r="E118" s="2" t="inlineStr">
        <is>
          <t>Allemagne</t>
        </is>
      </c>
      <c r="F118" s="2" t="inlineStr">
        <is>
          <t>À documenter</t>
        </is>
      </c>
      <c r="G118" s="2" t="inlineStr">
        <is>
          <t>À confirmer</t>
        </is>
      </c>
      <c r="H118" s="2" t="inlineStr">
        <is>
          <t>Chasseur de chars</t>
        </is>
      </c>
      <c r="I118" s="2" t="inlineStr">
        <is>
          <t>À définir</t>
        </is>
      </c>
      <c r="J118" s="2" t="n"/>
      <c r="K118" s="2" t="n"/>
      <c r="L118" s="2" t="n"/>
      <c r="M118" s="2" t="n"/>
      <c r="N118" s="2" t="n"/>
      <c r="O118" s="2" t="n"/>
      <c r="P118" s="2" t="inlineStr">
        <is>
          <t>À rechercher</t>
        </is>
      </c>
      <c r="Q118" s="2" t="n"/>
      <c r="R118" s="2" t="n"/>
      <c r="S118" s="2" t="inlineStr">
        <is>
          <t>À confirmer</t>
        </is>
      </c>
      <c r="T118" s="2" t="n"/>
      <c r="U118" s="2" t="n"/>
      <c r="V118" s="2" t="n"/>
      <c r="W118" s="2" t="n"/>
      <c r="X118" s="2" t="inlineStr">
        <is>
          <t>À documenter</t>
        </is>
      </c>
      <c r="Y118" s="2" t="inlineStr">
        <is>
          <t>À documenter</t>
        </is>
      </c>
      <c r="Z118" s="2" t="inlineStr">
        <is>
          <t>À documenter</t>
        </is>
      </c>
      <c r="AA118" s="2" t="inlineStr">
        <is>
          <t>À documenter</t>
        </is>
      </c>
      <c r="AB118" s="2" t="inlineStr">
        <is>
          <t>À documenter</t>
        </is>
      </c>
      <c r="AC118" s="2" t="inlineStr">
        <is>
          <t>Canon de 75 mm PaK 39 L/48; MG 34/42 sous bouclier télécommandé sur versions équipées</t>
        </is>
      </c>
      <c r="AD118" s="2" t="inlineStr">
        <is>
          <t>À documenter</t>
        </is>
      </c>
      <c r="AE118" s="2" t="inlineStr">
        <is>
          <t>À documenter</t>
        </is>
      </c>
      <c r="AF118" s="2" t="inlineStr">
        <is>
          <t>À définir</t>
        </is>
      </c>
      <c r="AG118" s="2" t="inlineStr">
        <is>
          <t>À définir</t>
        </is>
      </c>
      <c r="AH118" s="2" t="inlineStr">
        <is>
          <t>Réparation d’origine si véhicule complet ; démontage si incomplet</t>
        </is>
      </c>
      <c r="AI118" s="2" t="inlineStr">
        <is>
          <t>À documenter</t>
        </is>
      </c>
      <c r="AJ118" s="2" t="inlineStr">
        <is>
          <t>À définir</t>
        </is>
      </c>
      <c r="AK118" s="2" t="inlineStr">
        <is>
          <t>À documenter</t>
        </is>
      </c>
      <c r="AL118" s="2" t="inlineStr">
        <is>
          <t>À rechercher / voir sources historiques</t>
        </is>
      </c>
      <c r="AM118" s="2" t="inlineStr">
        <is>
          <t>À rechercher</t>
        </is>
      </c>
      <c r="AN118" s="2" t="inlineStr">
        <is>
          <t>Source de niveau variable ; contrôle par variante nécessaire</t>
        </is>
      </c>
      <c r="AO118" s="2" t="inlineStr">
        <is>
          <t>Non renseigné</t>
        </is>
      </c>
      <c r="AP118" s="2" t="inlineStr">
        <is>
          <t>Faible</t>
        </is>
      </c>
      <c r="AQ118" s="2" t="inlineStr">
        <is>
          <t>Élevé</t>
        </is>
      </c>
      <c r="AR118" s="2" t="inlineStr">
        <is>
          <t>Partiel — fiche à compléter</t>
        </is>
      </c>
      <c r="AS118" s="2" t="inlineStr">
        <is>
          <t>P2/P3</t>
        </is>
      </c>
      <c r="AT118" s="2" t="inlineStr">
        <is>
          <t>Modèle à valider historiquement avant verrouillage</t>
        </is>
      </c>
      <c r="AU118" s="2" t="inlineStr">
        <is>
          <t>À intégrer après validation du prototype</t>
        </is>
      </c>
      <c r="AV118" s="2" t="inlineStr">
        <is>
          <t>Jagdpanzer 38(t) Hetzer : véhicule de catégorie « Chasseur de chars », d'origine Allemagne. Motorisation recensée : À rechercher. Fiche de catalogue à compléter avec le rôle tactique et les caractéristiques de jeu.</t>
        </is>
      </c>
    </row>
    <row r="119" ht="60" customHeight="1">
      <c r="A119" s="2" t="inlineStr">
        <is>
          <t>VEH-118</t>
        </is>
      </c>
      <c r="B119" s="2" t="inlineStr">
        <is>
          <t>Chars lourds et chasseurs de chars</t>
        </is>
      </c>
      <c r="C119" s="2" t="inlineStr">
        <is>
          <t>M10 Wolverine</t>
        </is>
      </c>
      <c r="D119" s="2" t="inlineStr">
        <is>
          <t>À distinguer si plusieurs variantes</t>
        </is>
      </c>
      <c r="E119" s="2" t="inlineStr">
        <is>
          <t>États-Unis</t>
        </is>
      </c>
      <c r="F119" s="2" t="inlineStr">
        <is>
          <t>À documenter</t>
        </is>
      </c>
      <c r="G119" s="2" t="inlineStr">
        <is>
          <t>À confirmer</t>
        </is>
      </c>
      <c r="H119" s="2" t="inlineStr">
        <is>
          <t>Chasseur de chars</t>
        </is>
      </c>
      <c r="I119" s="2" t="inlineStr">
        <is>
          <t>À définir</t>
        </is>
      </c>
      <c r="J119" s="2" t="n"/>
      <c r="K119" s="2" t="n"/>
      <c r="L119" s="2" t="n"/>
      <c r="M119" s="2" t="n"/>
      <c r="N119" s="2" t="n"/>
      <c r="O119" s="2" t="n"/>
      <c r="P119" s="2" t="inlineStr">
        <is>
          <t>À rechercher</t>
        </is>
      </c>
      <c r="Q119" s="2" t="n"/>
      <c r="R119" s="2" t="n"/>
      <c r="S119" s="2" t="inlineStr">
        <is>
          <t>À confirmer</t>
        </is>
      </c>
      <c r="T119" s="2" t="n"/>
      <c r="U119" s="2" t="n"/>
      <c r="V119" s="2" t="n"/>
      <c r="W119" s="2" t="n"/>
      <c r="X119" s="2" t="inlineStr">
        <is>
          <t>À documenter</t>
        </is>
      </c>
      <c r="Y119" s="2" t="inlineStr">
        <is>
          <t>À documenter</t>
        </is>
      </c>
      <c r="Z119" s="2" t="inlineStr">
        <is>
          <t>À documenter</t>
        </is>
      </c>
      <c r="AA119" s="2" t="inlineStr">
        <is>
          <t>À documenter</t>
        </is>
      </c>
      <c r="AB119" s="2" t="inlineStr">
        <is>
          <t>À documenter</t>
        </is>
      </c>
      <c r="AC119" s="2" t="inlineStr">
        <is>
          <t>Canon de 76,2 mm M7; mitrailleuse lourde Browning M2 de 12,7 mm</t>
        </is>
      </c>
      <c r="AD119" s="2" t="inlineStr">
        <is>
          <t>À documenter</t>
        </is>
      </c>
      <c r="AE119" s="2" t="inlineStr">
        <is>
          <t>À documenter</t>
        </is>
      </c>
      <c r="AF119" s="2" t="inlineStr">
        <is>
          <t>À définir</t>
        </is>
      </c>
      <c r="AG119" s="2" t="inlineStr">
        <is>
          <t>À définir</t>
        </is>
      </c>
      <c r="AH119" s="2" t="inlineStr">
        <is>
          <t>Réparation d’origine si véhicule complet ; démontage si incomplet</t>
        </is>
      </c>
      <c r="AI119" s="2" t="inlineStr">
        <is>
          <t>À documenter</t>
        </is>
      </c>
      <c r="AJ119" s="2" t="inlineStr">
        <is>
          <t>À définir</t>
        </is>
      </c>
      <c r="AK119" s="2" t="inlineStr">
        <is>
          <t>À documenter</t>
        </is>
      </c>
      <c r="AL119" s="2" t="inlineStr">
        <is>
          <t>À rechercher / voir sources historiques</t>
        </is>
      </c>
      <c r="AM119" s="2" t="inlineStr">
        <is>
          <t>À rechercher</t>
        </is>
      </c>
      <c r="AN119" s="2" t="inlineStr">
        <is>
          <t>Source de niveau variable ; contrôle par variante nécessaire</t>
        </is>
      </c>
      <c r="AO119" s="2" t="inlineStr">
        <is>
          <t>Non renseigné</t>
        </is>
      </c>
      <c r="AP119" s="2" t="inlineStr">
        <is>
          <t>Faible</t>
        </is>
      </c>
      <c r="AQ119" s="2" t="inlineStr">
        <is>
          <t>Élevé</t>
        </is>
      </c>
      <c r="AR119" s="2" t="inlineStr">
        <is>
          <t>Partiel — fiche à compléter</t>
        </is>
      </c>
      <c r="AS119" s="2" t="inlineStr">
        <is>
          <t>P2/P3</t>
        </is>
      </c>
      <c r="AT119" s="2" t="inlineStr">
        <is>
          <t>Modèle à valider historiquement avant verrouillage</t>
        </is>
      </c>
      <c r="AU119" s="2" t="inlineStr">
        <is>
          <t>À intégrer après validation du prototype</t>
        </is>
      </c>
      <c r="AV119" s="2" t="inlineStr">
        <is>
          <t>M10 Wolverine : véhicule de catégorie « Chasseur de chars », d'origine États-Unis. Motorisation recensée : À rechercher. Fiche de catalogue à compléter avec le rôle tactique et les caractéristiques de jeu.</t>
        </is>
      </c>
    </row>
    <row r="120" ht="60" customHeight="1">
      <c r="A120" s="2" t="inlineStr">
        <is>
          <t>VEH-119</t>
        </is>
      </c>
      <c r="B120" s="2" t="inlineStr">
        <is>
          <t>Chars lourds et chasseurs de chars</t>
        </is>
      </c>
      <c r="C120" s="2" t="inlineStr">
        <is>
          <t>M18 Hellcat</t>
        </is>
      </c>
      <c r="D120" s="2" t="inlineStr">
        <is>
          <t>À distinguer si plusieurs variantes</t>
        </is>
      </c>
      <c r="E120" s="2" t="inlineStr">
        <is>
          <t>États-Unis</t>
        </is>
      </c>
      <c r="F120" s="2" t="inlineStr">
        <is>
          <t>À documenter</t>
        </is>
      </c>
      <c r="G120" s="2" t="inlineStr">
        <is>
          <t>À confirmer</t>
        </is>
      </c>
      <c r="H120" s="2" t="inlineStr">
        <is>
          <t>Chasseur de chars</t>
        </is>
      </c>
      <c r="I120" s="2" t="inlineStr">
        <is>
          <t>À définir</t>
        </is>
      </c>
      <c r="J120" s="2" t="n"/>
      <c r="K120" s="2" t="n"/>
      <c r="L120" s="2" t="n"/>
      <c r="M120" s="2" t="n"/>
      <c r="N120" s="2" t="n"/>
      <c r="O120" s="2" t="n"/>
      <c r="P120" s="2" t="inlineStr">
        <is>
          <t>À rechercher</t>
        </is>
      </c>
      <c r="Q120" s="2" t="n"/>
      <c r="R120" s="2" t="n"/>
      <c r="S120" s="2" t="inlineStr">
        <is>
          <t>À confirmer</t>
        </is>
      </c>
      <c r="T120" s="2" t="n"/>
      <c r="U120" s="2" t="n"/>
      <c r="V120" s="2" t="n"/>
      <c r="W120" s="2" t="n"/>
      <c r="X120" s="2" t="inlineStr">
        <is>
          <t>À documenter</t>
        </is>
      </c>
      <c r="Y120" s="2" t="inlineStr">
        <is>
          <t>À documenter</t>
        </is>
      </c>
      <c r="Z120" s="2" t="inlineStr">
        <is>
          <t>À documenter</t>
        </is>
      </c>
      <c r="AA120" s="2" t="inlineStr">
        <is>
          <t>À documenter</t>
        </is>
      </c>
      <c r="AB120" s="2" t="inlineStr">
        <is>
          <t>À documenter</t>
        </is>
      </c>
      <c r="AC120" s="2" t="inlineStr">
        <is>
          <t>Canon de 76 mm M1; mitrailleuse Browning M2 de 12,7 mm</t>
        </is>
      </c>
      <c r="AD120" s="2" t="inlineStr">
        <is>
          <t>À documenter</t>
        </is>
      </c>
      <c r="AE120" s="2" t="inlineStr">
        <is>
          <t>À documenter</t>
        </is>
      </c>
      <c r="AF120" s="2" t="inlineStr">
        <is>
          <t>À définir</t>
        </is>
      </c>
      <c r="AG120" s="2" t="inlineStr">
        <is>
          <t>À définir</t>
        </is>
      </c>
      <c r="AH120" s="2" t="inlineStr">
        <is>
          <t>Réparation d’origine si véhicule complet ; démontage si incomplet</t>
        </is>
      </c>
      <c r="AI120" s="2" t="inlineStr">
        <is>
          <t>À documenter</t>
        </is>
      </c>
      <c r="AJ120" s="2" t="inlineStr">
        <is>
          <t>À définir</t>
        </is>
      </c>
      <c r="AK120" s="2" t="inlineStr">
        <is>
          <t>À documenter</t>
        </is>
      </c>
      <c r="AL120" s="2" t="inlineStr">
        <is>
          <t>À rechercher / voir sources historiques</t>
        </is>
      </c>
      <c r="AM120" s="2" t="inlineStr">
        <is>
          <t>À rechercher</t>
        </is>
      </c>
      <c r="AN120" s="2" t="inlineStr">
        <is>
          <t>Source de niveau variable ; contrôle par variante nécessaire</t>
        </is>
      </c>
      <c r="AO120" s="2" t="inlineStr">
        <is>
          <t>Non renseigné</t>
        </is>
      </c>
      <c r="AP120" s="2" t="inlineStr">
        <is>
          <t>Faible</t>
        </is>
      </c>
      <c r="AQ120" s="2" t="inlineStr">
        <is>
          <t>Élevé</t>
        </is>
      </c>
      <c r="AR120" s="2" t="inlineStr">
        <is>
          <t>Partiel — fiche à compléter</t>
        </is>
      </c>
      <c r="AS120" s="2" t="inlineStr">
        <is>
          <t>P2/P3</t>
        </is>
      </c>
      <c r="AT120" s="2" t="inlineStr">
        <is>
          <t>Modèle à valider historiquement avant verrouillage</t>
        </is>
      </c>
      <c r="AU120" s="2" t="inlineStr">
        <is>
          <t>À intégrer après validation du prototype</t>
        </is>
      </c>
      <c r="AV120" s="2" t="inlineStr">
        <is>
          <t>M18 Hellcat : véhicule de catégorie « Chasseur de chars », d'origine États-Unis. Motorisation recensée : À rechercher. Fiche de catalogue à compléter avec le rôle tactique et les caractéristiques de jeu.</t>
        </is>
      </c>
    </row>
    <row r="121" ht="60" customHeight="1">
      <c r="A121" s="2" t="inlineStr">
        <is>
          <t>VEH-120</t>
        </is>
      </c>
      <c r="B121" s="2" t="inlineStr">
        <is>
          <t>Chars lourds et chasseurs de chars</t>
        </is>
      </c>
      <c r="C121" s="2" t="inlineStr">
        <is>
          <t>M36 Jackson</t>
        </is>
      </c>
      <c r="D121" s="2" t="inlineStr">
        <is>
          <t>À distinguer si plusieurs variantes</t>
        </is>
      </c>
      <c r="E121" s="2" t="inlineStr">
        <is>
          <t>États-Unis</t>
        </is>
      </c>
      <c r="F121" s="2" t="inlineStr">
        <is>
          <t>À documenter</t>
        </is>
      </c>
      <c r="G121" s="2" t="inlineStr">
        <is>
          <t>À confirmer</t>
        </is>
      </c>
      <c r="H121" s="2" t="inlineStr">
        <is>
          <t>Chasseur de chars</t>
        </is>
      </c>
      <c r="I121" s="2" t="inlineStr">
        <is>
          <t>À définir</t>
        </is>
      </c>
      <c r="J121" s="2" t="n"/>
      <c r="K121" s="2" t="n"/>
      <c r="L121" s="2" t="n"/>
      <c r="M121" s="2" t="n"/>
      <c r="N121" s="2" t="n"/>
      <c r="O121" s="2" t="n"/>
      <c r="P121" s="2" t="inlineStr">
        <is>
          <t>À rechercher</t>
        </is>
      </c>
      <c r="Q121" s="2" t="n"/>
      <c r="R121" s="2" t="n"/>
      <c r="S121" s="2" t="inlineStr">
        <is>
          <t>À confirmer</t>
        </is>
      </c>
      <c r="T121" s="2" t="n"/>
      <c r="U121" s="2" t="n"/>
      <c r="V121" s="2" t="n"/>
      <c r="W121" s="2" t="n"/>
      <c r="X121" s="2" t="inlineStr">
        <is>
          <t>À documenter</t>
        </is>
      </c>
      <c r="Y121" s="2" t="inlineStr">
        <is>
          <t>À documenter</t>
        </is>
      </c>
      <c r="Z121" s="2" t="inlineStr">
        <is>
          <t>À documenter</t>
        </is>
      </c>
      <c r="AA121" s="2" t="inlineStr">
        <is>
          <t>À documenter</t>
        </is>
      </c>
      <c r="AB121" s="2" t="inlineStr">
        <is>
          <t>À documenter</t>
        </is>
      </c>
      <c r="AC121" s="2" t="inlineStr">
        <is>
          <t>Canon de 90 mm M3; mitrailleuse Browning M2 de 12,7 mm</t>
        </is>
      </c>
      <c r="AD121" s="2" t="inlineStr">
        <is>
          <t>À documenter</t>
        </is>
      </c>
      <c r="AE121" s="2" t="inlineStr">
        <is>
          <t>À documenter</t>
        </is>
      </c>
      <c r="AF121" s="2" t="inlineStr">
        <is>
          <t>À définir</t>
        </is>
      </c>
      <c r="AG121" s="2" t="inlineStr">
        <is>
          <t>À définir</t>
        </is>
      </c>
      <c r="AH121" s="2" t="inlineStr">
        <is>
          <t>Réparation d’origine si véhicule complet ; démontage si incomplet</t>
        </is>
      </c>
      <c r="AI121" s="2" t="inlineStr">
        <is>
          <t>À documenter</t>
        </is>
      </c>
      <c r="AJ121" s="2" t="inlineStr">
        <is>
          <t>À définir</t>
        </is>
      </c>
      <c r="AK121" s="2" t="inlineStr">
        <is>
          <t>À documenter</t>
        </is>
      </c>
      <c r="AL121" s="2" t="inlineStr">
        <is>
          <t>À rechercher / voir sources historiques</t>
        </is>
      </c>
      <c r="AM121" s="2" t="inlineStr">
        <is>
          <t>À rechercher</t>
        </is>
      </c>
      <c r="AN121" s="2" t="inlineStr">
        <is>
          <t>Source de niveau variable ; contrôle par variante nécessaire</t>
        </is>
      </c>
      <c r="AO121" s="2" t="inlineStr">
        <is>
          <t>Non renseigné</t>
        </is>
      </c>
      <c r="AP121" s="2" t="inlineStr">
        <is>
          <t>Faible</t>
        </is>
      </c>
      <c r="AQ121" s="2" t="inlineStr">
        <is>
          <t>Élevé</t>
        </is>
      </c>
      <c r="AR121" s="2" t="inlineStr">
        <is>
          <t>Partiel — fiche à compléter</t>
        </is>
      </c>
      <c r="AS121" s="2" t="inlineStr">
        <is>
          <t>P2/P3</t>
        </is>
      </c>
      <c r="AT121" s="2" t="inlineStr">
        <is>
          <t>Modèle à valider historiquement avant verrouillage</t>
        </is>
      </c>
      <c r="AU121" s="2" t="inlineStr">
        <is>
          <t>À intégrer après validation du prototype</t>
        </is>
      </c>
      <c r="AV121" s="2" t="inlineStr">
        <is>
          <t>M36 Jackson : véhicule de catégorie « Chasseur de chars », d'origine États-Unis. Motorisation recensée : À rechercher. Fiche de catalogue à compléter avec le rôle tactique et les caractéristiques de jeu.</t>
        </is>
      </c>
    </row>
    <row r="122" ht="60" customHeight="1">
      <c r="A122" s="2" t="inlineStr">
        <is>
          <t>VEH-121</t>
        </is>
      </c>
      <c r="B122" s="2" t="inlineStr">
        <is>
          <t>Chars lourds et chasseurs de chars</t>
        </is>
      </c>
      <c r="C122" s="2" t="inlineStr">
        <is>
          <t>SU-76</t>
        </is>
      </c>
      <c r="D122" s="2" t="inlineStr">
        <is>
          <t>À distinguer si plusieurs variantes</t>
        </is>
      </c>
      <c r="E122" s="2" t="inlineStr">
        <is>
          <t>URSS</t>
        </is>
      </c>
      <c r="F122" s="2" t="inlineStr">
        <is>
          <t>À documenter</t>
        </is>
      </c>
      <c r="G122" s="2" t="inlineStr">
        <is>
          <t>À confirmer</t>
        </is>
      </c>
      <c r="H122" s="2" t="inlineStr">
        <is>
          <t>Canon automoteur</t>
        </is>
      </c>
      <c r="I122" s="2" t="inlineStr">
        <is>
          <t>À définir</t>
        </is>
      </c>
      <c r="J122" s="2" t="n"/>
      <c r="K122" s="2" t="n"/>
      <c r="L122" s="2" t="n"/>
      <c r="M122" s="2" t="n"/>
      <c r="N122" s="2" t="n"/>
      <c r="O122" s="2" t="n"/>
      <c r="P122" s="2" t="inlineStr">
        <is>
          <t>À rechercher</t>
        </is>
      </c>
      <c r="Q122" s="2" t="n"/>
      <c r="R122" s="2" t="n"/>
      <c r="S122" s="2" t="inlineStr">
        <is>
          <t>À confirmer</t>
        </is>
      </c>
      <c r="T122" s="2" t="n"/>
      <c r="U122" s="2" t="n"/>
      <c r="V122" s="2" t="n"/>
      <c r="W122" s="2" t="n"/>
      <c r="X122" s="2" t="inlineStr">
        <is>
          <t>À documenter</t>
        </is>
      </c>
      <c r="Y122" s="2" t="inlineStr">
        <is>
          <t>À documenter</t>
        </is>
      </c>
      <c r="Z122" s="2" t="inlineStr">
        <is>
          <t>À documenter</t>
        </is>
      </c>
      <c r="AA122" s="2" t="inlineStr">
        <is>
          <t>À documenter</t>
        </is>
      </c>
      <c r="AB122" s="2" t="inlineStr">
        <is>
          <t>À documenter</t>
        </is>
      </c>
      <c r="AC122" s="2" t="inlineStr">
        <is>
          <t>Canon de 76,2 mm ZiS-3; pas de mitrailleuse fixe standard</t>
        </is>
      </c>
      <c r="AD122" s="2" t="inlineStr">
        <is>
          <t>À documenter</t>
        </is>
      </c>
      <c r="AE122" s="2" t="inlineStr">
        <is>
          <t>À documenter</t>
        </is>
      </c>
      <c r="AF122" s="2" t="inlineStr">
        <is>
          <t>À définir</t>
        </is>
      </c>
      <c r="AG122" s="2" t="inlineStr">
        <is>
          <t>À définir</t>
        </is>
      </c>
      <c r="AH122" s="2" t="inlineStr">
        <is>
          <t>Réparation d’origine si véhicule complet ; démontage si incomplet</t>
        </is>
      </c>
      <c r="AI122" s="2" t="inlineStr">
        <is>
          <t>À documenter</t>
        </is>
      </c>
      <c r="AJ122" s="2" t="inlineStr">
        <is>
          <t>À définir</t>
        </is>
      </c>
      <c r="AK122" s="2" t="inlineStr">
        <is>
          <t>À documenter</t>
        </is>
      </c>
      <c r="AL122" s="2" t="inlineStr">
        <is>
          <t>À rechercher / voir sources historiques</t>
        </is>
      </c>
      <c r="AM122" s="2" t="inlineStr">
        <is>
          <t>À rechercher</t>
        </is>
      </c>
      <c r="AN122" s="2" t="inlineStr">
        <is>
          <t>Source de niveau variable ; contrôle par variante nécessaire</t>
        </is>
      </c>
      <c r="AO122" s="2" t="inlineStr">
        <is>
          <t>Non renseigné</t>
        </is>
      </c>
      <c r="AP122" s="2" t="inlineStr">
        <is>
          <t>Faible</t>
        </is>
      </c>
      <c r="AQ122" s="2" t="inlineStr">
        <is>
          <t>Élevé</t>
        </is>
      </c>
      <c r="AR122" s="2" t="inlineStr">
        <is>
          <t>Partiel — fiche à compléter</t>
        </is>
      </c>
      <c r="AS122" s="2" t="inlineStr">
        <is>
          <t>P2/P3</t>
        </is>
      </c>
      <c r="AT122" s="2" t="inlineStr">
        <is>
          <t>Modèle à valider historiquement avant verrouillage</t>
        </is>
      </c>
      <c r="AU122" s="2" t="inlineStr">
        <is>
          <t>À intégrer après validation du prototype</t>
        </is>
      </c>
      <c r="AV122" s="2" t="inlineStr">
        <is>
          <t>SU-76 : véhicule de catégorie « Canon automoteur », d'origine URSS. Motorisation recensée : À rechercher. Fiche de catalogue à compléter avec le rôle tactique et les caractéristiques de jeu.</t>
        </is>
      </c>
    </row>
    <row r="123" ht="60" customHeight="1">
      <c r="A123" s="2" t="inlineStr">
        <is>
          <t>VEH-122</t>
        </is>
      </c>
      <c r="B123" s="2" t="inlineStr">
        <is>
          <t>Chars lourds et chasseurs de chars</t>
        </is>
      </c>
      <c r="C123" s="2" t="inlineStr">
        <is>
          <t>SU-85</t>
        </is>
      </c>
      <c r="D123" s="2" t="inlineStr">
        <is>
          <t>À distinguer si plusieurs variantes</t>
        </is>
      </c>
      <c r="E123" s="2" t="inlineStr">
        <is>
          <t>URSS</t>
        </is>
      </c>
      <c r="F123" s="2" t="inlineStr">
        <is>
          <t>À documenter</t>
        </is>
      </c>
      <c r="G123" s="2" t="inlineStr">
        <is>
          <t>À confirmer</t>
        </is>
      </c>
      <c r="H123" s="2" t="inlineStr">
        <is>
          <t>Chasseur de chars</t>
        </is>
      </c>
      <c r="I123" s="2" t="inlineStr">
        <is>
          <t>À définir</t>
        </is>
      </c>
      <c r="J123" s="2" t="n"/>
      <c r="K123" s="2" t="n"/>
      <c r="L123" s="2" t="n"/>
      <c r="M123" s="2" t="n"/>
      <c r="N123" s="2" t="n"/>
      <c r="O123" s="2" t="n"/>
      <c r="P123" s="2" t="inlineStr">
        <is>
          <t>À rechercher</t>
        </is>
      </c>
      <c r="Q123" s="2" t="n"/>
      <c r="R123" s="2" t="n"/>
      <c r="S123" s="2" t="inlineStr">
        <is>
          <t>À confirmer</t>
        </is>
      </c>
      <c r="T123" s="2" t="n"/>
      <c r="U123" s="2" t="n"/>
      <c r="V123" s="2" t="n"/>
      <c r="W123" s="2" t="n"/>
      <c r="X123" s="2" t="inlineStr">
        <is>
          <t>À documenter</t>
        </is>
      </c>
      <c r="Y123" s="2" t="inlineStr">
        <is>
          <t>À documenter</t>
        </is>
      </c>
      <c r="Z123" s="2" t="inlineStr">
        <is>
          <t>À documenter</t>
        </is>
      </c>
      <c r="AA123" s="2" t="inlineStr">
        <is>
          <t>À documenter</t>
        </is>
      </c>
      <c r="AB123" s="2" t="inlineStr">
        <is>
          <t>À documenter</t>
        </is>
      </c>
      <c r="AC123" s="2" t="inlineStr">
        <is>
          <t>Canon antichar de 85 mm D-5S</t>
        </is>
      </c>
      <c r="AD123" s="2" t="inlineStr">
        <is>
          <t>À documenter</t>
        </is>
      </c>
      <c r="AE123" s="2" t="inlineStr">
        <is>
          <t>À documenter</t>
        </is>
      </c>
      <c r="AF123" s="2" t="inlineStr">
        <is>
          <t>À définir</t>
        </is>
      </c>
      <c r="AG123" s="2" t="inlineStr">
        <is>
          <t>À définir</t>
        </is>
      </c>
      <c r="AH123" s="2" t="inlineStr">
        <is>
          <t>Réparation d’origine si véhicule complet ; démontage si incomplet</t>
        </is>
      </c>
      <c r="AI123" s="2" t="inlineStr">
        <is>
          <t>À documenter</t>
        </is>
      </c>
      <c r="AJ123" s="2" t="inlineStr">
        <is>
          <t>À définir</t>
        </is>
      </c>
      <c r="AK123" s="2" t="inlineStr">
        <is>
          <t>À documenter</t>
        </is>
      </c>
      <c r="AL123" s="2" t="inlineStr">
        <is>
          <t>À rechercher / voir sources historiques</t>
        </is>
      </c>
      <c r="AM123" s="2" t="inlineStr">
        <is>
          <t>À rechercher</t>
        </is>
      </c>
      <c r="AN123" s="2" t="inlineStr">
        <is>
          <t>Source de niveau variable ; contrôle par variante nécessaire</t>
        </is>
      </c>
      <c r="AO123" s="2" t="inlineStr">
        <is>
          <t>Non renseigné</t>
        </is>
      </c>
      <c r="AP123" s="2" t="inlineStr">
        <is>
          <t>Faible</t>
        </is>
      </c>
      <c r="AQ123" s="2" t="inlineStr">
        <is>
          <t>Élevé</t>
        </is>
      </c>
      <c r="AR123" s="2" t="inlineStr">
        <is>
          <t>Partiel — fiche à compléter</t>
        </is>
      </c>
      <c r="AS123" s="2" t="inlineStr">
        <is>
          <t>P2/P3</t>
        </is>
      </c>
      <c r="AT123" s="2" t="inlineStr">
        <is>
          <t>Modèle à valider historiquement avant verrouillage</t>
        </is>
      </c>
      <c r="AU123" s="2" t="inlineStr">
        <is>
          <t>À intégrer après validation du prototype</t>
        </is>
      </c>
      <c r="AV123" s="2" t="inlineStr">
        <is>
          <t>SU-85 : véhicule de catégorie « Chasseur de chars », d'origine URSS. Motorisation recensée : À rechercher. Fiche de catalogue à compléter avec le rôle tactique et les caractéristiques de jeu.</t>
        </is>
      </c>
    </row>
    <row r="124" ht="60" customHeight="1">
      <c r="A124" s="2" t="inlineStr">
        <is>
          <t>VEH-123</t>
        </is>
      </c>
      <c r="B124" s="2" t="inlineStr">
        <is>
          <t>Chars lourds et chasseurs de chars</t>
        </is>
      </c>
      <c r="C124" s="2" t="inlineStr">
        <is>
          <t>IS-2</t>
        </is>
      </c>
      <c r="D124" s="2" t="inlineStr">
        <is>
          <t>À distinguer si plusieurs variantes</t>
        </is>
      </c>
      <c r="E124" s="2" t="inlineStr">
        <is>
          <t>URSS</t>
        </is>
      </c>
      <c r="F124" s="2" t="inlineStr">
        <is>
          <t>À documenter</t>
        </is>
      </c>
      <c r="G124" s="2" t="inlineStr">
        <is>
          <t>À confirmer</t>
        </is>
      </c>
      <c r="H124" s="2" t="inlineStr">
        <is>
          <t>Char lourd</t>
        </is>
      </c>
      <c r="I124" s="2" t="inlineStr">
        <is>
          <t>À définir</t>
        </is>
      </c>
      <c r="J124" s="2" t="n"/>
      <c r="K124" s="2" t="n"/>
      <c r="L124" s="2" t="n"/>
      <c r="M124" s="2" t="n"/>
      <c r="N124" s="2" t="n"/>
      <c r="O124" s="2" t="n"/>
      <c r="P124" s="2" t="inlineStr">
        <is>
          <t>À rechercher</t>
        </is>
      </c>
      <c r="Q124" s="2" t="n"/>
      <c r="R124" s="2" t="n"/>
      <c r="S124" s="2" t="inlineStr">
        <is>
          <t>À confirmer</t>
        </is>
      </c>
      <c r="T124" s="2" t="n"/>
      <c r="U124" s="2" t="n"/>
      <c r="V124" s="2" t="n"/>
      <c r="W124" s="2" t="n"/>
      <c r="X124" s="2" t="inlineStr">
        <is>
          <t>À documenter</t>
        </is>
      </c>
      <c r="Y124" s="2" t="inlineStr">
        <is>
          <t>À documenter</t>
        </is>
      </c>
      <c r="Z124" s="2" t="inlineStr">
        <is>
          <t>À documenter</t>
        </is>
      </c>
      <c r="AA124" s="2" t="inlineStr">
        <is>
          <t>À documenter</t>
        </is>
      </c>
      <c r="AB124" s="2" t="inlineStr">
        <is>
          <t>À documenter</t>
        </is>
      </c>
      <c r="AC124" s="2" t="inlineStr">
        <is>
          <t>Canon de 122 mm D-25T; mitrailleuses DT de 7,62 mm, parfois DShK de 12,7 mm</t>
        </is>
      </c>
      <c r="AD124" s="2" t="inlineStr">
        <is>
          <t>À documenter</t>
        </is>
      </c>
      <c r="AE124" s="2" t="inlineStr">
        <is>
          <t>À documenter</t>
        </is>
      </c>
      <c r="AF124" s="2" t="inlineStr">
        <is>
          <t>À définir</t>
        </is>
      </c>
      <c r="AG124" s="2" t="inlineStr">
        <is>
          <t>À définir</t>
        </is>
      </c>
      <c r="AH124" s="2" t="inlineStr">
        <is>
          <t>Réparation d’origine si véhicule complet ; démontage si incomplet</t>
        </is>
      </c>
      <c r="AI124" s="2" t="inlineStr">
        <is>
          <t>À documenter</t>
        </is>
      </c>
      <c r="AJ124" s="2" t="inlineStr">
        <is>
          <t>À définir</t>
        </is>
      </c>
      <c r="AK124" s="2" t="inlineStr">
        <is>
          <t>À documenter</t>
        </is>
      </c>
      <c r="AL124" s="2" t="inlineStr">
        <is>
          <t>À rechercher / voir sources historiques</t>
        </is>
      </c>
      <c r="AM124" s="2" t="inlineStr">
        <is>
          <t>À rechercher</t>
        </is>
      </c>
      <c r="AN124" s="2" t="inlineStr">
        <is>
          <t>Source de niveau variable ; contrôle par variante nécessaire</t>
        </is>
      </c>
      <c r="AO124" s="2" t="inlineStr">
        <is>
          <t>Non renseigné</t>
        </is>
      </c>
      <c r="AP124" s="2" t="inlineStr">
        <is>
          <t>Faible</t>
        </is>
      </c>
      <c r="AQ124" s="2" t="inlineStr">
        <is>
          <t>Partiel</t>
        </is>
      </c>
      <c r="AR124" s="2" t="inlineStr">
        <is>
          <t>Partiel — fiche à compléter</t>
        </is>
      </c>
      <c r="AS124" s="2" t="inlineStr">
        <is>
          <t>P2/P3</t>
        </is>
      </c>
      <c r="AT124" s="2" t="inlineStr">
        <is>
          <t>Modèle à valider historiquement avant verrouillage</t>
        </is>
      </c>
      <c r="AU124" s="2" t="inlineStr">
        <is>
          <t>À intégrer après validation du prototype</t>
        </is>
      </c>
      <c r="AV124" s="2" t="inlineStr">
        <is>
          <t>IS-2 : véhicule de catégorie « Char lourd », d'origine URSS. Motorisation recensée : À rechercher. Fiche de catalogue à compléter avec le rôle tactique et les caractéristiques de jeu.</t>
        </is>
      </c>
    </row>
    <row r="125" ht="60" customHeight="1">
      <c r="A125" s="2" t="inlineStr">
        <is>
          <t>VEH-124</t>
        </is>
      </c>
      <c r="B125" s="2" t="inlineStr">
        <is>
          <t>Amphibies et véhicules spécialisés</t>
        </is>
      </c>
      <c r="C125" s="2" t="inlineStr">
        <is>
          <t>DUKW</t>
        </is>
      </c>
      <c r="D125" s="2" t="inlineStr">
        <is>
          <t>DUKW-353; distinguer équipements de transport, treuil et modifications tardives</t>
        </is>
      </c>
      <c r="E125" s="2" t="inlineStr">
        <is>
          <t>États-Unis</t>
        </is>
      </c>
      <c r="F125" s="2" t="inlineStr">
        <is>
          <t>1942–1945</t>
        </is>
      </c>
      <c r="G125" s="2" t="inlineStr">
        <is>
          <t>Production en série</t>
        </is>
      </c>
      <c r="H125" s="2" t="inlineStr">
        <is>
          <t>Camion amphibie 2,5 tonnes basé sur le groupe motopropulseur GMC CCKW</t>
        </is>
      </c>
      <c r="I125" s="2" t="inlineStr">
        <is>
          <t>Transport amphibie de fret et de personnel; franchissement côtier/fluvial</t>
        </is>
      </c>
      <c r="J125" s="2" t="n">
        <v>6560</v>
      </c>
      <c r="K125" s="2" t="n">
        <v>9450</v>
      </c>
      <c r="L125" s="2" t="n">
        <v>9.449999999999999</v>
      </c>
      <c r="M125" s="2" t="n">
        <v>2.44</v>
      </c>
      <c r="N125" s="2" t="n">
        <v>2.7</v>
      </c>
      <c r="O125" s="2" t="n"/>
      <c r="P125" s="2" t="inlineStr">
        <is>
          <t>GMC 270, 6 cylindres en ligne essence</t>
        </is>
      </c>
      <c r="Q125" s="2" t="n">
        <v>4.4</v>
      </c>
      <c r="R125" s="2" t="inlineStr">
        <is>
          <t>≈ 94–104 selon référence et norme de puissance</t>
        </is>
      </c>
      <c r="S125" s="2" t="inlineStr">
        <is>
          <t>Essence</t>
        </is>
      </c>
      <c r="T125" s="2" t="n">
        <v>150</v>
      </c>
      <c r="U125" s="2" t="n"/>
      <c r="V125" s="2" t="n">
        <v>80</v>
      </c>
      <c r="W125" s="2" t="n">
        <v>385</v>
      </c>
      <c r="X125" s="2" t="inlineStr">
        <is>
          <t>2 à 3 selon mission/configuration</t>
        </is>
      </c>
      <c r="Y125" s="2" t="inlineStr">
        <is>
          <t>Charge utile indicative 2 500 kg ; jusqu’à 25 soldats selon source/configuration</t>
        </is>
      </c>
      <c r="Z125" s="2" t="inlineStr">
        <is>
          <t>6x6 sur terre; propulsion par hélice dans l’eau</t>
        </is>
      </c>
      <c r="AA125" s="2" t="inlineStr">
        <is>
          <t>À documenter</t>
        </is>
      </c>
      <c r="AB125" s="2" t="inlineStr">
        <is>
          <t>Non blindé en configuration standard</t>
        </is>
      </c>
      <c r="AC125" s="2" t="inlineStr">
        <is>
          <t>Aucun armement fixe standard ; montage de mitrailleuse possible selon mission</t>
        </is>
      </c>
      <c r="AD125" s="2" t="inlineStr">
        <is>
          <t>À documenter</t>
        </is>
      </c>
      <c r="AE125" s="2" t="inlineStr">
        <is>
          <t>À documenter</t>
        </is>
      </c>
      <c r="AF125" s="2" t="inlineStr">
        <is>
          <t>À définir</t>
        </is>
      </c>
      <c r="AG125" s="2" t="inlineStr">
        <is>
          <t>À définir</t>
        </is>
      </c>
      <c r="AH125" s="2" t="inlineStr">
        <is>
          <t>Réparation d’origine si véhicule complet ; démontage si incomplet</t>
        </is>
      </c>
      <c r="AI125" s="2" t="inlineStr">
        <is>
          <t>Moteur GMC 270, transmission, système amphibie, hélice, gouvernail, pompes de cale, pneus/centrale de gonflage, coque</t>
        </is>
      </c>
      <c r="AJ125" s="2" t="inlineStr">
        <is>
          <t>À définir</t>
        </is>
      </c>
      <c r="AK125" s="2" t="inlineStr">
        <is>
          <t>DUKW-353 avec équipements et modifications de production ; ne pas le confondre avec un CCKW terrestre</t>
        </is>
      </c>
      <c r="AL125" s="2" t="inlineStr">
        <is>
          <t>TM 9-802, DUKW 2½-ton 6x6 amphibious truck</t>
        </is>
      </c>
      <c r="AM125" s="2" t="inlineStr">
        <is>
          <t>https://transportation.army.mil/museum/docs/TM9-802-Declassified.pdf ; https://www.gmccckw.nl/bronnenENG.php</t>
        </is>
      </c>
      <c r="AN125" s="2" t="inlineStr">
        <is>
          <t>Manuel primaire identifié; valeurs détaillées à extraire du manuel</t>
        </is>
      </c>
      <c r="AO125" s="2" t="inlineStr">
        <is>
          <t>Moyenne</t>
        </is>
      </c>
      <c r="AP125" s="2" t="inlineStr">
        <is>
          <t>Moyenne</t>
        </is>
      </c>
      <c r="AQ125" s="2" t="inlineStr">
        <is>
          <t>Élevé — pas d’armement fixe standard, options possibles</t>
        </is>
      </c>
      <c r="AR125" s="2" t="inlineStr">
        <is>
          <t>Partiellement documenté</t>
        </is>
      </c>
      <c r="AS125" s="2" t="inlineStr">
        <is>
          <t>P1</t>
        </is>
      </c>
      <c r="AT125" s="2" t="inlineStr">
        <is>
          <t>Les sources secondaires divergent sur puissance, masse et charge utile. Le manuel TM 9-802 doit primer; ne pas figer les valeurs secondaires dans les calculs d’équilibrage.</t>
        </is>
      </c>
      <c r="AU125" s="2" t="inlineStr">
        <is>
          <t>Véhicule de progression spécialisée</t>
        </is>
      </c>
      <c r="AV125" s="2" t="inlineStr">
        <is>
          <t>Camion amphibie capable de transporter personnel et ressources par terre ou par eau; volumineux, vulnérable et spécialisé.</t>
        </is>
      </c>
    </row>
    <row r="126" ht="60" customHeight="1">
      <c r="A126" s="2" t="inlineStr">
        <is>
          <t>VEH-125</t>
        </is>
      </c>
      <c r="B126" s="2" t="inlineStr">
        <is>
          <t>Amphibies et véhicules spécialisés</t>
        </is>
      </c>
      <c r="C126" s="2" t="inlineStr">
        <is>
          <t>LVT-2 / LVT-4</t>
        </is>
      </c>
      <c r="D126" s="2" t="inlineStr">
        <is>
          <t>À distinguer si plusieurs variantes</t>
        </is>
      </c>
      <c r="E126" s="2" t="inlineStr">
        <is>
          <t>États-Unis</t>
        </is>
      </c>
      <c r="F126" s="2" t="inlineStr">
        <is>
          <t>À documenter</t>
        </is>
      </c>
      <c r="G126" s="2" t="inlineStr">
        <is>
          <t>À confirmer</t>
        </is>
      </c>
      <c r="H126" s="2" t="inlineStr">
        <is>
          <t>Véhicule amphibie chenillé</t>
        </is>
      </c>
      <c r="I126" s="2" t="inlineStr">
        <is>
          <t>À définir</t>
        </is>
      </c>
      <c r="J126" s="2" t="n"/>
      <c r="K126" s="2" t="n"/>
      <c r="L126" s="2" t="n"/>
      <c r="M126" s="2" t="n"/>
      <c r="N126" s="2" t="n"/>
      <c r="O126" s="2" t="n"/>
      <c r="P126" s="2" t="inlineStr">
        <is>
          <t>À rechercher</t>
        </is>
      </c>
      <c r="Q126" s="2" t="n"/>
      <c r="R126" s="2" t="n"/>
      <c r="S126" s="2" t="inlineStr">
        <is>
          <t>À confirmer</t>
        </is>
      </c>
      <c r="T126" s="2" t="n"/>
      <c r="U126" s="2" t="n"/>
      <c r="V126" s="2" t="n"/>
      <c r="W126" s="2" t="n"/>
      <c r="X126" s="2" t="inlineStr">
        <is>
          <t>À documenter</t>
        </is>
      </c>
      <c r="Y126" s="2" t="inlineStr">
        <is>
          <t>À documenter</t>
        </is>
      </c>
      <c r="Z126" s="2" t="inlineStr">
        <is>
          <t>À documenter</t>
        </is>
      </c>
      <c r="AA126" s="2" t="inlineStr">
        <is>
          <t>À documenter</t>
        </is>
      </c>
      <c r="AB126" s="2" t="inlineStr">
        <is>
          <t>À documenter</t>
        </is>
      </c>
      <c r="AC126" s="2" t="inlineStr">
        <is>
          <t>Aucun armement standard confirmé; dépend de la variante et des transformations de terrain</t>
        </is>
      </c>
      <c r="AD126" s="2" t="inlineStr">
        <is>
          <t>À documenter</t>
        </is>
      </c>
      <c r="AE126" s="2" t="inlineStr">
        <is>
          <t>À documenter</t>
        </is>
      </c>
      <c r="AF126" s="2" t="inlineStr">
        <is>
          <t>À définir</t>
        </is>
      </c>
      <c r="AG126" s="2" t="inlineStr">
        <is>
          <t>À définir</t>
        </is>
      </c>
      <c r="AH126" s="2" t="inlineStr">
        <is>
          <t>Réparation d’origine si véhicule complet ; démontage si incomplet</t>
        </is>
      </c>
      <c r="AI126" s="2" t="inlineStr">
        <is>
          <t>À documenter</t>
        </is>
      </c>
      <c r="AJ126" s="2" t="inlineStr">
        <is>
          <t>À définir</t>
        </is>
      </c>
      <c r="AK126" s="2" t="inlineStr">
        <is>
          <t>À documenter</t>
        </is>
      </c>
      <c r="AL126" s="2" t="inlineStr">
        <is>
          <t>À rechercher / voir sources historiques</t>
        </is>
      </c>
      <c r="AM126" s="2" t="inlineStr">
        <is>
          <t>À rechercher</t>
        </is>
      </c>
      <c r="AN126" s="2" t="inlineStr">
        <is>
          <t>Source de niveau variable ; contrôle par variante nécessaire</t>
        </is>
      </c>
      <c r="AO126" s="2" t="inlineStr">
        <is>
          <t>Non renseigné</t>
        </is>
      </c>
      <c r="AP126" s="2" t="inlineStr">
        <is>
          <t>Faible</t>
        </is>
      </c>
      <c r="AQ126" s="2" t="inlineStr">
        <is>
          <t>À vérifier</t>
        </is>
      </c>
      <c r="AR126" s="2" t="inlineStr">
        <is>
          <t>Partiel — fiche à compléter</t>
        </is>
      </c>
      <c r="AS126" s="2" t="inlineStr">
        <is>
          <t>P2/P3</t>
        </is>
      </c>
      <c r="AT126" s="2" t="inlineStr">
        <is>
          <t>Modèle à valider historiquement avant verrouillage</t>
        </is>
      </c>
      <c r="AU126" s="2" t="inlineStr">
        <is>
          <t>À intégrer après validation du prototype</t>
        </is>
      </c>
      <c r="AV126" s="2" t="inlineStr">
        <is>
          <t>LVT-2 / LVT-4 : véhicule de catégorie « Véhicule amphibie chenillé », d'origine États-Unis. Motorisation recensée : À rechercher. Fiche de catalogue à compléter avec le rôle tactique et les caractéristiques de jeu.</t>
        </is>
      </c>
    </row>
    <row r="127" ht="60" customHeight="1">
      <c r="A127" s="2" t="inlineStr">
        <is>
          <t>VEH-126</t>
        </is>
      </c>
      <c r="B127" s="2" t="inlineStr">
        <is>
          <t>Amphibies et véhicules spécialisés</t>
        </is>
      </c>
      <c r="C127" s="2" t="inlineStr">
        <is>
          <t>Studebaker M29 Weasel</t>
        </is>
      </c>
      <c r="D127" s="2" t="inlineStr">
        <is>
          <t>À distinguer si plusieurs variantes</t>
        </is>
      </c>
      <c r="E127" s="2" t="inlineStr">
        <is>
          <t>États-Unis</t>
        </is>
      </c>
      <c r="F127" s="2" t="inlineStr">
        <is>
          <t>À documenter</t>
        </is>
      </c>
      <c r="G127" s="2" t="inlineStr">
        <is>
          <t>À confirmer</t>
        </is>
      </c>
      <c r="H127" s="2" t="inlineStr">
        <is>
          <t>Transporteur chenillé léger</t>
        </is>
      </c>
      <c r="I127" s="2" t="inlineStr">
        <is>
          <t>À définir</t>
        </is>
      </c>
      <c r="J127" s="2" t="n"/>
      <c r="K127" s="2" t="n"/>
      <c r="L127" s="2" t="n"/>
      <c r="M127" s="2" t="n"/>
      <c r="N127" s="2" t="n"/>
      <c r="O127" s="2" t="n"/>
      <c r="P127" s="2" t="inlineStr">
        <is>
          <t>À rechercher</t>
        </is>
      </c>
      <c r="Q127" s="2" t="n"/>
      <c r="R127" s="2" t="n"/>
      <c r="S127" s="2" t="inlineStr">
        <is>
          <t>À confirmer</t>
        </is>
      </c>
      <c r="T127" s="2" t="n"/>
      <c r="U127" s="2" t="n"/>
      <c r="V127" s="2" t="n"/>
      <c r="W127" s="2" t="n"/>
      <c r="X127" s="2" t="inlineStr">
        <is>
          <t>À documenter</t>
        </is>
      </c>
      <c r="Y127" s="2" t="inlineStr">
        <is>
          <t>À documenter</t>
        </is>
      </c>
      <c r="Z127" s="2" t="inlineStr">
        <is>
          <t>À documenter</t>
        </is>
      </c>
      <c r="AA127" s="2" t="inlineStr">
        <is>
          <t>À documenter</t>
        </is>
      </c>
      <c r="AB127" s="2" t="inlineStr">
        <is>
          <t>À documenter</t>
        </is>
      </c>
      <c r="AC127" s="2" t="inlineStr">
        <is>
          <t>Aucun armement fixe standard identifié; arme individuelle/affût de campagne possible selon usage</t>
        </is>
      </c>
      <c r="AD127" s="2" t="inlineStr">
        <is>
          <t>À documenter</t>
        </is>
      </c>
      <c r="AE127" s="2" t="inlineStr">
        <is>
          <t>À documenter</t>
        </is>
      </c>
      <c r="AF127" s="2" t="inlineStr">
        <is>
          <t>À définir</t>
        </is>
      </c>
      <c r="AG127" s="2" t="inlineStr">
        <is>
          <t>À définir</t>
        </is>
      </c>
      <c r="AH127" s="2" t="inlineStr">
        <is>
          <t>Réparation d’origine si véhicule complet ; démontage si incomplet</t>
        </is>
      </c>
      <c r="AI127" s="2" t="inlineStr">
        <is>
          <t>À documenter</t>
        </is>
      </c>
      <c r="AJ127" s="2" t="inlineStr">
        <is>
          <t>À définir</t>
        </is>
      </c>
      <c r="AK127" s="2" t="inlineStr">
        <is>
          <t>À documenter</t>
        </is>
      </c>
      <c r="AL127" s="2" t="inlineStr">
        <is>
          <t>À rechercher / voir sources historiques</t>
        </is>
      </c>
      <c r="AM127" s="2" t="inlineStr">
        <is>
          <t>À rechercher</t>
        </is>
      </c>
      <c r="AN127" s="2" t="inlineStr">
        <is>
          <t>Source de niveau variable ; contrôle par variante nécessaire</t>
        </is>
      </c>
      <c r="AO127" s="2" t="inlineStr">
        <is>
          <t>Non renseigné</t>
        </is>
      </c>
      <c r="AP127" s="2" t="inlineStr">
        <is>
          <t>Faible</t>
        </is>
      </c>
      <c r="AQ127" s="2" t="inlineStr">
        <is>
          <t>Élevé</t>
        </is>
      </c>
      <c r="AR127" s="2" t="inlineStr">
        <is>
          <t>Partiel — fiche à compléter</t>
        </is>
      </c>
      <c r="AS127" s="2" t="inlineStr">
        <is>
          <t>P2/P3</t>
        </is>
      </c>
      <c r="AT127" s="2" t="inlineStr">
        <is>
          <t>Modèle à valider historiquement avant verrouillage</t>
        </is>
      </c>
      <c r="AU127" s="2" t="inlineStr">
        <is>
          <t>À intégrer après validation du prototype</t>
        </is>
      </c>
      <c r="AV127" s="2" t="inlineStr">
        <is>
          <t>Studebaker M29 Weasel : véhicule de catégorie « Transporteur chenillé léger », d'origine États-Unis. Motorisation recensée : À rechercher. Fiche de catalogue à compléter avec le rôle tactique et les caractéristiques de jeu.</t>
        </is>
      </c>
    </row>
    <row r="128" ht="60" customHeight="1">
      <c r="A128" s="2" t="inlineStr">
        <is>
          <t>VEH-127</t>
        </is>
      </c>
      <c r="B128" s="2" t="inlineStr">
        <is>
          <t>Amphibies et véhicules spécialisés</t>
        </is>
      </c>
      <c r="C128" s="2" t="inlineStr">
        <is>
          <t>Ford GPA Seep</t>
        </is>
      </c>
      <c r="D128" s="2" t="inlineStr">
        <is>
          <t>À distinguer si plusieurs variantes</t>
        </is>
      </c>
      <c r="E128" s="2" t="inlineStr">
        <is>
          <t>États-Unis</t>
        </is>
      </c>
      <c r="F128" s="2" t="inlineStr">
        <is>
          <t>À documenter</t>
        </is>
      </c>
      <c r="G128" s="2" t="inlineStr">
        <is>
          <t>À confirmer</t>
        </is>
      </c>
      <c r="H128" s="2" t="inlineStr">
        <is>
          <t>Jeep amphibie</t>
        </is>
      </c>
      <c r="I128" s="2" t="inlineStr">
        <is>
          <t>À définir</t>
        </is>
      </c>
      <c r="J128" s="2" t="n"/>
      <c r="K128" s="2" t="n"/>
      <c r="L128" s="2" t="n"/>
      <c r="M128" s="2" t="n"/>
      <c r="N128" s="2" t="n"/>
      <c r="O128" s="2" t="n"/>
      <c r="P128" s="2" t="inlineStr">
        <is>
          <t>À rechercher</t>
        </is>
      </c>
      <c r="Q128" s="2" t="n"/>
      <c r="R128" s="2" t="n"/>
      <c r="S128" s="2" t="inlineStr">
        <is>
          <t>À confirmer</t>
        </is>
      </c>
      <c r="T128" s="2" t="n"/>
      <c r="U128" s="2" t="n"/>
      <c r="V128" s="2" t="n"/>
      <c r="W128" s="2" t="n"/>
      <c r="X128" s="2" t="inlineStr">
        <is>
          <t>À documenter</t>
        </is>
      </c>
      <c r="Y128" s="2" t="inlineStr">
        <is>
          <t>À documenter</t>
        </is>
      </c>
      <c r="Z128" s="2" t="inlineStr">
        <is>
          <t>À documenter</t>
        </is>
      </c>
      <c r="AA128" s="2" t="inlineStr">
        <is>
          <t>À documenter</t>
        </is>
      </c>
      <c r="AB128" s="2" t="inlineStr">
        <is>
          <t>À documenter</t>
        </is>
      </c>
      <c r="AC128" s="2" t="inlineStr">
        <is>
          <t>Aucun armement standard confirmé; dépend de la variante et des transformations de terrain</t>
        </is>
      </c>
      <c r="AD128" s="2" t="inlineStr">
        <is>
          <t>À documenter</t>
        </is>
      </c>
      <c r="AE128" s="2" t="inlineStr">
        <is>
          <t>À documenter</t>
        </is>
      </c>
      <c r="AF128" s="2" t="inlineStr">
        <is>
          <t>À définir</t>
        </is>
      </c>
      <c r="AG128" s="2" t="inlineStr">
        <is>
          <t>À définir</t>
        </is>
      </c>
      <c r="AH128" s="2" t="inlineStr">
        <is>
          <t>Réparation d’origine si véhicule complet ; démontage si incomplet</t>
        </is>
      </c>
      <c r="AI128" s="2" t="inlineStr">
        <is>
          <t>À documenter</t>
        </is>
      </c>
      <c r="AJ128" s="2" t="inlineStr">
        <is>
          <t>À définir</t>
        </is>
      </c>
      <c r="AK128" s="2" t="inlineStr">
        <is>
          <t>À documenter</t>
        </is>
      </c>
      <c r="AL128" s="2" t="inlineStr">
        <is>
          <t>À rechercher / voir sources historiques</t>
        </is>
      </c>
      <c r="AM128" s="2" t="inlineStr">
        <is>
          <t>À rechercher</t>
        </is>
      </c>
      <c r="AN128" s="2" t="inlineStr">
        <is>
          <t>Source de niveau variable ; contrôle par variante nécessaire</t>
        </is>
      </c>
      <c r="AO128" s="2" t="inlineStr">
        <is>
          <t>Non renseigné</t>
        </is>
      </c>
      <c r="AP128" s="2" t="inlineStr">
        <is>
          <t>Faible</t>
        </is>
      </c>
      <c r="AQ128" s="2" t="inlineStr">
        <is>
          <t>À vérifier</t>
        </is>
      </c>
      <c r="AR128" s="2" t="inlineStr">
        <is>
          <t>Partiel — fiche à compléter</t>
        </is>
      </c>
      <c r="AS128" s="2" t="inlineStr">
        <is>
          <t>P2/P3</t>
        </is>
      </c>
      <c r="AT128" s="2" t="inlineStr">
        <is>
          <t>Modèle à valider historiquement avant verrouillage</t>
        </is>
      </c>
      <c r="AU128" s="2" t="inlineStr">
        <is>
          <t>À intégrer après validation du prototype</t>
        </is>
      </c>
      <c r="AV128" s="2" t="inlineStr">
        <is>
          <t>Ford GPA Seep : véhicule de catégorie « Jeep amphibie », d'origine États-Unis. Motorisation recensée : À rechercher. Fiche de catalogue à compléter avec le rôle tactique et les caractéristiques de jeu.</t>
        </is>
      </c>
    </row>
    <row r="129" ht="60" customHeight="1">
      <c r="A129" s="2" t="inlineStr">
        <is>
          <t>VEH-128</t>
        </is>
      </c>
      <c r="B129" s="2" t="inlineStr">
        <is>
          <t>Amphibies et véhicules spécialisés</t>
        </is>
      </c>
      <c r="C129" s="2" t="inlineStr">
        <is>
          <t>Schwimmwagen Type 166</t>
        </is>
      </c>
      <c r="D129" s="2" t="inlineStr">
        <is>
          <t>À distinguer si plusieurs variantes</t>
        </is>
      </c>
      <c r="E129" s="2" t="inlineStr">
        <is>
          <t>Allemagne</t>
        </is>
      </c>
      <c r="F129" s="2" t="inlineStr">
        <is>
          <t>À documenter</t>
        </is>
      </c>
      <c r="G129" s="2" t="inlineStr">
        <is>
          <t>À confirmer</t>
        </is>
      </c>
      <c r="H129" s="2" t="inlineStr">
        <is>
          <t>Véhicule amphibie léger</t>
        </is>
      </c>
      <c r="I129" s="2" t="inlineStr">
        <is>
          <t>À définir</t>
        </is>
      </c>
      <c r="J129" s="2" t="n"/>
      <c r="K129" s="2" t="n"/>
      <c r="L129" s="2" t="n"/>
      <c r="M129" s="2" t="n"/>
      <c r="N129" s="2" t="n"/>
      <c r="O129" s="2" t="n"/>
      <c r="P129" s="2" t="inlineStr">
        <is>
          <t>À rechercher</t>
        </is>
      </c>
      <c r="Q129" s="2" t="n"/>
      <c r="R129" s="2" t="n"/>
      <c r="S129" s="2" t="inlineStr">
        <is>
          <t>À confirmer</t>
        </is>
      </c>
      <c r="T129" s="2" t="n"/>
      <c r="U129" s="2" t="n"/>
      <c r="V129" s="2" t="n"/>
      <c r="W129" s="2" t="n"/>
      <c r="X129" s="2" t="inlineStr">
        <is>
          <t>À documenter</t>
        </is>
      </c>
      <c r="Y129" s="2" t="inlineStr">
        <is>
          <t>À documenter</t>
        </is>
      </c>
      <c r="Z129" s="2" t="inlineStr">
        <is>
          <t>À documenter</t>
        </is>
      </c>
      <c r="AA129" s="2" t="inlineStr">
        <is>
          <t>À documenter</t>
        </is>
      </c>
      <c r="AB129" s="2" t="inlineStr">
        <is>
          <t>À documenter</t>
        </is>
      </c>
      <c r="AC129" s="2" t="inlineStr">
        <is>
          <t>Aucun armement standard confirmé; dépend de la variante et des transformations de terrain</t>
        </is>
      </c>
      <c r="AD129" s="2" t="inlineStr">
        <is>
          <t>À documenter</t>
        </is>
      </c>
      <c r="AE129" s="2" t="inlineStr">
        <is>
          <t>À documenter</t>
        </is>
      </c>
      <c r="AF129" s="2" t="inlineStr">
        <is>
          <t>À définir</t>
        </is>
      </c>
      <c r="AG129" s="2" t="inlineStr">
        <is>
          <t>À définir</t>
        </is>
      </c>
      <c r="AH129" s="2" t="inlineStr">
        <is>
          <t>Réparation d’origine si véhicule complet ; démontage si incomplet</t>
        </is>
      </c>
      <c r="AI129" s="2" t="inlineStr">
        <is>
          <t>À documenter</t>
        </is>
      </c>
      <c r="AJ129" s="2" t="inlineStr">
        <is>
          <t>À définir</t>
        </is>
      </c>
      <c r="AK129" s="2" t="inlineStr">
        <is>
          <t>À documenter</t>
        </is>
      </c>
      <c r="AL129" s="2" t="inlineStr">
        <is>
          <t>À rechercher / voir sources historiques</t>
        </is>
      </c>
      <c r="AM129" s="2" t="inlineStr">
        <is>
          <t>À rechercher</t>
        </is>
      </c>
      <c r="AN129" s="2" t="inlineStr">
        <is>
          <t>Source de niveau variable ; contrôle par variante nécessaire</t>
        </is>
      </c>
      <c r="AO129" s="2" t="inlineStr">
        <is>
          <t>Non renseigné</t>
        </is>
      </c>
      <c r="AP129" s="2" t="inlineStr">
        <is>
          <t>Faible</t>
        </is>
      </c>
      <c r="AQ129" s="2" t="inlineStr">
        <is>
          <t>À vérifier</t>
        </is>
      </c>
      <c r="AR129" s="2" t="inlineStr">
        <is>
          <t>Partiel — fiche à compléter</t>
        </is>
      </c>
      <c r="AS129" s="2" t="inlineStr">
        <is>
          <t>P2/P3</t>
        </is>
      </c>
      <c r="AT129" s="2" t="inlineStr">
        <is>
          <t>Modèle à valider historiquement avant verrouillage</t>
        </is>
      </c>
      <c r="AU129" s="2" t="inlineStr">
        <is>
          <t>À intégrer après validation du prototype</t>
        </is>
      </c>
      <c r="AV129" s="2" t="inlineStr">
        <is>
          <t>Schwimmwagen Type 166 : véhicule de catégorie « Véhicule amphibie léger », d'origine Allemagne. Motorisation recensée : À rechercher. Fiche de catalogue à compléter avec le rôle tactique et les caractéristiques de jeu.</t>
        </is>
      </c>
    </row>
    <row r="130" ht="60" customHeight="1">
      <c r="A130" s="2" t="inlineStr">
        <is>
          <t>VEH-129</t>
        </is>
      </c>
      <c r="B130" s="2" t="inlineStr">
        <is>
          <t>Amphibies et véhicules spécialisés</t>
        </is>
      </c>
      <c r="C130" s="2" t="inlineStr">
        <is>
          <t>LVT britannique Buffalo</t>
        </is>
      </c>
      <c r="D130" s="2" t="inlineStr">
        <is>
          <t>À distinguer si plusieurs variantes</t>
        </is>
      </c>
      <c r="E130" s="2" t="inlineStr">
        <is>
          <t>Royaume-Uni/États-Unis</t>
        </is>
      </c>
      <c r="F130" s="2" t="inlineStr">
        <is>
          <t>À documenter</t>
        </is>
      </c>
      <c r="G130" s="2" t="inlineStr">
        <is>
          <t>À confirmer</t>
        </is>
      </c>
      <c r="H130" s="2" t="inlineStr">
        <is>
          <t>Véhicule amphibie</t>
        </is>
      </c>
      <c r="I130" s="2" t="inlineStr">
        <is>
          <t>À définir</t>
        </is>
      </c>
      <c r="J130" s="2" t="n"/>
      <c r="K130" s="2" t="n"/>
      <c r="L130" s="2" t="n"/>
      <c r="M130" s="2" t="n"/>
      <c r="N130" s="2" t="n"/>
      <c r="O130" s="2" t="n"/>
      <c r="P130" s="2" t="inlineStr">
        <is>
          <t>À rechercher</t>
        </is>
      </c>
      <c r="Q130" s="2" t="n"/>
      <c r="R130" s="2" t="n"/>
      <c r="S130" s="2" t="inlineStr">
        <is>
          <t>À confirmer</t>
        </is>
      </c>
      <c r="T130" s="2" t="n"/>
      <c r="U130" s="2" t="n"/>
      <c r="V130" s="2" t="n"/>
      <c r="W130" s="2" t="n"/>
      <c r="X130" s="2" t="inlineStr">
        <is>
          <t>À documenter</t>
        </is>
      </c>
      <c r="Y130" s="2" t="inlineStr">
        <is>
          <t>À documenter</t>
        </is>
      </c>
      <c r="Z130" s="2" t="inlineStr">
        <is>
          <t>À documenter</t>
        </is>
      </c>
      <c r="AA130" s="2" t="inlineStr">
        <is>
          <t>À documenter</t>
        </is>
      </c>
      <c r="AB130" s="2" t="inlineStr">
        <is>
          <t>À documenter</t>
        </is>
      </c>
      <c r="AC130" s="2" t="inlineStr">
        <is>
          <t>Aucun armement standard confirmé; dépend de la variante et des transformations de terrain</t>
        </is>
      </c>
      <c r="AD130" s="2" t="inlineStr">
        <is>
          <t>À documenter</t>
        </is>
      </c>
      <c r="AE130" s="2" t="inlineStr">
        <is>
          <t>À documenter</t>
        </is>
      </c>
      <c r="AF130" s="2" t="inlineStr">
        <is>
          <t>À définir</t>
        </is>
      </c>
      <c r="AG130" s="2" t="inlineStr">
        <is>
          <t>À définir</t>
        </is>
      </c>
      <c r="AH130" s="2" t="inlineStr">
        <is>
          <t>Réparation d’origine si véhicule complet ; démontage si incomplet</t>
        </is>
      </c>
      <c r="AI130" s="2" t="inlineStr">
        <is>
          <t>À documenter</t>
        </is>
      </c>
      <c r="AJ130" s="2" t="inlineStr">
        <is>
          <t>À définir</t>
        </is>
      </c>
      <c r="AK130" s="2" t="inlineStr">
        <is>
          <t>À documenter</t>
        </is>
      </c>
      <c r="AL130" s="2" t="inlineStr">
        <is>
          <t>À rechercher / voir sources historiques</t>
        </is>
      </c>
      <c r="AM130" s="2" t="inlineStr">
        <is>
          <t>À rechercher</t>
        </is>
      </c>
      <c r="AN130" s="2" t="inlineStr">
        <is>
          <t>Source de niveau variable ; contrôle par variante nécessaire</t>
        </is>
      </c>
      <c r="AO130" s="2" t="inlineStr">
        <is>
          <t>Non renseigné</t>
        </is>
      </c>
      <c r="AP130" s="2" t="inlineStr">
        <is>
          <t>Faible</t>
        </is>
      </c>
      <c r="AQ130" s="2" t="inlineStr">
        <is>
          <t>À vérifier</t>
        </is>
      </c>
      <c r="AR130" s="2" t="inlineStr">
        <is>
          <t>Partiel — fiche à compléter</t>
        </is>
      </c>
      <c r="AS130" s="2" t="inlineStr">
        <is>
          <t>P2/P3</t>
        </is>
      </c>
      <c r="AT130" s="2" t="inlineStr">
        <is>
          <t>Modèle à valider historiquement avant verrouillage</t>
        </is>
      </c>
      <c r="AU130" s="2" t="inlineStr">
        <is>
          <t>À intégrer après validation du prototype</t>
        </is>
      </c>
      <c r="AV130" s="2" t="inlineStr">
        <is>
          <t>LVT britannique Buffalo : véhicule de catégorie « Véhicule amphibie », d'origine Royaume-Uni/États-Unis. Motorisation recensée : À rechercher. Fiche de catalogue à compléter avec le rôle tactique et les caractéristiques de jeu.</t>
        </is>
      </c>
    </row>
    <row r="131" ht="60" customHeight="1">
      <c r="A131" s="2" t="inlineStr">
        <is>
          <t>VEH-130</t>
        </is>
      </c>
      <c r="B131" s="2" t="inlineStr">
        <is>
          <t>Engins de chantier et agricoles</t>
        </is>
      </c>
      <c r="C131" s="2" t="inlineStr">
        <is>
          <t>Caterpillar D2</t>
        </is>
      </c>
      <c r="D131" s="2" t="inlineStr">
        <is>
          <t>À distinguer si plusieurs variantes</t>
        </is>
      </c>
      <c r="E131" s="2" t="inlineStr">
        <is>
          <t>États-Unis</t>
        </is>
      </c>
      <c r="F131" s="2" t="inlineStr">
        <is>
          <t>À documenter</t>
        </is>
      </c>
      <c r="G131" s="2" t="inlineStr">
        <is>
          <t>À confirmer</t>
        </is>
      </c>
      <c r="H131" s="2" t="inlineStr">
        <is>
          <t>Bulldozer</t>
        </is>
      </c>
      <c r="I131" s="2" t="inlineStr">
        <is>
          <t>À définir</t>
        </is>
      </c>
      <c r="J131" s="2" t="n"/>
      <c r="K131" s="2" t="n"/>
      <c r="L131" s="2" t="n"/>
      <c r="M131" s="2" t="n"/>
      <c r="N131" s="2" t="n"/>
      <c r="O131" s="2" t="n"/>
      <c r="P131" s="2" t="inlineStr">
        <is>
          <t>À rechercher</t>
        </is>
      </c>
      <c r="Q131" s="2" t="n"/>
      <c r="R131" s="2" t="n"/>
      <c r="S131" s="2" t="inlineStr">
        <is>
          <t>À confirmer</t>
        </is>
      </c>
      <c r="T131" s="2" t="n"/>
      <c r="U131" s="2" t="n"/>
      <c r="V131" s="2" t="n"/>
      <c r="W131" s="2" t="n"/>
      <c r="X131" s="2" t="inlineStr">
        <is>
          <t>À documenter</t>
        </is>
      </c>
      <c r="Y131" s="2" t="inlineStr">
        <is>
          <t>À documenter</t>
        </is>
      </c>
      <c r="Z131" s="2" t="inlineStr">
        <is>
          <t>À documenter</t>
        </is>
      </c>
      <c r="AA131" s="2" t="inlineStr">
        <is>
          <t>À documenter</t>
        </is>
      </c>
      <c r="AB131" s="2" t="inlineStr">
        <is>
          <t>À documenter</t>
        </is>
      </c>
      <c r="AC131" s="2" t="inlineStr">
        <is>
          <t>Aucun armement standard confirmé; dépend de la variante et des transformations de terrain</t>
        </is>
      </c>
      <c r="AD131" s="2" t="inlineStr">
        <is>
          <t>À documenter</t>
        </is>
      </c>
      <c r="AE131" s="2" t="inlineStr">
        <is>
          <t>À documenter</t>
        </is>
      </c>
      <c r="AF131" s="2" t="inlineStr">
        <is>
          <t>À définir</t>
        </is>
      </c>
      <c r="AG131" s="2" t="inlineStr">
        <is>
          <t>À définir</t>
        </is>
      </c>
      <c r="AH131" s="2" t="inlineStr">
        <is>
          <t>Réparation d’origine si véhicule complet ; démontage si incomplet</t>
        </is>
      </c>
      <c r="AI131" s="2" t="inlineStr">
        <is>
          <t>À documenter</t>
        </is>
      </c>
      <c r="AJ131" s="2" t="inlineStr">
        <is>
          <t>À définir</t>
        </is>
      </c>
      <c r="AK131" s="2" t="inlineStr">
        <is>
          <t>À documenter</t>
        </is>
      </c>
      <c r="AL131" s="2" t="inlineStr">
        <is>
          <t>À rechercher / voir sources historiques</t>
        </is>
      </c>
      <c r="AM131" s="2" t="inlineStr">
        <is>
          <t>À rechercher</t>
        </is>
      </c>
      <c r="AN131" s="2" t="inlineStr">
        <is>
          <t>Source de niveau variable ; contrôle par variante nécessaire</t>
        </is>
      </c>
      <c r="AO131" s="2" t="inlineStr">
        <is>
          <t>Non renseigné</t>
        </is>
      </c>
      <c r="AP131" s="2" t="inlineStr">
        <is>
          <t>Faible</t>
        </is>
      </c>
      <c r="AQ131" s="2" t="inlineStr">
        <is>
          <t>À vérifier</t>
        </is>
      </c>
      <c r="AR131" s="2" t="inlineStr">
        <is>
          <t>Partiel — fiche à compléter</t>
        </is>
      </c>
      <c r="AS131" s="2" t="inlineStr">
        <is>
          <t>P2/P3</t>
        </is>
      </c>
      <c r="AT131" s="2" t="inlineStr">
        <is>
          <t>Modèle à valider historiquement avant verrouillage</t>
        </is>
      </c>
      <c r="AU131" s="2" t="inlineStr">
        <is>
          <t>À intégrer après validation du prototype</t>
        </is>
      </c>
      <c r="AV131" s="2" t="inlineStr">
        <is>
          <t>Caterpillar D2 : véhicule de catégorie « Bulldozer », d'origine États-Unis. Motorisation recensée : À rechercher. Fiche de catalogue à compléter avec le rôle tactique et les caractéristiques de jeu.</t>
        </is>
      </c>
    </row>
    <row r="132" ht="60" customHeight="1">
      <c r="A132" s="2" t="inlineStr">
        <is>
          <t>VEH-131</t>
        </is>
      </c>
      <c r="B132" s="2" t="inlineStr">
        <is>
          <t>Engins de chantier et agricoles</t>
        </is>
      </c>
      <c r="C132" s="2" t="inlineStr">
        <is>
          <t>Caterpillar D4</t>
        </is>
      </c>
      <c r="D132" s="2" t="inlineStr">
        <is>
          <t>À distinguer si plusieurs variantes</t>
        </is>
      </c>
      <c r="E132" s="2" t="inlineStr">
        <is>
          <t>États-Unis</t>
        </is>
      </c>
      <c r="F132" s="2" t="inlineStr">
        <is>
          <t>À documenter</t>
        </is>
      </c>
      <c r="G132" s="2" t="inlineStr">
        <is>
          <t>À confirmer</t>
        </is>
      </c>
      <c r="H132" s="2" t="inlineStr">
        <is>
          <t>Tracteur chenillé</t>
        </is>
      </c>
      <c r="I132" s="2" t="inlineStr">
        <is>
          <t>À définir</t>
        </is>
      </c>
      <c r="J132" s="2" t="n"/>
      <c r="K132" s="2" t="n"/>
      <c r="L132" s="2" t="n"/>
      <c r="M132" s="2" t="n"/>
      <c r="N132" s="2" t="n"/>
      <c r="O132" s="2" t="n"/>
      <c r="P132" s="2" t="inlineStr">
        <is>
          <t>À rechercher</t>
        </is>
      </c>
      <c r="Q132" s="2" t="n"/>
      <c r="R132" s="2" t="n"/>
      <c r="S132" s="2" t="inlineStr">
        <is>
          <t>À confirmer</t>
        </is>
      </c>
      <c r="T132" s="2" t="n"/>
      <c r="U132" s="2" t="n"/>
      <c r="V132" s="2" t="n"/>
      <c r="W132" s="2" t="n"/>
      <c r="X132" s="2" t="inlineStr">
        <is>
          <t>À documenter</t>
        </is>
      </c>
      <c r="Y132" s="2" t="inlineStr">
        <is>
          <t>À documenter</t>
        </is>
      </c>
      <c r="Z132" s="2" t="inlineStr">
        <is>
          <t>À documenter</t>
        </is>
      </c>
      <c r="AA132" s="2" t="inlineStr">
        <is>
          <t>À documenter</t>
        </is>
      </c>
      <c r="AB132" s="2" t="inlineStr">
        <is>
          <t>À documenter</t>
        </is>
      </c>
      <c r="AC132" s="2" t="inlineStr">
        <is>
          <t>Aucun armement fixe standard identifié; arme individuelle/affût de campagne possible selon usage</t>
        </is>
      </c>
      <c r="AD132" s="2" t="inlineStr">
        <is>
          <t>À documenter</t>
        </is>
      </c>
      <c r="AE132" s="2" t="inlineStr">
        <is>
          <t>À documenter</t>
        </is>
      </c>
      <c r="AF132" s="2" t="inlineStr">
        <is>
          <t>À définir</t>
        </is>
      </c>
      <c r="AG132" s="2" t="inlineStr">
        <is>
          <t>À définir</t>
        </is>
      </c>
      <c r="AH132" s="2" t="inlineStr">
        <is>
          <t>Réparation d’origine si véhicule complet ; démontage si incomplet</t>
        </is>
      </c>
      <c r="AI132" s="2" t="inlineStr">
        <is>
          <t>À documenter</t>
        </is>
      </c>
      <c r="AJ132" s="2" t="inlineStr">
        <is>
          <t>À définir</t>
        </is>
      </c>
      <c r="AK132" s="2" t="inlineStr">
        <is>
          <t>À documenter</t>
        </is>
      </c>
      <c r="AL132" s="2" t="inlineStr">
        <is>
          <t>À rechercher / voir sources historiques</t>
        </is>
      </c>
      <c r="AM132" s="2" t="inlineStr">
        <is>
          <t>À rechercher</t>
        </is>
      </c>
      <c r="AN132" s="2" t="inlineStr">
        <is>
          <t>Source de niveau variable ; contrôle par variante nécessaire</t>
        </is>
      </c>
      <c r="AO132" s="2" t="inlineStr">
        <is>
          <t>Non renseigné</t>
        </is>
      </c>
      <c r="AP132" s="2" t="inlineStr">
        <is>
          <t>Faible</t>
        </is>
      </c>
      <c r="AQ132" s="2" t="inlineStr">
        <is>
          <t>Élevé</t>
        </is>
      </c>
      <c r="AR132" s="2" t="inlineStr">
        <is>
          <t>Partiel — fiche à compléter</t>
        </is>
      </c>
      <c r="AS132" s="2" t="inlineStr">
        <is>
          <t>P2/P3</t>
        </is>
      </c>
      <c r="AT132" s="2" t="inlineStr">
        <is>
          <t>Modèle à valider historiquement avant verrouillage</t>
        </is>
      </c>
      <c r="AU132" s="2" t="inlineStr">
        <is>
          <t>À intégrer après validation du prototype</t>
        </is>
      </c>
      <c r="AV132" s="2" t="inlineStr">
        <is>
          <t>Caterpillar D4 : véhicule de catégorie « Tracteur chenillé », d'origine États-Unis. Motorisation recensée : À rechercher. Fiche de catalogue à compléter avec le rôle tactique et les caractéristiques de jeu.</t>
        </is>
      </c>
    </row>
    <row r="133" ht="60" customHeight="1">
      <c r="A133" s="2" t="inlineStr">
        <is>
          <t>VEH-132</t>
        </is>
      </c>
      <c r="B133" s="2" t="inlineStr">
        <is>
          <t>Engins de chantier et agricoles</t>
        </is>
      </c>
      <c r="C133" s="2" t="inlineStr">
        <is>
          <t>Caterpillar D7</t>
        </is>
      </c>
      <c r="D133" s="2" t="inlineStr">
        <is>
          <t>À distinguer si plusieurs variantes</t>
        </is>
      </c>
      <c r="E133" s="2" t="inlineStr">
        <is>
          <t>États-Unis</t>
        </is>
      </c>
      <c r="F133" s="2" t="inlineStr">
        <is>
          <t>À documenter</t>
        </is>
      </c>
      <c r="G133" s="2" t="inlineStr">
        <is>
          <t>À confirmer</t>
        </is>
      </c>
      <c r="H133" s="2" t="inlineStr">
        <is>
          <t>Tracteur chenillé</t>
        </is>
      </c>
      <c r="I133" s="2" t="inlineStr">
        <is>
          <t>À définir</t>
        </is>
      </c>
      <c r="J133" s="2" t="n"/>
      <c r="K133" s="2" t="n"/>
      <c r="L133" s="2" t="n"/>
      <c r="M133" s="2" t="n"/>
      <c r="N133" s="2" t="n"/>
      <c r="O133" s="2" t="n"/>
      <c r="P133" s="2" t="inlineStr">
        <is>
          <t>À rechercher</t>
        </is>
      </c>
      <c r="Q133" s="2" t="n"/>
      <c r="R133" s="2" t="n"/>
      <c r="S133" s="2" t="inlineStr">
        <is>
          <t>À confirmer</t>
        </is>
      </c>
      <c r="T133" s="2" t="n"/>
      <c r="U133" s="2" t="n"/>
      <c r="V133" s="2" t="n"/>
      <c r="W133" s="2" t="n"/>
      <c r="X133" s="2" t="inlineStr">
        <is>
          <t>À documenter</t>
        </is>
      </c>
      <c r="Y133" s="2" t="inlineStr">
        <is>
          <t>À documenter</t>
        </is>
      </c>
      <c r="Z133" s="2" t="inlineStr">
        <is>
          <t>À documenter</t>
        </is>
      </c>
      <c r="AA133" s="2" t="inlineStr">
        <is>
          <t>À documenter</t>
        </is>
      </c>
      <c r="AB133" s="2" t="inlineStr">
        <is>
          <t>À documenter</t>
        </is>
      </c>
      <c r="AC133" s="2" t="inlineStr">
        <is>
          <t>Aucun armement fixe standard identifié; arme individuelle/affût de campagne possible selon usage</t>
        </is>
      </c>
      <c r="AD133" s="2" t="inlineStr">
        <is>
          <t>À documenter</t>
        </is>
      </c>
      <c r="AE133" s="2" t="inlineStr">
        <is>
          <t>À documenter</t>
        </is>
      </c>
      <c r="AF133" s="2" t="inlineStr">
        <is>
          <t>À définir</t>
        </is>
      </c>
      <c r="AG133" s="2" t="inlineStr">
        <is>
          <t>À définir</t>
        </is>
      </c>
      <c r="AH133" s="2" t="inlineStr">
        <is>
          <t>Réparation d’origine si véhicule complet ; démontage si incomplet</t>
        </is>
      </c>
      <c r="AI133" s="2" t="inlineStr">
        <is>
          <t>À documenter</t>
        </is>
      </c>
      <c r="AJ133" s="2" t="inlineStr">
        <is>
          <t>À définir</t>
        </is>
      </c>
      <c r="AK133" s="2" t="inlineStr">
        <is>
          <t>À documenter</t>
        </is>
      </c>
      <c r="AL133" s="2" t="inlineStr">
        <is>
          <t>À rechercher / voir sources historiques</t>
        </is>
      </c>
      <c r="AM133" s="2" t="inlineStr">
        <is>
          <t>À rechercher</t>
        </is>
      </c>
      <c r="AN133" s="2" t="inlineStr">
        <is>
          <t>Source de niveau variable ; contrôle par variante nécessaire</t>
        </is>
      </c>
      <c r="AO133" s="2" t="inlineStr">
        <is>
          <t>Non renseigné</t>
        </is>
      </c>
      <c r="AP133" s="2" t="inlineStr">
        <is>
          <t>Faible</t>
        </is>
      </c>
      <c r="AQ133" s="2" t="inlineStr">
        <is>
          <t>Élevé</t>
        </is>
      </c>
      <c r="AR133" s="2" t="inlineStr">
        <is>
          <t>Partiel — fiche à compléter</t>
        </is>
      </c>
      <c r="AS133" s="2" t="inlineStr">
        <is>
          <t>P2/P3</t>
        </is>
      </c>
      <c r="AT133" s="2" t="inlineStr">
        <is>
          <t>Modèle à valider historiquement avant verrouillage</t>
        </is>
      </c>
      <c r="AU133" s="2" t="inlineStr">
        <is>
          <t>À intégrer après validation du prototype</t>
        </is>
      </c>
      <c r="AV133" s="2" t="inlineStr">
        <is>
          <t>Caterpillar D7 : véhicule de catégorie « Tracteur chenillé », d'origine États-Unis. Motorisation recensée : À rechercher. Fiche de catalogue à compléter avec le rôle tactique et les caractéristiques de jeu.</t>
        </is>
      </c>
    </row>
    <row r="134" ht="60" customHeight="1">
      <c r="A134" s="2" t="inlineStr">
        <is>
          <t>VEH-133</t>
        </is>
      </c>
      <c r="B134" s="2" t="inlineStr">
        <is>
          <t>Engins de chantier et agricoles</t>
        </is>
      </c>
      <c r="C134" s="2" t="inlineStr">
        <is>
          <t>Cletrac HG / modèles d'époque</t>
        </is>
      </c>
      <c r="D134" s="2" t="inlineStr">
        <is>
          <t>À distinguer si plusieurs variantes</t>
        </is>
      </c>
      <c r="E134" s="2" t="inlineStr">
        <is>
          <t>États-Unis</t>
        </is>
      </c>
      <c r="F134" s="2" t="inlineStr">
        <is>
          <t>À documenter</t>
        </is>
      </c>
      <c r="G134" s="2" t="inlineStr">
        <is>
          <t>À confirmer</t>
        </is>
      </c>
      <c r="H134" s="2" t="inlineStr">
        <is>
          <t>Tracteur chenillé</t>
        </is>
      </c>
      <c r="I134" s="2" t="inlineStr">
        <is>
          <t>À définir</t>
        </is>
      </c>
      <c r="J134" s="2" t="n"/>
      <c r="K134" s="2" t="n"/>
      <c r="L134" s="2" t="n"/>
      <c r="M134" s="2" t="n"/>
      <c r="N134" s="2" t="n"/>
      <c r="O134" s="2" t="n"/>
      <c r="P134" s="2" t="inlineStr">
        <is>
          <t>À rechercher</t>
        </is>
      </c>
      <c r="Q134" s="2" t="n"/>
      <c r="R134" s="2" t="n"/>
      <c r="S134" s="2" t="inlineStr">
        <is>
          <t>À confirmer</t>
        </is>
      </c>
      <c r="T134" s="2" t="n"/>
      <c r="U134" s="2" t="n"/>
      <c r="V134" s="2" t="n"/>
      <c r="W134" s="2" t="n"/>
      <c r="X134" s="2" t="inlineStr">
        <is>
          <t>À documenter</t>
        </is>
      </c>
      <c r="Y134" s="2" t="inlineStr">
        <is>
          <t>À documenter</t>
        </is>
      </c>
      <c r="Z134" s="2" t="inlineStr">
        <is>
          <t>À documenter</t>
        </is>
      </c>
      <c r="AA134" s="2" t="inlineStr">
        <is>
          <t>À documenter</t>
        </is>
      </c>
      <c r="AB134" s="2" t="inlineStr">
        <is>
          <t>À documenter</t>
        </is>
      </c>
      <c r="AC134" s="2" t="inlineStr">
        <is>
          <t>Aucun armement fixe standard identifié; arme individuelle/affût de campagne possible selon usage</t>
        </is>
      </c>
      <c r="AD134" s="2" t="inlineStr">
        <is>
          <t>À documenter</t>
        </is>
      </c>
      <c r="AE134" s="2" t="inlineStr">
        <is>
          <t>À documenter</t>
        </is>
      </c>
      <c r="AF134" s="2" t="inlineStr">
        <is>
          <t>À définir</t>
        </is>
      </c>
      <c r="AG134" s="2" t="inlineStr">
        <is>
          <t>À définir</t>
        </is>
      </c>
      <c r="AH134" s="2" t="inlineStr">
        <is>
          <t>Réparation d’origine si véhicule complet ; démontage si incomplet</t>
        </is>
      </c>
      <c r="AI134" s="2" t="inlineStr">
        <is>
          <t>À documenter</t>
        </is>
      </c>
      <c r="AJ134" s="2" t="inlineStr">
        <is>
          <t>À définir</t>
        </is>
      </c>
      <c r="AK134" s="2" t="inlineStr">
        <is>
          <t>À documenter</t>
        </is>
      </c>
      <c r="AL134" s="2" t="inlineStr">
        <is>
          <t>À rechercher / voir sources historiques</t>
        </is>
      </c>
      <c r="AM134" s="2" t="inlineStr">
        <is>
          <t>À rechercher</t>
        </is>
      </c>
      <c r="AN134" s="2" t="inlineStr">
        <is>
          <t>Source de niveau variable ; contrôle par variante nécessaire</t>
        </is>
      </c>
      <c r="AO134" s="2" t="inlineStr">
        <is>
          <t>Non renseigné</t>
        </is>
      </c>
      <c r="AP134" s="2" t="inlineStr">
        <is>
          <t>Faible</t>
        </is>
      </c>
      <c r="AQ134" s="2" t="inlineStr">
        <is>
          <t>Élevé</t>
        </is>
      </c>
      <c r="AR134" s="2" t="inlineStr">
        <is>
          <t>Partiel — fiche à compléter</t>
        </is>
      </c>
      <c r="AS134" s="2" t="inlineStr">
        <is>
          <t>P2/P3</t>
        </is>
      </c>
      <c r="AT134" s="2" t="inlineStr">
        <is>
          <t>Modèle à valider historiquement avant verrouillage</t>
        </is>
      </c>
      <c r="AU134" s="2" t="inlineStr">
        <is>
          <t>À intégrer après validation du prototype</t>
        </is>
      </c>
      <c r="AV134" s="2" t="inlineStr">
        <is>
          <t>Cletrac HG / modèles d'époque : véhicule de catégorie « Tracteur chenillé », d'origine États-Unis. Motorisation recensée : À rechercher. Fiche de catalogue à compléter avec le rôle tactique et les caractéristiques de jeu.</t>
        </is>
      </c>
    </row>
    <row r="135" ht="60" customHeight="1">
      <c r="A135" s="2" t="inlineStr">
        <is>
          <t>VEH-134</t>
        </is>
      </c>
      <c r="B135" s="2" t="inlineStr">
        <is>
          <t>Engins de chantier et agricoles</t>
        </is>
      </c>
      <c r="C135" s="2" t="inlineStr">
        <is>
          <t>Farmall H</t>
        </is>
      </c>
      <c r="D135" s="2" t="inlineStr">
        <is>
          <t>À distinguer si plusieurs variantes</t>
        </is>
      </c>
      <c r="E135" s="2" t="inlineStr">
        <is>
          <t>États-Unis</t>
        </is>
      </c>
      <c r="F135" s="2" t="inlineStr">
        <is>
          <t>À documenter</t>
        </is>
      </c>
      <c r="G135" s="2" t="inlineStr">
        <is>
          <t>À confirmer</t>
        </is>
      </c>
      <c r="H135" s="2" t="inlineStr">
        <is>
          <t>Tracteur agricole</t>
        </is>
      </c>
      <c r="I135" s="2" t="inlineStr">
        <is>
          <t>À définir</t>
        </is>
      </c>
      <c r="J135" s="2" t="n"/>
      <c r="K135" s="2" t="n"/>
      <c r="L135" s="2" t="n"/>
      <c r="M135" s="2" t="n"/>
      <c r="N135" s="2" t="n"/>
      <c r="O135" s="2" t="n"/>
      <c r="P135" s="2" t="inlineStr">
        <is>
          <t>À rechercher</t>
        </is>
      </c>
      <c r="Q135" s="2" t="n"/>
      <c r="R135" s="2" t="n"/>
      <c r="S135" s="2" t="inlineStr">
        <is>
          <t>À confirmer</t>
        </is>
      </c>
      <c r="T135" s="2" t="n"/>
      <c r="U135" s="2" t="n"/>
      <c r="V135" s="2" t="n"/>
      <c r="W135" s="2" t="n"/>
      <c r="X135" s="2" t="inlineStr">
        <is>
          <t>À documenter</t>
        </is>
      </c>
      <c r="Y135" s="2" t="inlineStr">
        <is>
          <t>À documenter</t>
        </is>
      </c>
      <c r="Z135" s="2" t="inlineStr">
        <is>
          <t>À documenter</t>
        </is>
      </c>
      <c r="AA135" s="2" t="inlineStr">
        <is>
          <t>À documenter</t>
        </is>
      </c>
      <c r="AB135" s="2" t="inlineStr">
        <is>
          <t>À documenter</t>
        </is>
      </c>
      <c r="AC135" s="2" t="inlineStr">
        <is>
          <t>Aucun armement fixe standard identifié; arme individuelle/affût de campagne possible selon usage</t>
        </is>
      </c>
      <c r="AD135" s="2" t="inlineStr">
        <is>
          <t>À documenter</t>
        </is>
      </c>
      <c r="AE135" s="2" t="inlineStr">
        <is>
          <t>À documenter</t>
        </is>
      </c>
      <c r="AF135" s="2" t="inlineStr">
        <is>
          <t>À définir</t>
        </is>
      </c>
      <c r="AG135" s="2" t="inlineStr">
        <is>
          <t>À définir</t>
        </is>
      </c>
      <c r="AH135" s="2" t="inlineStr">
        <is>
          <t>Réparation d’origine si véhicule complet ; démontage si incomplet</t>
        </is>
      </c>
      <c r="AI135" s="2" t="inlineStr">
        <is>
          <t>À documenter</t>
        </is>
      </c>
      <c r="AJ135" s="2" t="inlineStr">
        <is>
          <t>À définir</t>
        </is>
      </c>
      <c r="AK135" s="2" t="inlineStr">
        <is>
          <t>À documenter</t>
        </is>
      </c>
      <c r="AL135" s="2" t="inlineStr">
        <is>
          <t>À rechercher / voir sources historiques</t>
        </is>
      </c>
      <c r="AM135" s="2" t="inlineStr">
        <is>
          <t>À rechercher</t>
        </is>
      </c>
      <c r="AN135" s="2" t="inlineStr">
        <is>
          <t>Source de niveau variable ; contrôle par variante nécessaire</t>
        </is>
      </c>
      <c r="AO135" s="2" t="inlineStr">
        <is>
          <t>Non renseigné</t>
        </is>
      </c>
      <c r="AP135" s="2" t="inlineStr">
        <is>
          <t>Faible</t>
        </is>
      </c>
      <c r="AQ135" s="2" t="inlineStr">
        <is>
          <t>Élevé</t>
        </is>
      </c>
      <c r="AR135" s="2" t="inlineStr">
        <is>
          <t>Partiel — fiche à compléter</t>
        </is>
      </c>
      <c r="AS135" s="2" t="inlineStr">
        <is>
          <t>P2/P3</t>
        </is>
      </c>
      <c r="AT135" s="2" t="inlineStr">
        <is>
          <t>Modèle à valider historiquement avant verrouillage</t>
        </is>
      </c>
      <c r="AU135" s="2" t="inlineStr">
        <is>
          <t>À intégrer après validation du prototype</t>
        </is>
      </c>
      <c r="AV135" s="2" t="inlineStr">
        <is>
          <t>Farmall H : véhicule de catégorie « Tracteur agricole », d'origine États-Unis. Motorisation recensée : À rechercher. Fiche de catalogue à compléter avec le rôle tactique et les caractéristiques de jeu.</t>
        </is>
      </c>
    </row>
    <row r="136" ht="60" customHeight="1">
      <c r="A136" s="2" t="inlineStr">
        <is>
          <t>VEH-135</t>
        </is>
      </c>
      <c r="B136" s="2" t="inlineStr">
        <is>
          <t>Engins de chantier et agricoles</t>
        </is>
      </c>
      <c r="C136" s="2" t="inlineStr">
        <is>
          <t>Fordson N</t>
        </is>
      </c>
      <c r="D136" s="2" t="inlineStr">
        <is>
          <t>À distinguer si plusieurs variantes</t>
        </is>
      </c>
      <c r="E136" s="2" t="inlineStr">
        <is>
          <t>Royaume-Uni</t>
        </is>
      </c>
      <c r="F136" s="2" t="inlineStr">
        <is>
          <t>À documenter</t>
        </is>
      </c>
      <c r="G136" s="2" t="inlineStr">
        <is>
          <t>À confirmer</t>
        </is>
      </c>
      <c r="H136" s="2" t="inlineStr">
        <is>
          <t>Tracteur agricole</t>
        </is>
      </c>
      <c r="I136" s="2" t="inlineStr">
        <is>
          <t>À définir</t>
        </is>
      </c>
      <c r="J136" s="2" t="n"/>
      <c r="K136" s="2" t="n"/>
      <c r="L136" s="2" t="n"/>
      <c r="M136" s="2" t="n"/>
      <c r="N136" s="2" t="n"/>
      <c r="O136" s="2" t="n"/>
      <c r="P136" s="2" t="inlineStr">
        <is>
          <t>À rechercher</t>
        </is>
      </c>
      <c r="Q136" s="2" t="n"/>
      <c r="R136" s="2" t="n"/>
      <c r="S136" s="2" t="inlineStr">
        <is>
          <t>À confirmer</t>
        </is>
      </c>
      <c r="T136" s="2" t="n"/>
      <c r="U136" s="2" t="n"/>
      <c r="V136" s="2" t="n"/>
      <c r="W136" s="2" t="n"/>
      <c r="X136" s="2" t="inlineStr">
        <is>
          <t>À documenter</t>
        </is>
      </c>
      <c r="Y136" s="2" t="inlineStr">
        <is>
          <t>À documenter</t>
        </is>
      </c>
      <c r="Z136" s="2" t="inlineStr">
        <is>
          <t>À documenter</t>
        </is>
      </c>
      <c r="AA136" s="2" t="inlineStr">
        <is>
          <t>À documenter</t>
        </is>
      </c>
      <c r="AB136" s="2" t="inlineStr">
        <is>
          <t>À documenter</t>
        </is>
      </c>
      <c r="AC136" s="2" t="inlineStr">
        <is>
          <t>Aucun armement fixe standard identifié; arme individuelle/affût de campagne possible selon usage</t>
        </is>
      </c>
      <c r="AD136" s="2" t="inlineStr">
        <is>
          <t>À documenter</t>
        </is>
      </c>
      <c r="AE136" s="2" t="inlineStr">
        <is>
          <t>À documenter</t>
        </is>
      </c>
      <c r="AF136" s="2" t="inlineStr">
        <is>
          <t>À définir</t>
        </is>
      </c>
      <c r="AG136" s="2" t="inlineStr">
        <is>
          <t>À définir</t>
        </is>
      </c>
      <c r="AH136" s="2" t="inlineStr">
        <is>
          <t>Réparation d’origine si véhicule complet ; démontage si incomplet</t>
        </is>
      </c>
      <c r="AI136" s="2" t="inlineStr">
        <is>
          <t>À documenter</t>
        </is>
      </c>
      <c r="AJ136" s="2" t="inlineStr">
        <is>
          <t>À définir</t>
        </is>
      </c>
      <c r="AK136" s="2" t="inlineStr">
        <is>
          <t>À documenter</t>
        </is>
      </c>
      <c r="AL136" s="2" t="inlineStr">
        <is>
          <t>À rechercher / voir sources historiques</t>
        </is>
      </c>
      <c r="AM136" s="2" t="inlineStr">
        <is>
          <t>À rechercher</t>
        </is>
      </c>
      <c r="AN136" s="2" t="inlineStr">
        <is>
          <t>Source de niveau variable ; contrôle par variante nécessaire</t>
        </is>
      </c>
      <c r="AO136" s="2" t="inlineStr">
        <is>
          <t>Non renseigné</t>
        </is>
      </c>
      <c r="AP136" s="2" t="inlineStr">
        <is>
          <t>Faible</t>
        </is>
      </c>
      <c r="AQ136" s="2" t="inlineStr">
        <is>
          <t>Élevé</t>
        </is>
      </c>
      <c r="AR136" s="2" t="inlineStr">
        <is>
          <t>Partiel — fiche à compléter</t>
        </is>
      </c>
      <c r="AS136" s="2" t="inlineStr">
        <is>
          <t>P2/P3</t>
        </is>
      </c>
      <c r="AT136" s="2" t="inlineStr">
        <is>
          <t>Modèle à valider historiquement avant verrouillage</t>
        </is>
      </c>
      <c r="AU136" s="2" t="inlineStr">
        <is>
          <t>À intégrer après validation du prototype</t>
        </is>
      </c>
      <c r="AV136" s="2" t="inlineStr">
        <is>
          <t>Fordson N : véhicule de catégorie « Tracteur agricole », d'origine Royaume-Uni. Motorisation recensée : À rechercher. Fiche de catalogue à compléter avec le rôle tactique et les caractéristiques de jeu.</t>
        </is>
      </c>
    </row>
    <row r="137" ht="60" customHeight="1">
      <c r="A137" s="2" t="inlineStr">
        <is>
          <t>VEH-136</t>
        </is>
      </c>
      <c r="B137" s="2" t="inlineStr">
        <is>
          <t>Engins de chantier et agricoles</t>
        </is>
      </c>
      <c r="C137" s="2" t="inlineStr">
        <is>
          <t>Lanz Bulldog</t>
        </is>
      </c>
      <c r="D137" s="2" t="inlineStr">
        <is>
          <t>À distinguer si plusieurs variantes</t>
        </is>
      </c>
      <c r="E137" s="2" t="inlineStr">
        <is>
          <t>Allemagne</t>
        </is>
      </c>
      <c r="F137" s="2" t="inlineStr">
        <is>
          <t>À documenter</t>
        </is>
      </c>
      <c r="G137" s="2" t="inlineStr">
        <is>
          <t>À confirmer</t>
        </is>
      </c>
      <c r="H137" s="2" t="inlineStr">
        <is>
          <t>Tracteur agricole</t>
        </is>
      </c>
      <c r="I137" s="2" t="inlineStr">
        <is>
          <t>À définir</t>
        </is>
      </c>
      <c r="J137" s="2" t="n"/>
      <c r="K137" s="2" t="n"/>
      <c r="L137" s="2" t="n"/>
      <c r="M137" s="2" t="n"/>
      <c r="N137" s="2" t="n"/>
      <c r="O137" s="2" t="n"/>
      <c r="P137" s="2" t="inlineStr">
        <is>
          <t>À rechercher</t>
        </is>
      </c>
      <c r="Q137" s="2" t="n"/>
      <c r="R137" s="2" t="n"/>
      <c r="S137" s="2" t="inlineStr">
        <is>
          <t>À confirmer</t>
        </is>
      </c>
      <c r="T137" s="2" t="n"/>
      <c r="U137" s="2" t="n"/>
      <c r="V137" s="2" t="n"/>
      <c r="W137" s="2" t="n"/>
      <c r="X137" s="2" t="inlineStr">
        <is>
          <t>À documenter</t>
        </is>
      </c>
      <c r="Y137" s="2" t="inlineStr">
        <is>
          <t>À documenter</t>
        </is>
      </c>
      <c r="Z137" s="2" t="inlineStr">
        <is>
          <t>À documenter</t>
        </is>
      </c>
      <c r="AA137" s="2" t="inlineStr">
        <is>
          <t>À documenter</t>
        </is>
      </c>
      <c r="AB137" s="2" t="inlineStr">
        <is>
          <t>À documenter</t>
        </is>
      </c>
      <c r="AC137" s="2" t="inlineStr">
        <is>
          <t>Aucun armement fixe standard identifié; arme individuelle/affût de campagne possible selon usage</t>
        </is>
      </c>
      <c r="AD137" s="2" t="inlineStr">
        <is>
          <t>À documenter</t>
        </is>
      </c>
      <c r="AE137" s="2" t="inlineStr">
        <is>
          <t>À documenter</t>
        </is>
      </c>
      <c r="AF137" s="2" t="inlineStr">
        <is>
          <t>À définir</t>
        </is>
      </c>
      <c r="AG137" s="2" t="inlineStr">
        <is>
          <t>À définir</t>
        </is>
      </c>
      <c r="AH137" s="2" t="inlineStr">
        <is>
          <t>Réparation d’origine si véhicule complet ; démontage si incomplet</t>
        </is>
      </c>
      <c r="AI137" s="2" t="inlineStr">
        <is>
          <t>À documenter</t>
        </is>
      </c>
      <c r="AJ137" s="2" t="inlineStr">
        <is>
          <t>À définir</t>
        </is>
      </c>
      <c r="AK137" s="2" t="inlineStr">
        <is>
          <t>À documenter</t>
        </is>
      </c>
      <c r="AL137" s="2" t="inlineStr">
        <is>
          <t>À rechercher / voir sources historiques</t>
        </is>
      </c>
      <c r="AM137" s="2" t="inlineStr">
        <is>
          <t>À rechercher</t>
        </is>
      </c>
      <c r="AN137" s="2" t="inlineStr">
        <is>
          <t>Source de niveau variable ; contrôle par variante nécessaire</t>
        </is>
      </c>
      <c r="AO137" s="2" t="inlineStr">
        <is>
          <t>Non renseigné</t>
        </is>
      </c>
      <c r="AP137" s="2" t="inlineStr">
        <is>
          <t>Faible</t>
        </is>
      </c>
      <c r="AQ137" s="2" t="inlineStr">
        <is>
          <t>Élevé</t>
        </is>
      </c>
      <c r="AR137" s="2" t="inlineStr">
        <is>
          <t>Partiel — fiche à compléter</t>
        </is>
      </c>
      <c r="AS137" s="2" t="inlineStr">
        <is>
          <t>P2/P3</t>
        </is>
      </c>
      <c r="AT137" s="2" t="inlineStr">
        <is>
          <t>Modèle à valider historiquement avant verrouillage</t>
        </is>
      </c>
      <c r="AU137" s="2" t="inlineStr">
        <is>
          <t>À intégrer après validation du prototype</t>
        </is>
      </c>
      <c r="AV137" s="2" t="inlineStr">
        <is>
          <t>Lanz Bulldog : véhicule de catégorie « Tracteur agricole », d'origine Allemagne. Motorisation recensée : À rechercher. Fiche de catalogue à compléter avec le rôle tactique et les caractéristiques de jeu.</t>
        </is>
      </c>
    </row>
    <row r="138" ht="60" customHeight="1">
      <c r="A138" s="2" t="inlineStr">
        <is>
          <t>VEH-137</t>
        </is>
      </c>
      <c r="B138" s="2" t="inlineStr">
        <is>
          <t>Engins de chantier et agricoles</t>
        </is>
      </c>
      <c r="C138" s="2" t="inlineStr">
        <is>
          <t>Pavesi P4 / Pavesi Tolotti</t>
        </is>
      </c>
      <c r="D138" s="2" t="inlineStr">
        <is>
          <t>À distinguer si plusieurs variantes</t>
        </is>
      </c>
      <c r="E138" s="2" t="inlineStr">
        <is>
          <t>Italie</t>
        </is>
      </c>
      <c r="F138" s="2" t="inlineStr">
        <is>
          <t>À documenter</t>
        </is>
      </c>
      <c r="G138" s="2" t="inlineStr">
        <is>
          <t>À confirmer</t>
        </is>
      </c>
      <c r="H138" s="2" t="inlineStr">
        <is>
          <t>Tracteur tout-terrain</t>
        </is>
      </c>
      <c r="I138" s="2" t="inlineStr">
        <is>
          <t>À définir</t>
        </is>
      </c>
      <c r="J138" s="2" t="n"/>
      <c r="K138" s="2" t="n"/>
      <c r="L138" s="2" t="n"/>
      <c r="M138" s="2" t="n"/>
      <c r="N138" s="2" t="n"/>
      <c r="O138" s="2" t="n"/>
      <c r="P138" s="2" t="inlineStr">
        <is>
          <t>À rechercher</t>
        </is>
      </c>
      <c r="Q138" s="2" t="n"/>
      <c r="R138" s="2" t="n"/>
      <c r="S138" s="2" t="inlineStr">
        <is>
          <t>À confirmer</t>
        </is>
      </c>
      <c r="T138" s="2" t="n"/>
      <c r="U138" s="2" t="n"/>
      <c r="V138" s="2" t="n"/>
      <c r="W138" s="2" t="n"/>
      <c r="X138" s="2" t="inlineStr">
        <is>
          <t>À documenter</t>
        </is>
      </c>
      <c r="Y138" s="2" t="inlineStr">
        <is>
          <t>À documenter</t>
        </is>
      </c>
      <c r="Z138" s="2" t="inlineStr">
        <is>
          <t>À documenter</t>
        </is>
      </c>
      <c r="AA138" s="2" t="inlineStr">
        <is>
          <t>À documenter</t>
        </is>
      </c>
      <c r="AB138" s="2" t="inlineStr">
        <is>
          <t>À documenter</t>
        </is>
      </c>
      <c r="AC138" s="2" t="inlineStr">
        <is>
          <t>Aucun armement fixe standard identifié; arme individuelle/affût de campagne possible selon usage</t>
        </is>
      </c>
      <c r="AD138" s="2" t="inlineStr">
        <is>
          <t>À documenter</t>
        </is>
      </c>
      <c r="AE138" s="2" t="inlineStr">
        <is>
          <t>À documenter</t>
        </is>
      </c>
      <c r="AF138" s="2" t="inlineStr">
        <is>
          <t>À définir</t>
        </is>
      </c>
      <c r="AG138" s="2" t="inlineStr">
        <is>
          <t>À définir</t>
        </is>
      </c>
      <c r="AH138" s="2" t="inlineStr">
        <is>
          <t>Réparation d’origine si véhicule complet ; démontage si incomplet</t>
        </is>
      </c>
      <c r="AI138" s="2" t="inlineStr">
        <is>
          <t>À documenter</t>
        </is>
      </c>
      <c r="AJ138" s="2" t="inlineStr">
        <is>
          <t>À définir</t>
        </is>
      </c>
      <c r="AK138" s="2" t="inlineStr">
        <is>
          <t>À documenter</t>
        </is>
      </c>
      <c r="AL138" s="2" t="inlineStr">
        <is>
          <t>À rechercher / voir sources historiques</t>
        </is>
      </c>
      <c r="AM138" s="2" t="inlineStr">
        <is>
          <t>À rechercher</t>
        </is>
      </c>
      <c r="AN138" s="2" t="inlineStr">
        <is>
          <t>Source de niveau variable ; contrôle par variante nécessaire</t>
        </is>
      </c>
      <c r="AO138" s="2" t="inlineStr">
        <is>
          <t>Non renseigné</t>
        </is>
      </c>
      <c r="AP138" s="2" t="inlineStr">
        <is>
          <t>Faible</t>
        </is>
      </c>
      <c r="AQ138" s="2" t="inlineStr">
        <is>
          <t>Élevé</t>
        </is>
      </c>
      <c r="AR138" s="2" t="inlineStr">
        <is>
          <t>Partiel — fiche à compléter</t>
        </is>
      </c>
      <c r="AS138" s="2" t="inlineStr">
        <is>
          <t>P2/P3</t>
        </is>
      </c>
      <c r="AT138" s="2" t="inlineStr">
        <is>
          <t>Modèle à valider historiquement avant verrouillage</t>
        </is>
      </c>
      <c r="AU138" s="2" t="inlineStr">
        <is>
          <t>À intégrer après validation du prototype</t>
        </is>
      </c>
      <c r="AV138" s="2" t="inlineStr">
        <is>
          <t>Pavesi P4 / Pavesi Tolotti : véhicule de catégorie « Tracteur tout-terrain », d'origine Italie. Motorisation recensée : À rechercher. Fiche de catalogue à compléter avec le rôle tactique et les caractéristiques de jeu.</t>
        </is>
      </c>
    </row>
    <row r="139" ht="60" customHeight="1">
      <c r="A139" s="2" t="inlineStr">
        <is>
          <t>VEH-138</t>
        </is>
      </c>
      <c r="B139" s="2" t="inlineStr">
        <is>
          <t>Engins de chantier et agricoles</t>
        </is>
      </c>
      <c r="C139" s="2" t="inlineStr">
        <is>
          <t>Bergepanther</t>
        </is>
      </c>
      <c r="D139" s="2" t="inlineStr">
        <is>
          <t>À distinguer si plusieurs variantes</t>
        </is>
      </c>
      <c r="E139" s="2" t="inlineStr">
        <is>
          <t>Allemagne</t>
        </is>
      </c>
      <c r="F139" s="2" t="inlineStr">
        <is>
          <t>À documenter</t>
        </is>
      </c>
      <c r="G139" s="2" t="inlineStr">
        <is>
          <t>À confirmer</t>
        </is>
      </c>
      <c r="H139" s="2" t="inlineStr">
        <is>
          <t>Véhicule blindé de dépannage</t>
        </is>
      </c>
      <c r="I139" s="2" t="inlineStr">
        <is>
          <t>À définir</t>
        </is>
      </c>
      <c r="J139" s="2" t="n"/>
      <c r="K139" s="2" t="n"/>
      <c r="L139" s="2" t="n"/>
      <c r="M139" s="2" t="n"/>
      <c r="N139" s="2" t="n"/>
      <c r="O139" s="2" t="n"/>
      <c r="P139" s="2" t="inlineStr">
        <is>
          <t>À rechercher</t>
        </is>
      </c>
      <c r="Q139" s="2" t="n"/>
      <c r="R139" s="2" t="n"/>
      <c r="S139" s="2" t="inlineStr">
        <is>
          <t>À confirmer</t>
        </is>
      </c>
      <c r="T139" s="2" t="n"/>
      <c r="U139" s="2" t="n"/>
      <c r="V139" s="2" t="n"/>
      <c r="W139" s="2" t="n"/>
      <c r="X139" s="2" t="inlineStr">
        <is>
          <t>À documenter</t>
        </is>
      </c>
      <c r="Y139" s="2" t="inlineStr">
        <is>
          <t>À documenter</t>
        </is>
      </c>
      <c r="Z139" s="2" t="inlineStr">
        <is>
          <t>À documenter</t>
        </is>
      </c>
      <c r="AA139" s="2" t="inlineStr">
        <is>
          <t>À documenter</t>
        </is>
      </c>
      <c r="AB139" s="2" t="inlineStr">
        <is>
          <t>À documenter</t>
        </is>
      </c>
      <c r="AC139" s="2" t="inlineStr">
        <is>
          <t>Canon de 75 mm KwK 42 L/70; 2–3 MG 34/42 selon version</t>
        </is>
      </c>
      <c r="AD139" s="2" t="inlineStr">
        <is>
          <t>À documenter</t>
        </is>
      </c>
      <c r="AE139" s="2" t="inlineStr">
        <is>
          <t>À documenter</t>
        </is>
      </c>
      <c r="AF139" s="2" t="inlineStr">
        <is>
          <t>À définir</t>
        </is>
      </c>
      <c r="AG139" s="2" t="inlineStr">
        <is>
          <t>À définir</t>
        </is>
      </c>
      <c r="AH139" s="2" t="inlineStr">
        <is>
          <t>Réparation d’origine si véhicule complet ; démontage si incomplet</t>
        </is>
      </c>
      <c r="AI139" s="2" t="inlineStr">
        <is>
          <t>À documenter</t>
        </is>
      </c>
      <c r="AJ139" s="2" t="inlineStr">
        <is>
          <t>À définir</t>
        </is>
      </c>
      <c r="AK139" s="2" t="inlineStr">
        <is>
          <t>À documenter</t>
        </is>
      </c>
      <c r="AL139" s="2" t="inlineStr">
        <is>
          <t>À rechercher / voir sources historiques</t>
        </is>
      </c>
      <c r="AM139" s="2" t="inlineStr">
        <is>
          <t>À rechercher</t>
        </is>
      </c>
      <c r="AN139" s="2" t="inlineStr">
        <is>
          <t>Source de niveau variable ; contrôle par variante nécessaire</t>
        </is>
      </c>
      <c r="AO139" s="2" t="inlineStr">
        <is>
          <t>Non renseigné</t>
        </is>
      </c>
      <c r="AP139" s="2" t="inlineStr">
        <is>
          <t>Faible</t>
        </is>
      </c>
      <c r="AQ139" s="2" t="inlineStr">
        <is>
          <t>Élevé</t>
        </is>
      </c>
      <c r="AR139" s="2" t="inlineStr">
        <is>
          <t>Partiel — fiche à compléter</t>
        </is>
      </c>
      <c r="AS139" s="2" t="inlineStr">
        <is>
          <t>P2/P3</t>
        </is>
      </c>
      <c r="AT139" s="2" t="inlineStr">
        <is>
          <t>Modèle à valider historiquement avant verrouillage</t>
        </is>
      </c>
      <c r="AU139" s="2" t="inlineStr">
        <is>
          <t>À intégrer après validation du prototype</t>
        </is>
      </c>
      <c r="AV139" s="2" t="inlineStr">
        <is>
          <t>Bergepanther : véhicule de catégorie « Véhicule blindé de dépannage », d'origine Allemagne. Motorisation recensée : À rechercher. Fiche de catalogue à compléter avec le rôle tactique et les caractéristiques de jeu.</t>
        </is>
      </c>
    </row>
    <row r="140" ht="60" customHeight="1">
      <c r="A140" s="2" t="inlineStr">
        <is>
          <t>VEH-139</t>
        </is>
      </c>
      <c r="B140" s="2" t="inlineStr">
        <is>
          <t>Engins de chantier et agricoles</t>
        </is>
      </c>
      <c r="C140" s="2" t="inlineStr">
        <is>
          <t>Churchill ARV</t>
        </is>
      </c>
      <c r="D140" s="2" t="inlineStr">
        <is>
          <t>À distinguer si plusieurs variantes</t>
        </is>
      </c>
      <c r="E140" s="2" t="inlineStr">
        <is>
          <t>Royaume-Uni</t>
        </is>
      </c>
      <c r="F140" s="2" t="inlineStr">
        <is>
          <t>À documenter</t>
        </is>
      </c>
      <c r="G140" s="2" t="inlineStr">
        <is>
          <t>À confirmer</t>
        </is>
      </c>
      <c r="H140" s="2" t="inlineStr">
        <is>
          <t>Véhicule blindé de dépannage</t>
        </is>
      </c>
      <c r="I140" s="2" t="inlineStr">
        <is>
          <t>À définir</t>
        </is>
      </c>
      <c r="J140" s="2" t="n"/>
      <c r="K140" s="2" t="n"/>
      <c r="L140" s="2" t="n"/>
      <c r="M140" s="2" t="n"/>
      <c r="N140" s="2" t="n"/>
      <c r="O140" s="2" t="n"/>
      <c r="P140" s="2" t="inlineStr">
        <is>
          <t>À rechercher</t>
        </is>
      </c>
      <c r="Q140" s="2" t="n"/>
      <c r="R140" s="2" t="n"/>
      <c r="S140" s="2" t="inlineStr">
        <is>
          <t>À confirmer</t>
        </is>
      </c>
      <c r="T140" s="2" t="n"/>
      <c r="U140" s="2" t="n"/>
      <c r="V140" s="2" t="n"/>
      <c r="W140" s="2" t="n"/>
      <c r="X140" s="2" t="inlineStr">
        <is>
          <t>À documenter</t>
        </is>
      </c>
      <c r="Y140" s="2" t="inlineStr">
        <is>
          <t>À documenter</t>
        </is>
      </c>
      <c r="Z140" s="2" t="inlineStr">
        <is>
          <t>À documenter</t>
        </is>
      </c>
      <c r="AA140" s="2" t="inlineStr">
        <is>
          <t>À documenter</t>
        </is>
      </c>
      <c r="AB140" s="2" t="inlineStr">
        <is>
          <t>À documenter</t>
        </is>
      </c>
      <c r="AC140" s="2" t="inlineStr">
        <is>
          <t>Canon de 2-pdr, 6-pdr ou 75 mm selon version; mitrailleuse Besa 7,92 mm; parfois obusier de 3 pouces</t>
        </is>
      </c>
      <c r="AD140" s="2" t="inlineStr">
        <is>
          <t>À documenter</t>
        </is>
      </c>
      <c r="AE140" s="2" t="inlineStr">
        <is>
          <t>À documenter</t>
        </is>
      </c>
      <c r="AF140" s="2" t="inlineStr">
        <is>
          <t>À définir</t>
        </is>
      </c>
      <c r="AG140" s="2" t="inlineStr">
        <is>
          <t>À définir</t>
        </is>
      </c>
      <c r="AH140" s="2" t="inlineStr">
        <is>
          <t>Réparation d’origine si véhicule complet ; démontage si incomplet</t>
        </is>
      </c>
      <c r="AI140" s="2" t="inlineStr">
        <is>
          <t>À documenter</t>
        </is>
      </c>
      <c r="AJ140" s="2" t="inlineStr">
        <is>
          <t>À définir</t>
        </is>
      </c>
      <c r="AK140" s="2" t="inlineStr">
        <is>
          <t>À documenter</t>
        </is>
      </c>
      <c r="AL140" s="2" t="inlineStr">
        <is>
          <t>À rechercher / voir sources historiques</t>
        </is>
      </c>
      <c r="AM140" s="2" t="inlineStr">
        <is>
          <t>À rechercher</t>
        </is>
      </c>
      <c r="AN140" s="2" t="inlineStr">
        <is>
          <t>Source de niveau variable ; contrôle par variante nécessaire</t>
        </is>
      </c>
      <c r="AO140" s="2" t="inlineStr">
        <is>
          <t>Non renseigné</t>
        </is>
      </c>
      <c r="AP140" s="2" t="inlineStr">
        <is>
          <t>Faible</t>
        </is>
      </c>
      <c r="AQ140" s="2" t="inlineStr">
        <is>
          <t>Partiel</t>
        </is>
      </c>
      <c r="AR140" s="2" t="inlineStr">
        <is>
          <t>Partiel — fiche à compléter</t>
        </is>
      </c>
      <c r="AS140" s="2" t="inlineStr">
        <is>
          <t>P2/P3</t>
        </is>
      </c>
      <c r="AT140" s="2" t="inlineStr">
        <is>
          <t>Modèle à valider historiquement avant verrouillage</t>
        </is>
      </c>
      <c r="AU140" s="2" t="inlineStr">
        <is>
          <t>À intégrer après validation du prototype</t>
        </is>
      </c>
      <c r="AV140" s="2" t="inlineStr">
        <is>
          <t>Churchill ARV : véhicule de catégorie « Véhicule blindé de dépannage », d'origine Royaume-Uni. Motorisation recensée : À rechercher. Fiche de catalogue à compléter avec le rôle tactique et les caractéristiques de jeu.</t>
        </is>
      </c>
    </row>
    <row r="141" ht="60" customHeight="1">
      <c r="A141" s="2" t="inlineStr">
        <is>
          <t>VEH-140</t>
        </is>
      </c>
      <c r="B141" s="2" t="inlineStr">
        <is>
          <t>Engins de chantier et agricoles</t>
        </is>
      </c>
      <c r="C141" s="2" t="inlineStr">
        <is>
          <t>M31 Tank Recovery Vehicle</t>
        </is>
      </c>
      <c r="D141" s="2" t="inlineStr">
        <is>
          <t>À distinguer si plusieurs variantes</t>
        </is>
      </c>
      <c r="E141" s="2" t="inlineStr">
        <is>
          <t>États-Unis</t>
        </is>
      </c>
      <c r="F141" s="2" t="inlineStr">
        <is>
          <t>À documenter</t>
        </is>
      </c>
      <c r="G141" s="2" t="inlineStr">
        <is>
          <t>À confirmer</t>
        </is>
      </c>
      <c r="H141" s="2" t="inlineStr">
        <is>
          <t>Véhicule blindé de dépannage</t>
        </is>
      </c>
      <c r="I141" s="2" t="inlineStr">
        <is>
          <t>À définir</t>
        </is>
      </c>
      <c r="J141" s="2" t="n"/>
      <c r="K141" s="2" t="n"/>
      <c r="L141" s="2" t="n"/>
      <c r="M141" s="2" t="n"/>
      <c r="N141" s="2" t="n"/>
      <c r="O141" s="2" t="n"/>
      <c r="P141" s="2" t="inlineStr">
        <is>
          <t>À rechercher</t>
        </is>
      </c>
      <c r="Q141" s="2" t="n"/>
      <c r="R141" s="2" t="n"/>
      <c r="S141" s="2" t="inlineStr">
        <is>
          <t>À confirmer</t>
        </is>
      </c>
      <c r="T141" s="2" t="n"/>
      <c r="U141" s="2" t="n"/>
      <c r="V141" s="2" t="n"/>
      <c r="W141" s="2" t="n"/>
      <c r="X141" s="2" t="inlineStr">
        <is>
          <t>À documenter</t>
        </is>
      </c>
      <c r="Y141" s="2" t="inlineStr">
        <is>
          <t>À documenter</t>
        </is>
      </c>
      <c r="Z141" s="2" t="inlineStr">
        <is>
          <t>À documenter</t>
        </is>
      </c>
      <c r="AA141" s="2" t="inlineStr">
        <is>
          <t>À documenter</t>
        </is>
      </c>
      <c r="AB141" s="2" t="inlineStr">
        <is>
          <t>À documenter</t>
        </is>
      </c>
      <c r="AC141" s="2" t="inlineStr">
        <is>
          <t>Armement historique à déterminer précisément pour ce modèle/sa variante</t>
        </is>
      </c>
      <c r="AD141" s="2" t="inlineStr">
        <is>
          <t>À documenter</t>
        </is>
      </c>
      <c r="AE141" s="2" t="inlineStr">
        <is>
          <t>À documenter</t>
        </is>
      </c>
      <c r="AF141" s="2" t="inlineStr">
        <is>
          <t>À définir</t>
        </is>
      </c>
      <c r="AG141" s="2" t="inlineStr">
        <is>
          <t>À définir</t>
        </is>
      </c>
      <c r="AH141" s="2" t="inlineStr">
        <is>
          <t>Réparation d’origine si véhicule complet ; démontage si incomplet</t>
        </is>
      </c>
      <c r="AI141" s="2" t="inlineStr">
        <is>
          <t>À documenter</t>
        </is>
      </c>
      <c r="AJ141" s="2" t="inlineStr">
        <is>
          <t>À définir</t>
        </is>
      </c>
      <c r="AK141" s="2" t="inlineStr">
        <is>
          <t>À documenter</t>
        </is>
      </c>
      <c r="AL141" s="2" t="inlineStr">
        <is>
          <t>À rechercher / voir sources historiques</t>
        </is>
      </c>
      <c r="AM141" s="2" t="inlineStr">
        <is>
          <t>À rechercher</t>
        </is>
      </c>
      <c r="AN141" s="2" t="inlineStr">
        <is>
          <t>Source de niveau variable ; contrôle par variante nécessaire</t>
        </is>
      </c>
      <c r="AO141" s="2" t="inlineStr">
        <is>
          <t>Non renseigné</t>
        </is>
      </c>
      <c r="AP141" s="2" t="inlineStr">
        <is>
          <t>Faible</t>
        </is>
      </c>
      <c r="AQ141" s="2" t="inlineStr">
        <is>
          <t>À vérifier</t>
        </is>
      </c>
      <c r="AR141" s="2" t="inlineStr">
        <is>
          <t>Partiel — fiche à compléter</t>
        </is>
      </c>
      <c r="AS141" s="2" t="inlineStr">
        <is>
          <t>P2/P3</t>
        </is>
      </c>
      <c r="AT141" s="2" t="inlineStr">
        <is>
          <t>Modèle à valider historiquement avant verrouillage</t>
        </is>
      </c>
      <c r="AU141" s="2" t="inlineStr">
        <is>
          <t>À intégrer après validation du prototype</t>
        </is>
      </c>
      <c r="AV141" s="2" t="inlineStr">
        <is>
          <t>M31 Tank Recovery Vehicle : véhicule de catégorie « Véhicule blindé de dépannage », d'origine États-Unis. Motorisation recensée : À rechercher. Fiche de catalogue à compléter avec le rôle tactique et les caractéristiques de jeu.</t>
        </is>
      </c>
    </row>
    <row r="142" ht="60" customHeight="1">
      <c r="A142" s="2" t="inlineStr">
        <is>
          <t>VEH-141</t>
        </is>
      </c>
      <c r="B142" s="2" t="inlineStr">
        <is>
          <t>Chars légers et chars anciens</t>
        </is>
      </c>
      <c r="C142" s="2" t="inlineStr">
        <is>
          <t>Renault FT</t>
        </is>
      </c>
      <c r="D142" s="2" t="inlineStr">
        <is>
          <t>À distinguer si plusieurs variantes</t>
        </is>
      </c>
      <c r="E142" s="2" t="inlineStr">
        <is>
          <t>France</t>
        </is>
      </c>
      <c r="F142" s="2" t="inlineStr">
        <is>
          <t>À documenter</t>
        </is>
      </c>
      <c r="G142" s="2" t="inlineStr">
        <is>
          <t>À confirmer</t>
        </is>
      </c>
      <c r="H142" s="2" t="inlineStr">
        <is>
          <t>Chars légers et chars anciens</t>
        </is>
      </c>
      <c r="I142" s="2" t="inlineStr">
        <is>
          <t>À définir</t>
        </is>
      </c>
      <c r="J142" s="2" t="n"/>
      <c r="K142" s="2" t="n"/>
      <c r="L142" s="2" t="n"/>
      <c r="M142" s="2" t="n"/>
      <c r="N142" s="2" t="n"/>
      <c r="O142" s="2" t="n"/>
      <c r="P142" s="2" t="inlineStr">
        <is>
          <t>4 cylindres en ligne Renault</t>
        </is>
      </c>
      <c r="Q142" s="2" t="n"/>
      <c r="R142" s="2" t="n"/>
      <c r="S142" s="2" t="inlineStr">
        <is>
          <t>À confirmer</t>
        </is>
      </c>
      <c r="T142" s="2" t="n"/>
      <c r="U142" s="2" t="n"/>
      <c r="V142" s="2" t="n"/>
      <c r="W142" s="2" t="n"/>
      <c r="X142" s="2" t="inlineStr">
        <is>
          <t>À documenter</t>
        </is>
      </c>
      <c r="Y142" s="2" t="inlineStr">
        <is>
          <t>À documenter</t>
        </is>
      </c>
      <c r="Z142" s="2" t="inlineStr">
        <is>
          <t>À documenter</t>
        </is>
      </c>
      <c r="AA142" s="2" t="inlineStr">
        <is>
          <t>À documenter</t>
        </is>
      </c>
      <c r="AB142" s="2" t="inlineStr">
        <is>
          <t>À documenter</t>
        </is>
      </c>
      <c r="AC142" s="2" t="inlineStr">
        <is>
          <t>37 mm Puteaux SA 18 OU mitrailleuse Hotchkiss 8 mm (versions distinctes)</t>
        </is>
      </c>
      <c r="AD142" s="2" t="inlineStr">
        <is>
          <t>À documenter</t>
        </is>
      </c>
      <c r="AE142" s="2" t="inlineStr">
        <is>
          <t>À documenter</t>
        </is>
      </c>
      <c r="AF142" s="2" t="inlineStr">
        <is>
          <t>À définir</t>
        </is>
      </c>
      <c r="AG142" s="2" t="inlineStr">
        <is>
          <t>À définir</t>
        </is>
      </c>
      <c r="AH142" s="2" t="inlineStr">
        <is>
          <t>Réparation d’origine si véhicule complet ; démontage si incomplet</t>
        </is>
      </c>
      <c r="AI142" s="2" t="inlineStr">
        <is>
          <t>À documenter</t>
        </is>
      </c>
      <c r="AJ142" s="2" t="inlineStr">
        <is>
          <t>À définir séparément des compatibilités historiques</t>
        </is>
      </c>
      <c r="AK142" s="2" t="inlineStr">
        <is>
          <t>À documenter</t>
        </is>
      </c>
      <c r="AL142" s="2" t="inlineStr">
        <is>
          <t>À rechercher / voir sources historiques</t>
        </is>
      </c>
      <c r="AM142" s="2" t="inlineStr">
        <is>
          <t>https://museedesblindes.fr/les_chars/char-ft/</t>
        </is>
      </c>
      <c r="AN142" s="2" t="inlineStr">
        <is>
          <t>Source de niveau variable ; contrôle par variante nécessaire</t>
        </is>
      </c>
      <c r="AO142" s="2" t="inlineStr">
        <is>
          <t>Non renseigné</t>
        </is>
      </c>
      <c r="AP142" s="2" t="inlineStr">
        <is>
          <t>Faible</t>
        </is>
      </c>
      <c r="AQ142" s="2" t="inlineStr">
        <is>
          <t>Partiel</t>
        </is>
      </c>
      <c r="AR142" s="2" t="inlineStr">
        <is>
          <t>Partiel — fiche à compléter</t>
        </is>
      </c>
      <c r="AS142" s="2" t="inlineStr">
        <is>
          <t>P2/P3</t>
        </is>
      </c>
      <c r="AT142" s="2" t="inlineStr">
        <is>
          <t>Char historique de référence ; moteur compact, faible puissance.</t>
        </is>
      </c>
      <c r="AU142" s="2" t="inlineStr">
        <is>
          <t>À intégrer après validation du prototype</t>
        </is>
      </c>
      <c r="AV142" s="2" t="inlineStr">
        <is>
          <t>Renault FT : véhicule de catégorie « Chars légers et chars anciens », d'origine France. Motorisation recensée : 4 cylindres en ligne Renault. Fiche de catalogue à compléter avec le rôle tactique et les caractéristiques de jeu.</t>
        </is>
      </c>
    </row>
    <row r="143" ht="60" customHeight="1">
      <c r="A143" s="2" t="inlineStr">
        <is>
          <t>VEH-142</t>
        </is>
      </c>
      <c r="B143" s="2" t="inlineStr">
        <is>
          <t>Chars légers et chars anciens</t>
        </is>
      </c>
      <c r="C143" s="2" t="inlineStr">
        <is>
          <t>Renault NC27 / NC1</t>
        </is>
      </c>
      <c r="D143" s="2" t="inlineStr">
        <is>
          <t>À distinguer si plusieurs variantes</t>
        </is>
      </c>
      <c r="E143" s="2" t="inlineStr">
        <is>
          <t>France</t>
        </is>
      </c>
      <c r="F143" s="2" t="inlineStr">
        <is>
          <t>À documenter</t>
        </is>
      </c>
      <c r="G143" s="2" t="inlineStr">
        <is>
          <t>À confirmer</t>
        </is>
      </c>
      <c r="H143" s="2" t="inlineStr">
        <is>
          <t>Chars légers et chars anciens</t>
        </is>
      </c>
      <c r="I143" s="2" t="inlineStr">
        <is>
          <t>À définir</t>
        </is>
      </c>
      <c r="J143" s="2" t="n"/>
      <c r="K143" s="2" t="n"/>
      <c r="L143" s="2" t="n"/>
      <c r="M143" s="2" t="n"/>
      <c r="N143" s="2" t="n"/>
      <c r="O143" s="2" t="n"/>
      <c r="P143" s="2" t="inlineStr">
        <is>
          <t>4 cylindres en ligne Renault (variante à confirmer)</t>
        </is>
      </c>
      <c r="Q143" s="2" t="n"/>
      <c r="R143" s="2" t="n"/>
      <c r="S143" s="2" t="inlineStr">
        <is>
          <t>À confirmer</t>
        </is>
      </c>
      <c r="T143" s="2" t="n"/>
      <c r="U143" s="2" t="n"/>
      <c r="V143" s="2" t="n"/>
      <c r="W143" s="2" t="n"/>
      <c r="X143" s="2" t="inlineStr">
        <is>
          <t>À documenter</t>
        </is>
      </c>
      <c r="Y143" s="2" t="inlineStr">
        <is>
          <t>À documenter</t>
        </is>
      </c>
      <c r="Z143" s="2" t="inlineStr">
        <is>
          <t>À documenter</t>
        </is>
      </c>
      <c r="AA143" s="2" t="inlineStr">
        <is>
          <t>À documenter</t>
        </is>
      </c>
      <c r="AB143" s="2" t="inlineStr">
        <is>
          <t>À documenter</t>
        </is>
      </c>
      <c r="AC143" s="2" t="inlineStr">
        <is>
          <t>Canon court de 37 mm (famille SA 18/SA 38 selon modèle) et/ou mitrailleuse 7,5 mm selon version</t>
        </is>
      </c>
      <c r="AD143" s="2" t="inlineStr">
        <is>
          <t>À documenter</t>
        </is>
      </c>
      <c r="AE143" s="2" t="inlineStr">
        <is>
          <t>À documenter</t>
        </is>
      </c>
      <c r="AF143" s="2" t="inlineStr">
        <is>
          <t>À définir</t>
        </is>
      </c>
      <c r="AG143" s="2" t="inlineStr">
        <is>
          <t>À définir</t>
        </is>
      </c>
      <c r="AH143" s="2" t="inlineStr">
        <is>
          <t>Réparation d’origine si véhicule complet ; démontage si incomplet</t>
        </is>
      </c>
      <c r="AI143" s="2" t="inlineStr">
        <is>
          <t>À documenter</t>
        </is>
      </c>
      <c r="AJ143" s="2" t="inlineStr">
        <is>
          <t>À définir séparément des compatibilités historiques</t>
        </is>
      </c>
      <c r="AK143" s="2" t="inlineStr">
        <is>
          <t>À documenter</t>
        </is>
      </c>
      <c r="AL143" s="2" t="inlineStr">
        <is>
          <t>À rechercher / voir sources historiques</t>
        </is>
      </c>
      <c r="AM143" s="2" t="inlineStr">
        <is>
          <t>https://tanks-encyclopedia.com/ww1/fr/renault-ft/</t>
        </is>
      </c>
      <c r="AN143" s="2" t="inlineStr">
        <is>
          <t>Source de niveau variable ; contrôle par variante nécessaire</t>
        </is>
      </c>
      <c r="AO143" s="2" t="inlineStr">
        <is>
          <t>Non renseigné</t>
        </is>
      </c>
      <c r="AP143" s="2" t="inlineStr">
        <is>
          <t>Faible</t>
        </is>
      </c>
      <c r="AQ143" s="2" t="inlineStr">
        <is>
          <t>Partiel</t>
        </is>
      </c>
      <c r="AR143" s="2" t="inlineStr">
        <is>
          <t>Partiel — fiche à compléter</t>
        </is>
      </c>
      <c r="AS143" s="2" t="inlineStr">
        <is>
          <t>P2/P3</t>
        </is>
      </c>
      <c r="AT143" s="2" t="inlineStr">
        <is>
          <t>Prototype/modernisation dérivée du FT ; moteur exact à documenter.</t>
        </is>
      </c>
      <c r="AU143" s="2" t="inlineStr">
        <is>
          <t>À intégrer après validation du prototype</t>
        </is>
      </c>
      <c r="AV143" s="2" t="inlineStr">
        <is>
          <t>Renault NC27 / NC1 : véhicule de catégorie « Chars légers et chars anciens », d'origine France. Motorisation recensée : 4 cylindres en ligne Renault (variante à confirmer). Variante historique à vérifier avant validation définitive.</t>
        </is>
      </c>
    </row>
    <row r="144" ht="60" customHeight="1">
      <c r="A144" s="2" t="inlineStr">
        <is>
          <t>VEH-143</t>
        </is>
      </c>
      <c r="B144" s="2" t="inlineStr">
        <is>
          <t>Chars légers et chars anciens</t>
        </is>
      </c>
      <c r="C144" s="2" t="inlineStr">
        <is>
          <t>Renault D1</t>
        </is>
      </c>
      <c r="D144" s="2" t="inlineStr">
        <is>
          <t>À distinguer si plusieurs variantes</t>
        </is>
      </c>
      <c r="E144" s="2" t="inlineStr">
        <is>
          <t>France</t>
        </is>
      </c>
      <c r="F144" s="2" t="inlineStr">
        <is>
          <t>À documenter</t>
        </is>
      </c>
      <c r="G144" s="2" t="inlineStr">
        <is>
          <t>À confirmer</t>
        </is>
      </c>
      <c r="H144" s="2" t="inlineStr">
        <is>
          <t>Chars légers et chars anciens</t>
        </is>
      </c>
      <c r="I144" s="2" t="inlineStr">
        <is>
          <t>À définir</t>
        </is>
      </c>
      <c r="J144" s="2" t="n"/>
      <c r="K144" s="2" t="n"/>
      <c r="L144" s="2" t="n"/>
      <c r="M144" s="2" t="n"/>
      <c r="N144" s="2" t="n"/>
      <c r="O144" s="2" t="n"/>
      <c r="P144" s="2" t="inlineStr">
        <is>
          <t>4 cylindres en ligne Renault</t>
        </is>
      </c>
      <c r="Q144" s="2" t="n"/>
      <c r="R144" s="2" t="n"/>
      <c r="S144" s="2" t="inlineStr">
        <is>
          <t>À confirmer</t>
        </is>
      </c>
      <c r="T144" s="2" t="n"/>
      <c r="U144" s="2" t="n"/>
      <c r="V144" s="2" t="n"/>
      <c r="W144" s="2" t="n"/>
      <c r="X144" s="2" t="inlineStr">
        <is>
          <t>À documenter</t>
        </is>
      </c>
      <c r="Y144" s="2" t="inlineStr">
        <is>
          <t>À documenter</t>
        </is>
      </c>
      <c r="Z144" s="2" t="inlineStr">
        <is>
          <t>À documenter</t>
        </is>
      </c>
      <c r="AA144" s="2" t="inlineStr">
        <is>
          <t>À documenter</t>
        </is>
      </c>
      <c r="AB144" s="2" t="inlineStr">
        <is>
          <t>À documenter</t>
        </is>
      </c>
      <c r="AC144" s="2" t="inlineStr">
        <is>
          <t>Canon court de 37 mm (famille SA 18/SA 38 selon modèle) et/ou mitrailleuse 7,5 mm selon version</t>
        </is>
      </c>
      <c r="AD144" s="2" t="inlineStr">
        <is>
          <t>À documenter</t>
        </is>
      </c>
      <c r="AE144" s="2" t="inlineStr">
        <is>
          <t>À documenter</t>
        </is>
      </c>
      <c r="AF144" s="2" t="inlineStr">
        <is>
          <t>À définir</t>
        </is>
      </c>
      <c r="AG144" s="2" t="inlineStr">
        <is>
          <t>À définir</t>
        </is>
      </c>
      <c r="AH144" s="2" t="inlineStr">
        <is>
          <t>Réparation d’origine si véhicule complet ; démontage si incomplet</t>
        </is>
      </c>
      <c r="AI144" s="2" t="inlineStr">
        <is>
          <t>À documenter</t>
        </is>
      </c>
      <c r="AJ144" s="2" t="inlineStr">
        <is>
          <t>À définir séparément des compatibilités historiques</t>
        </is>
      </c>
      <c r="AK144" s="2" t="inlineStr">
        <is>
          <t>À documenter</t>
        </is>
      </c>
      <c r="AL144" s="2" t="inlineStr">
        <is>
          <t>À rechercher / voir sources historiques</t>
        </is>
      </c>
      <c r="AM144" s="2" t="inlineStr">
        <is>
          <t>https://tanks-encyclopedia.com/ww2/france/renault-d1/</t>
        </is>
      </c>
      <c r="AN144" s="2" t="inlineStr">
        <is>
          <t>Source de niveau variable ; contrôle par variante nécessaire</t>
        </is>
      </c>
      <c r="AO144" s="2" t="inlineStr">
        <is>
          <t>Non renseigné</t>
        </is>
      </c>
      <c r="AP144" s="2" t="inlineStr">
        <is>
          <t>Faible</t>
        </is>
      </c>
      <c r="AQ144" s="2" t="inlineStr">
        <is>
          <t>Partiel</t>
        </is>
      </c>
      <c r="AR144" s="2" t="inlineStr">
        <is>
          <t>Partiel — fiche à compléter</t>
        </is>
      </c>
      <c r="AS144" s="2" t="inlineStr">
        <is>
          <t>P2/P3</t>
        </is>
      </c>
      <c r="AT144" s="2" t="inlineStr">
        <is>
          <t>Char d'infanterie ancien ; famille moteur française à confirmer par source technique.</t>
        </is>
      </c>
      <c r="AU144" s="2" t="inlineStr">
        <is>
          <t>À intégrer après validation du prototype</t>
        </is>
      </c>
      <c r="AV144" s="2" t="inlineStr">
        <is>
          <t>Renault D1 : véhicule de catégorie « Chars légers et chars anciens », d'origine France. Motorisation recensée : 4 cylindres en ligne Renault. Variante historique à vérifier avant validation définitive.</t>
        </is>
      </c>
    </row>
    <row r="145" ht="60" customHeight="1">
      <c r="A145" s="2" t="inlineStr">
        <is>
          <t>VEH-144</t>
        </is>
      </c>
      <c r="B145" s="2" t="inlineStr">
        <is>
          <t>Chars moyens</t>
        </is>
      </c>
      <c r="C145" s="2" t="inlineStr">
        <is>
          <t>Renault D2</t>
        </is>
      </c>
      <c r="D145" s="2" t="inlineStr">
        <is>
          <t>À distinguer si plusieurs variantes</t>
        </is>
      </c>
      <c r="E145" s="2" t="inlineStr">
        <is>
          <t>France</t>
        </is>
      </c>
      <c r="F145" s="2" t="inlineStr">
        <is>
          <t>À documenter</t>
        </is>
      </c>
      <c r="G145" s="2" t="inlineStr">
        <is>
          <t>À confirmer</t>
        </is>
      </c>
      <c r="H145" s="2" t="inlineStr">
        <is>
          <t>Chars moyens</t>
        </is>
      </c>
      <c r="I145" s="2" t="inlineStr">
        <is>
          <t>À définir</t>
        </is>
      </c>
      <c r="J145" s="2" t="n"/>
      <c r="K145" s="2" t="n"/>
      <c r="L145" s="2" t="n"/>
      <c r="M145" s="2" t="n"/>
      <c r="N145" s="2" t="n"/>
      <c r="O145" s="2" t="n"/>
      <c r="P145" s="2" t="inlineStr">
        <is>
          <t>4 cylindres en ligne Renault</t>
        </is>
      </c>
      <c r="Q145" s="2" t="n"/>
      <c r="R145" s="2" t="n"/>
      <c r="S145" s="2" t="inlineStr">
        <is>
          <t>À confirmer</t>
        </is>
      </c>
      <c r="T145" s="2" t="n"/>
      <c r="U145" s="2" t="n"/>
      <c r="V145" s="2" t="n"/>
      <c r="W145" s="2" t="n"/>
      <c r="X145" s="2" t="inlineStr">
        <is>
          <t>À documenter</t>
        </is>
      </c>
      <c r="Y145" s="2" t="inlineStr">
        <is>
          <t>À documenter</t>
        </is>
      </c>
      <c r="Z145" s="2" t="inlineStr">
        <is>
          <t>À documenter</t>
        </is>
      </c>
      <c r="AA145" s="2" t="inlineStr">
        <is>
          <t>À documenter</t>
        </is>
      </c>
      <c r="AB145" s="2" t="inlineStr">
        <is>
          <t>À documenter</t>
        </is>
      </c>
      <c r="AC145" s="2" t="inlineStr">
        <is>
          <t>Canon court de 37 mm (famille SA 18/SA 38 selon modèle) et/ou mitrailleuse 7,5 mm selon version</t>
        </is>
      </c>
      <c r="AD145" s="2" t="inlineStr">
        <is>
          <t>À documenter</t>
        </is>
      </c>
      <c r="AE145" s="2" t="inlineStr">
        <is>
          <t>À documenter</t>
        </is>
      </c>
      <c r="AF145" s="2" t="inlineStr">
        <is>
          <t>À définir</t>
        </is>
      </c>
      <c r="AG145" s="2" t="inlineStr">
        <is>
          <t>À définir</t>
        </is>
      </c>
      <c r="AH145" s="2" t="inlineStr">
        <is>
          <t>Réparation d’origine si véhicule complet ; démontage si incomplet</t>
        </is>
      </c>
      <c r="AI145" s="2" t="inlineStr">
        <is>
          <t>À documenter</t>
        </is>
      </c>
      <c r="AJ145" s="2" t="inlineStr">
        <is>
          <t>À définir séparément des compatibilités historiques</t>
        </is>
      </c>
      <c r="AK145" s="2" t="inlineStr">
        <is>
          <t>À documenter</t>
        </is>
      </c>
      <c r="AL145" s="2" t="inlineStr">
        <is>
          <t>À rechercher / voir sources historiques</t>
        </is>
      </c>
      <c r="AM145" s="2" t="inlineStr">
        <is>
          <t>https://tanks-encyclopedia.com/ww2/france/renault-d2/</t>
        </is>
      </c>
      <c r="AN145" s="2" t="inlineStr">
        <is>
          <t>Source de niveau variable ; contrôle par variante nécessaire</t>
        </is>
      </c>
      <c r="AO145" s="2" t="inlineStr">
        <is>
          <t>Non renseigné</t>
        </is>
      </c>
      <c r="AP145" s="2" t="inlineStr">
        <is>
          <t>Faible</t>
        </is>
      </c>
      <c r="AQ145" s="2" t="inlineStr">
        <is>
          <t>Partiel</t>
        </is>
      </c>
      <c r="AR145" s="2" t="inlineStr">
        <is>
          <t>Partiel — fiche à compléter</t>
        </is>
      </c>
      <c r="AS145" s="2" t="inlineStr">
        <is>
          <t>P2/P3</t>
        </is>
      </c>
      <c r="AT145" s="2" t="inlineStr">
        <is>
          <t>À distinguer du D1 dans le catalogue de châssis.</t>
        </is>
      </c>
      <c r="AU145" s="2" t="inlineStr">
        <is>
          <t>À intégrer après validation du prototype</t>
        </is>
      </c>
      <c r="AV145" s="2" t="inlineStr">
        <is>
          <t>Renault D2 : véhicule de catégorie « Chars moyens », d'origine France. Motorisation recensée : 4 cylindres en ligne Renault. Variante historique à vérifier avant validation définitive.</t>
        </is>
      </c>
    </row>
    <row r="146" ht="60" customHeight="1">
      <c r="A146" s="2" t="inlineStr">
        <is>
          <t>VEH-145</t>
        </is>
      </c>
      <c r="B146" s="2" t="inlineStr">
        <is>
          <t>Chars lourds et prototypes</t>
        </is>
      </c>
      <c r="C146" s="2" t="inlineStr">
        <is>
          <t>Char 2C</t>
        </is>
      </c>
      <c r="D146" s="2" t="inlineStr">
        <is>
          <t>À distinguer si plusieurs variantes</t>
        </is>
      </c>
      <c r="E146" s="2" t="inlineStr">
        <is>
          <t>France</t>
        </is>
      </c>
      <c r="F146" s="2" t="inlineStr">
        <is>
          <t>À documenter</t>
        </is>
      </c>
      <c r="G146" s="2" t="inlineStr">
        <is>
          <t>À confirmer</t>
        </is>
      </c>
      <c r="H146" s="2" t="inlineStr">
        <is>
          <t>Chars lourds et prototypes</t>
        </is>
      </c>
      <c r="I146" s="2" t="inlineStr">
        <is>
          <t>À définir</t>
        </is>
      </c>
      <c r="J146" s="2" t="n"/>
      <c r="K146" s="2" t="n"/>
      <c r="L146" s="2" t="n"/>
      <c r="M146" s="2" t="n"/>
      <c r="N146" s="2" t="n"/>
      <c r="O146" s="2" t="n"/>
      <c r="P146" s="2" t="inlineStr">
        <is>
          <t>2 moteurs 6 cylindres en ligne (familles d'époque, détails à confirmer)</t>
        </is>
      </c>
      <c r="Q146" s="2" t="n"/>
      <c r="R146" s="2" t="n"/>
      <c r="S146" s="2" t="inlineStr">
        <is>
          <t>À confirmer</t>
        </is>
      </c>
      <c r="T146" s="2" t="n"/>
      <c r="U146" s="2" t="n"/>
      <c r="V146" s="2" t="n"/>
      <c r="W146" s="2" t="n"/>
      <c r="X146" s="2" t="inlineStr">
        <is>
          <t>À documenter</t>
        </is>
      </c>
      <c r="Y146" s="2" t="inlineStr">
        <is>
          <t>À documenter</t>
        </is>
      </c>
      <c r="Z146" s="2" t="inlineStr">
        <is>
          <t>À documenter</t>
        </is>
      </c>
      <c r="AA146" s="2" t="inlineStr">
        <is>
          <t>À documenter</t>
        </is>
      </c>
      <c r="AB146" s="2" t="inlineStr">
        <is>
          <t>À documenter</t>
        </is>
      </c>
      <c r="AC146" s="2" t="inlineStr">
        <is>
          <t>Canon de 75 mm; plusieurs mitrailleuses de 8 mm</t>
        </is>
      </c>
      <c r="AD146" s="2" t="inlineStr">
        <is>
          <t>À documenter</t>
        </is>
      </c>
      <c r="AE146" s="2" t="inlineStr">
        <is>
          <t>À documenter</t>
        </is>
      </c>
      <c r="AF146" s="2" t="inlineStr">
        <is>
          <t>À définir</t>
        </is>
      </c>
      <c r="AG146" s="2" t="inlineStr">
        <is>
          <t>À définir</t>
        </is>
      </c>
      <c r="AH146" s="2" t="inlineStr">
        <is>
          <t>Réparation d’origine si véhicule complet ; démontage si incomplet</t>
        </is>
      </c>
      <c r="AI146" s="2" t="inlineStr">
        <is>
          <t>À documenter</t>
        </is>
      </c>
      <c r="AJ146" s="2" t="inlineStr">
        <is>
          <t>À définir séparément des compatibilités historiques</t>
        </is>
      </c>
      <c r="AK146" s="2" t="inlineStr">
        <is>
          <t>À documenter</t>
        </is>
      </c>
      <c r="AL146" s="2" t="inlineStr">
        <is>
          <t>À rechercher / voir sources historiques</t>
        </is>
      </c>
      <c r="AM146" s="2" t="inlineStr">
        <is>
          <t>https://tanks-encyclopedia.com/ww2/france/char-2c/</t>
        </is>
      </c>
      <c r="AN146" s="2" t="inlineStr">
        <is>
          <t>Source de niveau variable ; contrôle par variante nécessaire</t>
        </is>
      </c>
      <c r="AO146" s="2" t="inlineStr">
        <is>
          <t>Non renseigné</t>
        </is>
      </c>
      <c r="AP146" s="2" t="inlineStr">
        <is>
          <t>Faible</t>
        </is>
      </c>
      <c r="AQ146" s="2" t="inlineStr">
        <is>
          <t>Partiel</t>
        </is>
      </c>
      <c r="AR146" s="2" t="inlineStr">
        <is>
          <t>Partiel — fiche à compléter</t>
        </is>
      </c>
      <c r="AS146" s="2" t="inlineStr">
        <is>
          <t>P2/P3</t>
        </is>
      </c>
      <c r="AT146" s="2" t="inlineStr">
        <is>
          <t>Très grand char multimoteur ; excellent exemple pour le système multimoteur.</t>
        </is>
      </c>
      <c r="AU146" s="2" t="inlineStr">
        <is>
          <t>À intégrer après validation du prototype</t>
        </is>
      </c>
      <c r="AV146" s="2" t="inlineStr">
        <is>
          <t>Char 2C : véhicule de catégorie « Chars lourds et prototypes », d'origine France. Motorisation recensée : 2 moteurs 6 cylindres en ligne (familles d'époque, détails à confirmer). Variante historique à vérifier avant validation définitive.</t>
        </is>
      </c>
    </row>
    <row r="147" ht="60" customHeight="1">
      <c r="A147" s="2" t="inlineStr">
        <is>
          <t>VEH-146</t>
        </is>
      </c>
      <c r="B147" s="2" t="inlineStr">
        <is>
          <t>Reconnaissance et chars légers</t>
        </is>
      </c>
      <c r="C147" s="2" t="inlineStr">
        <is>
          <t>AMR 33</t>
        </is>
      </c>
      <c r="D147" s="2" t="inlineStr">
        <is>
          <t>À distinguer si plusieurs variantes</t>
        </is>
      </c>
      <c r="E147" s="2" t="inlineStr">
        <is>
          <t>France</t>
        </is>
      </c>
      <c r="F147" s="2" t="inlineStr">
        <is>
          <t>À documenter</t>
        </is>
      </c>
      <c r="G147" s="2" t="inlineStr">
        <is>
          <t>À confirmer</t>
        </is>
      </c>
      <c r="H147" s="2" t="inlineStr">
        <is>
          <t>Reconnaissance et chars légers</t>
        </is>
      </c>
      <c r="I147" s="2" t="inlineStr">
        <is>
          <t>À définir</t>
        </is>
      </c>
      <c r="J147" s="2" t="n"/>
      <c r="K147" s="2" t="n"/>
      <c r="L147" s="2" t="n"/>
      <c r="M147" s="2" t="n"/>
      <c r="N147" s="2" t="n"/>
      <c r="O147" s="2" t="n"/>
      <c r="P147" s="2" t="inlineStr">
        <is>
          <t>4 cylindres en ligne Renault</t>
        </is>
      </c>
      <c r="Q147" s="2" t="n"/>
      <c r="R147" s="2" t="n"/>
      <c r="S147" s="2" t="inlineStr">
        <is>
          <t>À confirmer</t>
        </is>
      </c>
      <c r="T147" s="2" t="n"/>
      <c r="U147" s="2" t="n"/>
      <c r="V147" s="2" t="n"/>
      <c r="W147" s="2" t="n"/>
      <c r="X147" s="2" t="inlineStr">
        <is>
          <t>À documenter</t>
        </is>
      </c>
      <c r="Y147" s="2" t="inlineStr">
        <is>
          <t>À documenter</t>
        </is>
      </c>
      <c r="Z147" s="2" t="inlineStr">
        <is>
          <t>À documenter</t>
        </is>
      </c>
      <c r="AA147" s="2" t="inlineStr">
        <is>
          <t>À documenter</t>
        </is>
      </c>
      <c r="AB147" s="2" t="inlineStr">
        <is>
          <t>À documenter</t>
        </is>
      </c>
      <c r="AC147" s="2" t="inlineStr">
        <is>
          <t>Mitrailleuse 7,5 mm (certaines variantes/essais diffèrent)</t>
        </is>
      </c>
      <c r="AD147" s="2" t="inlineStr">
        <is>
          <t>À documenter</t>
        </is>
      </c>
      <c r="AE147" s="2" t="inlineStr">
        <is>
          <t>À documenter</t>
        </is>
      </c>
      <c r="AF147" s="2" t="inlineStr">
        <is>
          <t>À définir</t>
        </is>
      </c>
      <c r="AG147" s="2" t="inlineStr">
        <is>
          <t>À définir</t>
        </is>
      </c>
      <c r="AH147" s="2" t="inlineStr">
        <is>
          <t>Réparation d’origine si véhicule complet ; démontage si incomplet</t>
        </is>
      </c>
      <c r="AI147" s="2" t="inlineStr">
        <is>
          <t>À documenter</t>
        </is>
      </c>
      <c r="AJ147" s="2" t="inlineStr">
        <is>
          <t>À définir séparément des compatibilités historiques</t>
        </is>
      </c>
      <c r="AK147" s="2" t="inlineStr">
        <is>
          <t>À documenter</t>
        </is>
      </c>
      <c r="AL147" s="2" t="inlineStr">
        <is>
          <t>À rechercher / voir sources historiques</t>
        </is>
      </c>
      <c r="AM147" s="2" t="inlineStr">
        <is>
          <t>https://museedesblindes.fr/1945-1962-fin-de-l-empire/</t>
        </is>
      </c>
      <c r="AN147" s="2" t="inlineStr">
        <is>
          <t>Source de niveau variable ; contrôle par variante nécessaire</t>
        </is>
      </c>
      <c r="AO147" s="2" t="inlineStr">
        <is>
          <t>Non renseigné</t>
        </is>
      </c>
      <c r="AP147" s="2" t="inlineStr">
        <is>
          <t>Faible</t>
        </is>
      </c>
      <c r="AQ147" s="2" t="inlineStr">
        <is>
          <t>Partiel</t>
        </is>
      </c>
      <c r="AR147" s="2" t="inlineStr">
        <is>
          <t>Partiel — fiche à compléter</t>
        </is>
      </c>
      <c r="AS147" s="2" t="inlineStr">
        <is>
          <t>P2/P3</t>
        </is>
      </c>
      <c r="AT147" s="2" t="inlineStr">
        <is>
          <t>Petit véhicule de reconnaissance, mobilité légère.</t>
        </is>
      </c>
      <c r="AU147" s="2" t="inlineStr">
        <is>
          <t>À intégrer après validation du prototype</t>
        </is>
      </c>
      <c r="AV147" s="2" t="inlineStr">
        <is>
          <t>AMR 33 : véhicule de catégorie « Reconnaissance et chars légers », d'origine France. Motorisation recensée : 4 cylindres en ligne Renault. Variante historique à vérifier avant validation définitive.</t>
        </is>
      </c>
    </row>
    <row r="148" ht="60" customHeight="1">
      <c r="A148" s="2" t="inlineStr">
        <is>
          <t>VEH-147</t>
        </is>
      </c>
      <c r="B148" s="2" t="inlineStr">
        <is>
          <t>Reconnaissance et chars légers</t>
        </is>
      </c>
      <c r="C148" s="2" t="inlineStr">
        <is>
          <t>AMR 35</t>
        </is>
      </c>
      <c r="D148" s="2" t="inlineStr">
        <is>
          <t>À distinguer si plusieurs variantes</t>
        </is>
      </c>
      <c r="E148" s="2" t="inlineStr">
        <is>
          <t>France</t>
        </is>
      </c>
      <c r="F148" s="2" t="inlineStr">
        <is>
          <t>À documenter</t>
        </is>
      </c>
      <c r="G148" s="2" t="inlineStr">
        <is>
          <t>À confirmer</t>
        </is>
      </c>
      <c r="H148" s="2" t="inlineStr">
        <is>
          <t>Reconnaissance et chars légers</t>
        </is>
      </c>
      <c r="I148" s="2" t="inlineStr">
        <is>
          <t>À définir</t>
        </is>
      </c>
      <c r="J148" s="2" t="n"/>
      <c r="K148" s="2" t="n"/>
      <c r="L148" s="2" t="n"/>
      <c r="M148" s="2" t="n"/>
      <c r="N148" s="2" t="n"/>
      <c r="O148" s="2" t="n"/>
      <c r="P148" s="2" t="inlineStr">
        <is>
          <t>4 cylindres en ligne Renault (selon version)</t>
        </is>
      </c>
      <c r="Q148" s="2" t="n"/>
      <c r="R148" s="2" t="n"/>
      <c r="S148" s="2" t="inlineStr">
        <is>
          <t>À confirmer</t>
        </is>
      </c>
      <c r="T148" s="2" t="n"/>
      <c r="U148" s="2" t="n"/>
      <c r="V148" s="2" t="n"/>
      <c r="W148" s="2" t="n"/>
      <c r="X148" s="2" t="inlineStr">
        <is>
          <t>À documenter</t>
        </is>
      </c>
      <c r="Y148" s="2" t="inlineStr">
        <is>
          <t>À documenter</t>
        </is>
      </c>
      <c r="Z148" s="2" t="inlineStr">
        <is>
          <t>À documenter</t>
        </is>
      </c>
      <c r="AA148" s="2" t="inlineStr">
        <is>
          <t>À documenter</t>
        </is>
      </c>
      <c r="AB148" s="2" t="inlineStr">
        <is>
          <t>À documenter</t>
        </is>
      </c>
      <c r="AC148" s="2" t="inlineStr">
        <is>
          <t>Mitrailleuse 7,5 mm (certaines variantes/essais diffèrent)</t>
        </is>
      </c>
      <c r="AD148" s="2" t="inlineStr">
        <is>
          <t>À documenter</t>
        </is>
      </c>
      <c r="AE148" s="2" t="inlineStr">
        <is>
          <t>À documenter</t>
        </is>
      </c>
      <c r="AF148" s="2" t="inlineStr">
        <is>
          <t>À définir</t>
        </is>
      </c>
      <c r="AG148" s="2" t="inlineStr">
        <is>
          <t>À définir</t>
        </is>
      </c>
      <c r="AH148" s="2" t="inlineStr">
        <is>
          <t>Réparation d’origine si véhicule complet ; démontage si incomplet</t>
        </is>
      </c>
      <c r="AI148" s="2" t="inlineStr">
        <is>
          <t>À documenter</t>
        </is>
      </c>
      <c r="AJ148" s="2" t="inlineStr">
        <is>
          <t>À définir séparément des compatibilités historiques</t>
        </is>
      </c>
      <c r="AK148" s="2" t="inlineStr">
        <is>
          <t>À documenter</t>
        </is>
      </c>
      <c r="AL148" s="2" t="inlineStr">
        <is>
          <t>À rechercher / voir sources historiques</t>
        </is>
      </c>
      <c r="AM148" s="2" t="inlineStr">
        <is>
          <t>https://museedesblindes.fr/1945-1962-fin-de-l-empire/</t>
        </is>
      </c>
      <c r="AN148" s="2" t="inlineStr">
        <is>
          <t>Source de niveau variable ; contrôle par variante nécessaire</t>
        </is>
      </c>
      <c r="AO148" s="2" t="inlineStr">
        <is>
          <t>Non renseigné</t>
        </is>
      </c>
      <c r="AP148" s="2" t="inlineStr">
        <is>
          <t>Faible</t>
        </is>
      </c>
      <c r="AQ148" s="2" t="inlineStr">
        <is>
          <t>Partiel</t>
        </is>
      </c>
      <c r="AR148" s="2" t="inlineStr">
        <is>
          <t>Partiel — fiche à compléter</t>
        </is>
      </c>
      <c r="AS148" s="2" t="inlineStr">
        <is>
          <t>P2/P3</t>
        </is>
      </c>
      <c r="AT148" s="2" t="inlineStr">
        <is>
          <t>Plusieurs variantes ; moteur à vérifier selon sous-type.</t>
        </is>
      </c>
      <c r="AU148" s="2" t="inlineStr">
        <is>
          <t>À intégrer après validation du prototype</t>
        </is>
      </c>
      <c r="AV148" s="2" t="inlineStr">
        <is>
          <t>AMR 35 : véhicule de catégorie « Reconnaissance et chars légers », d'origine France. Motorisation recensée : 4 cylindres en ligne Renault (selon version). Variante historique à vérifier avant validation définitive.</t>
        </is>
      </c>
    </row>
    <row r="149" ht="60" customHeight="1">
      <c r="A149" s="2" t="inlineStr">
        <is>
          <t>VEH-148</t>
        </is>
      </c>
      <c r="B149" s="2" t="inlineStr">
        <is>
          <t>Chars de cavalerie et prototypes</t>
        </is>
      </c>
      <c r="C149" s="2" t="inlineStr">
        <is>
          <t>AMC 34 / Renault YR</t>
        </is>
      </c>
      <c r="D149" s="2" t="inlineStr">
        <is>
          <t>À distinguer si plusieurs variantes</t>
        </is>
      </c>
      <c r="E149" s="2" t="inlineStr">
        <is>
          <t>France</t>
        </is>
      </c>
      <c r="F149" s="2" t="inlineStr">
        <is>
          <t>À documenter</t>
        </is>
      </c>
      <c r="G149" s="2" t="inlineStr">
        <is>
          <t>À confirmer</t>
        </is>
      </c>
      <c r="H149" s="2" t="inlineStr">
        <is>
          <t>Chars de cavalerie et prototypes</t>
        </is>
      </c>
      <c r="I149" s="2" t="inlineStr">
        <is>
          <t>À définir</t>
        </is>
      </c>
      <c r="J149" s="2" t="n"/>
      <c r="K149" s="2" t="n"/>
      <c r="L149" s="2" t="n"/>
      <c r="M149" s="2" t="n"/>
      <c r="N149" s="2" t="n"/>
      <c r="O149" s="2" t="n"/>
      <c r="P149" s="2" t="inlineStr">
        <is>
          <t>4 cylindres en ligne Renault (à confirmer)</t>
        </is>
      </c>
      <c r="Q149" s="2" t="n"/>
      <c r="R149" s="2" t="n"/>
      <c r="S149" s="2" t="inlineStr">
        <is>
          <t>À confirmer</t>
        </is>
      </c>
      <c r="T149" s="2" t="n"/>
      <c r="U149" s="2" t="n"/>
      <c r="V149" s="2" t="n"/>
      <c r="W149" s="2" t="n"/>
      <c r="X149" s="2" t="inlineStr">
        <is>
          <t>À documenter</t>
        </is>
      </c>
      <c r="Y149" s="2" t="inlineStr">
        <is>
          <t>À documenter</t>
        </is>
      </c>
      <c r="Z149" s="2" t="inlineStr">
        <is>
          <t>À documenter</t>
        </is>
      </c>
      <c r="AA149" s="2" t="inlineStr">
        <is>
          <t>À documenter</t>
        </is>
      </c>
      <c r="AB149" s="2" t="inlineStr">
        <is>
          <t>À documenter</t>
        </is>
      </c>
      <c r="AC149" s="2" t="inlineStr">
        <is>
          <t>Canon de 25 mm ou 47 mm selon version; mitrailleuse 7,5 mm</t>
        </is>
      </c>
      <c r="AD149" s="2" t="inlineStr">
        <is>
          <t>À documenter</t>
        </is>
      </c>
      <c r="AE149" s="2" t="inlineStr">
        <is>
          <t>À documenter</t>
        </is>
      </c>
      <c r="AF149" s="2" t="inlineStr">
        <is>
          <t>À définir</t>
        </is>
      </c>
      <c r="AG149" s="2" t="inlineStr">
        <is>
          <t>À définir</t>
        </is>
      </c>
      <c r="AH149" s="2" t="inlineStr">
        <is>
          <t>Réparation d’origine si véhicule complet ; démontage si incomplet</t>
        </is>
      </c>
      <c r="AI149" s="2" t="inlineStr">
        <is>
          <t>À documenter</t>
        </is>
      </c>
      <c r="AJ149" s="2" t="inlineStr">
        <is>
          <t>À définir séparément des compatibilités historiques</t>
        </is>
      </c>
      <c r="AK149" s="2" t="inlineStr">
        <is>
          <t>À documenter</t>
        </is>
      </c>
      <c r="AL149" s="2" t="inlineStr">
        <is>
          <t>À rechercher / voir sources historiques</t>
        </is>
      </c>
      <c r="AM149" s="2" t="inlineStr">
        <is>
          <t>https://tanks-encyclopedia.com/ww2/france/renault-amc-34/</t>
        </is>
      </c>
      <c r="AN149" s="2" t="inlineStr">
        <is>
          <t>Source de niveau variable ; contrôle par variante nécessaire</t>
        </is>
      </c>
      <c r="AO149" s="2" t="inlineStr">
        <is>
          <t>Non renseigné</t>
        </is>
      </c>
      <c r="AP149" s="2" t="inlineStr">
        <is>
          <t>Faible</t>
        </is>
      </c>
      <c r="AQ149" s="2" t="inlineStr">
        <is>
          <t>Partiel</t>
        </is>
      </c>
      <c r="AR149" s="2" t="inlineStr">
        <is>
          <t>Partiel — fiche à compléter</t>
        </is>
      </c>
      <c r="AS149" s="2" t="inlineStr">
        <is>
          <t>P2/P3</t>
        </is>
      </c>
      <c r="AT149" s="2" t="inlineStr">
        <is>
          <t>Modèle rare ; inclure comme véhicule de récupération rare.</t>
        </is>
      </c>
      <c r="AU149" s="2" t="inlineStr">
        <is>
          <t>À intégrer après validation du prototype</t>
        </is>
      </c>
      <c r="AV149" s="2" t="inlineStr">
        <is>
          <t>AMC 34 / Renault YR : véhicule de catégorie « Chars de cavalerie et prototypes », d'origine France. Motorisation recensée : 4 cylindres en ligne Renault (à confirmer). Variante historique à vérifier avant validation définitive.</t>
        </is>
      </c>
    </row>
    <row r="150" ht="60" customHeight="1">
      <c r="A150" s="2" t="inlineStr">
        <is>
          <t>VEH-149</t>
        </is>
      </c>
      <c r="B150" s="2" t="inlineStr">
        <is>
          <t>Chars de cavalerie et prototypes</t>
        </is>
      </c>
      <c r="C150" s="2" t="inlineStr">
        <is>
          <t>AMC 35 / ACG-1</t>
        </is>
      </c>
      <c r="D150" s="2" t="inlineStr">
        <is>
          <t>À distinguer si plusieurs variantes</t>
        </is>
      </c>
      <c r="E150" s="2" t="inlineStr">
        <is>
          <t>France</t>
        </is>
      </c>
      <c r="F150" s="2" t="inlineStr">
        <is>
          <t>À documenter</t>
        </is>
      </c>
      <c r="G150" s="2" t="inlineStr">
        <is>
          <t>À confirmer</t>
        </is>
      </c>
      <c r="H150" s="2" t="inlineStr">
        <is>
          <t>Chars de cavalerie et prototypes</t>
        </is>
      </c>
      <c r="I150" s="2" t="inlineStr">
        <is>
          <t>À définir</t>
        </is>
      </c>
      <c r="J150" s="2" t="n"/>
      <c r="K150" s="2" t="n"/>
      <c r="L150" s="2" t="n"/>
      <c r="M150" s="2" t="n"/>
      <c r="N150" s="2" t="n"/>
      <c r="O150" s="2" t="n"/>
      <c r="P150" s="2" t="inlineStr">
        <is>
          <t>4 cylindres en ligne Renault (à confirmer)</t>
        </is>
      </c>
      <c r="Q150" s="2" t="n"/>
      <c r="R150" s="2" t="n"/>
      <c r="S150" s="2" t="inlineStr">
        <is>
          <t>À confirmer</t>
        </is>
      </c>
      <c r="T150" s="2" t="n"/>
      <c r="U150" s="2" t="n"/>
      <c r="V150" s="2" t="n"/>
      <c r="W150" s="2" t="n"/>
      <c r="X150" s="2" t="inlineStr">
        <is>
          <t>À documenter</t>
        </is>
      </c>
      <c r="Y150" s="2" t="inlineStr">
        <is>
          <t>À documenter</t>
        </is>
      </c>
      <c r="Z150" s="2" t="inlineStr">
        <is>
          <t>À documenter</t>
        </is>
      </c>
      <c r="AA150" s="2" t="inlineStr">
        <is>
          <t>À documenter</t>
        </is>
      </c>
      <c r="AB150" s="2" t="inlineStr">
        <is>
          <t>À documenter</t>
        </is>
      </c>
      <c r="AC150" s="2" t="inlineStr">
        <is>
          <t>Canon de 25 mm ou 47 mm selon version; mitrailleuse 7,5 mm</t>
        </is>
      </c>
      <c r="AD150" s="2" t="inlineStr">
        <is>
          <t>À documenter</t>
        </is>
      </c>
      <c r="AE150" s="2" t="inlineStr">
        <is>
          <t>À documenter</t>
        </is>
      </c>
      <c r="AF150" s="2" t="inlineStr">
        <is>
          <t>À définir</t>
        </is>
      </c>
      <c r="AG150" s="2" t="inlineStr">
        <is>
          <t>À définir</t>
        </is>
      </c>
      <c r="AH150" s="2" t="inlineStr">
        <is>
          <t>Réparation d’origine si véhicule complet ; démontage si incomplet</t>
        </is>
      </c>
      <c r="AI150" s="2" t="inlineStr">
        <is>
          <t>À documenter</t>
        </is>
      </c>
      <c r="AJ150" s="2" t="inlineStr">
        <is>
          <t>À définir séparément des compatibilités historiques</t>
        </is>
      </c>
      <c r="AK150" s="2" t="inlineStr">
        <is>
          <t>À documenter</t>
        </is>
      </c>
      <c r="AL150" s="2" t="inlineStr">
        <is>
          <t>À rechercher / voir sources historiques</t>
        </is>
      </c>
      <c r="AM150" s="2" t="inlineStr">
        <is>
          <t>https://museedesblindes.fr/le-musee/nos-vehicules/</t>
        </is>
      </c>
      <c r="AN150" s="2" t="inlineStr">
        <is>
          <t>Source de niveau variable ; contrôle par variante nécessaire</t>
        </is>
      </c>
      <c r="AO150" s="2" t="inlineStr">
        <is>
          <t>Non renseigné</t>
        </is>
      </c>
      <c r="AP150" s="2" t="inlineStr">
        <is>
          <t>Faible</t>
        </is>
      </c>
      <c r="AQ150" s="2" t="inlineStr">
        <is>
          <t>Partiel</t>
        </is>
      </c>
      <c r="AR150" s="2" t="inlineStr">
        <is>
          <t>Partiel — fiche à compléter</t>
        </is>
      </c>
      <c r="AS150" s="2" t="inlineStr">
        <is>
          <t>P2/P3</t>
        </is>
      </c>
      <c r="AT150" s="2" t="inlineStr">
        <is>
          <t>Char de cavalerie avec variantes nationales.</t>
        </is>
      </c>
      <c r="AU150" s="2" t="inlineStr">
        <is>
          <t>À intégrer après validation du prototype</t>
        </is>
      </c>
      <c r="AV150" s="2" t="inlineStr">
        <is>
          <t>AMC 35 / ACG-1 : véhicule de catégorie « Chars de cavalerie et prototypes », d'origine France. Motorisation recensée : 4 cylindres en ligne Renault (à confirmer). Variante historique à vérifier avant validation définitive.</t>
        </is>
      </c>
    </row>
    <row r="151" ht="60" customHeight="1">
      <c r="A151" s="2" t="inlineStr">
        <is>
          <t>VEH-150</t>
        </is>
      </c>
      <c r="B151" s="2" t="inlineStr">
        <is>
          <t>Chars légers et chars anciens</t>
        </is>
      </c>
      <c r="C151" s="2" t="inlineStr">
        <is>
          <t>FCM 36</t>
        </is>
      </c>
      <c r="D151" s="2" t="inlineStr">
        <is>
          <t>À distinguer si plusieurs variantes</t>
        </is>
      </c>
      <c r="E151" s="2" t="inlineStr">
        <is>
          <t>France</t>
        </is>
      </c>
      <c r="F151" s="2" t="inlineStr">
        <is>
          <t>À documenter</t>
        </is>
      </c>
      <c r="G151" s="2" t="inlineStr">
        <is>
          <t>À confirmer</t>
        </is>
      </c>
      <c r="H151" s="2" t="inlineStr">
        <is>
          <t>Chars légers et chars anciens</t>
        </is>
      </c>
      <c r="I151" s="2" t="inlineStr">
        <is>
          <t>À définir</t>
        </is>
      </c>
      <c r="J151" s="2" t="n"/>
      <c r="K151" s="2" t="n"/>
      <c r="L151" s="2" t="n"/>
      <c r="M151" s="2" t="n"/>
      <c r="N151" s="2" t="n"/>
      <c r="O151" s="2" t="n"/>
      <c r="P151" s="2" t="inlineStr">
        <is>
          <t>4 cylindres diesel Berliet</t>
        </is>
      </c>
      <c r="Q151" s="2" t="n"/>
      <c r="R151" s="2" t="n"/>
      <c r="S151" s="2" t="inlineStr">
        <is>
          <t>À confirmer</t>
        </is>
      </c>
      <c r="T151" s="2" t="n"/>
      <c r="U151" s="2" t="n"/>
      <c r="V151" s="2" t="n"/>
      <c r="W151" s="2" t="n"/>
      <c r="X151" s="2" t="inlineStr">
        <is>
          <t>À documenter</t>
        </is>
      </c>
      <c r="Y151" s="2" t="inlineStr">
        <is>
          <t>À documenter</t>
        </is>
      </c>
      <c r="Z151" s="2" t="inlineStr">
        <is>
          <t>À documenter</t>
        </is>
      </c>
      <c r="AA151" s="2" t="inlineStr">
        <is>
          <t>À documenter</t>
        </is>
      </c>
      <c r="AB151" s="2" t="inlineStr">
        <is>
          <t>À documenter</t>
        </is>
      </c>
      <c r="AC151" s="2" t="inlineStr">
        <is>
          <t>Canon de 37 mm SA 18; mitrailleuse 7,5 mm</t>
        </is>
      </c>
      <c r="AD151" s="2" t="inlineStr">
        <is>
          <t>À documenter</t>
        </is>
      </c>
      <c r="AE151" s="2" t="inlineStr">
        <is>
          <t>À documenter</t>
        </is>
      </c>
      <c r="AF151" s="2" t="inlineStr">
        <is>
          <t>À définir</t>
        </is>
      </c>
      <c r="AG151" s="2" t="inlineStr">
        <is>
          <t>À définir</t>
        </is>
      </c>
      <c r="AH151" s="2" t="inlineStr">
        <is>
          <t>Réparation d’origine si véhicule complet ; démontage si incomplet</t>
        </is>
      </c>
      <c r="AI151" s="2" t="inlineStr">
        <is>
          <t>À documenter</t>
        </is>
      </c>
      <c r="AJ151" s="2" t="inlineStr">
        <is>
          <t>À définir séparément des compatibilités historiques</t>
        </is>
      </c>
      <c r="AK151" s="2" t="inlineStr">
        <is>
          <t>À documenter</t>
        </is>
      </c>
      <c r="AL151" s="2" t="inlineStr">
        <is>
          <t>À rechercher / voir sources historiques</t>
        </is>
      </c>
      <c r="AM151" s="2" t="inlineStr">
        <is>
          <t>https://museedesblindes.fr/1945-1962-fin-de-l-empire/</t>
        </is>
      </c>
      <c r="AN151" s="2" t="inlineStr">
        <is>
          <t>Source de niveau variable ; contrôle par variante nécessaire</t>
        </is>
      </c>
      <c r="AO151" s="2" t="inlineStr">
        <is>
          <t>Non renseigné</t>
        </is>
      </c>
      <c r="AP151" s="2" t="inlineStr">
        <is>
          <t>Faible</t>
        </is>
      </c>
      <c r="AQ151" s="2" t="inlineStr">
        <is>
          <t>Partiel</t>
        </is>
      </c>
      <c r="AR151" s="2" t="inlineStr">
        <is>
          <t>Partiel — fiche à compléter</t>
        </is>
      </c>
      <c r="AS151" s="2" t="inlineStr">
        <is>
          <t>P2/P3</t>
        </is>
      </c>
      <c r="AT151" s="2" t="inlineStr">
        <is>
          <t>Intéressant pour différencier diesel et essence dans les chars français.</t>
        </is>
      </c>
      <c r="AU151" s="2" t="inlineStr">
        <is>
          <t>À intégrer après validation du prototype</t>
        </is>
      </c>
      <c r="AV151" s="2" t="inlineStr">
        <is>
          <t>FCM 36 : véhicule de catégorie « Chars légers et chars anciens », d'origine France. Motorisation recensée : 4 cylindres diesel Berliet. Variante historique à vérifier avant validation définitive.</t>
        </is>
      </c>
    </row>
    <row r="152" ht="60" customHeight="1">
      <c r="A152" s="2" t="inlineStr">
        <is>
          <t>VEH-151</t>
        </is>
      </c>
      <c r="B152" s="2" t="inlineStr">
        <is>
          <t>Chars légers et chars anciens</t>
        </is>
      </c>
      <c r="C152" s="2" t="inlineStr">
        <is>
          <t>Renault R40</t>
        </is>
      </c>
      <c r="D152" s="2" t="inlineStr">
        <is>
          <t>À distinguer si plusieurs variantes</t>
        </is>
      </c>
      <c r="E152" s="2" t="inlineStr">
        <is>
          <t>France</t>
        </is>
      </c>
      <c r="F152" s="2" t="inlineStr">
        <is>
          <t>À documenter</t>
        </is>
      </c>
      <c r="G152" s="2" t="inlineStr">
        <is>
          <t>À confirmer</t>
        </is>
      </c>
      <c r="H152" s="2" t="inlineStr">
        <is>
          <t>Chars légers et chars anciens</t>
        </is>
      </c>
      <c r="I152" s="2" t="inlineStr">
        <is>
          <t>À définir</t>
        </is>
      </c>
      <c r="J152" s="2" t="n"/>
      <c r="K152" s="2" t="n"/>
      <c r="L152" s="2" t="n"/>
      <c r="M152" s="2" t="n"/>
      <c r="N152" s="2" t="n"/>
      <c r="O152" s="2" t="n"/>
      <c r="P152" s="2" t="inlineStr">
        <is>
          <t>4 cylindres en ligne Renault</t>
        </is>
      </c>
      <c r="Q152" s="2" t="n"/>
      <c r="R152" s="2" t="n"/>
      <c r="S152" s="2" t="inlineStr">
        <is>
          <t>À confirmer</t>
        </is>
      </c>
      <c r="T152" s="2" t="n"/>
      <c r="U152" s="2" t="n"/>
      <c r="V152" s="2" t="n"/>
      <c r="W152" s="2" t="n"/>
      <c r="X152" s="2" t="inlineStr">
        <is>
          <t>À documenter</t>
        </is>
      </c>
      <c r="Y152" s="2" t="inlineStr">
        <is>
          <t>À documenter</t>
        </is>
      </c>
      <c r="Z152" s="2" t="inlineStr">
        <is>
          <t>À documenter</t>
        </is>
      </c>
      <c r="AA152" s="2" t="inlineStr">
        <is>
          <t>À documenter</t>
        </is>
      </c>
      <c r="AB152" s="2" t="inlineStr">
        <is>
          <t>À documenter</t>
        </is>
      </c>
      <c r="AC152" s="2" t="inlineStr">
        <is>
          <t>Canon court de 37 mm (famille SA 18/SA 38 selon modèle) et/ou mitrailleuse 7,5 mm selon version</t>
        </is>
      </c>
      <c r="AD152" s="2" t="inlineStr">
        <is>
          <t>À documenter</t>
        </is>
      </c>
      <c r="AE152" s="2" t="inlineStr">
        <is>
          <t>À documenter</t>
        </is>
      </c>
      <c r="AF152" s="2" t="inlineStr">
        <is>
          <t>À définir</t>
        </is>
      </c>
      <c r="AG152" s="2" t="inlineStr">
        <is>
          <t>À définir</t>
        </is>
      </c>
      <c r="AH152" s="2" t="inlineStr">
        <is>
          <t>Réparation d’origine si véhicule complet ; démontage si incomplet</t>
        </is>
      </c>
      <c r="AI152" s="2" t="inlineStr">
        <is>
          <t>À documenter</t>
        </is>
      </c>
      <c r="AJ152" s="2" t="inlineStr">
        <is>
          <t>À définir séparément des compatibilités historiques</t>
        </is>
      </c>
      <c r="AK152" s="2" t="inlineStr">
        <is>
          <t>À documenter</t>
        </is>
      </c>
      <c r="AL152" s="2" t="inlineStr">
        <is>
          <t>À rechercher / voir sources historiques</t>
        </is>
      </c>
      <c r="AM152" s="2" t="inlineStr">
        <is>
          <t>https://museedesblindes.fr/les_chars/char-ft/</t>
        </is>
      </c>
      <c r="AN152" s="2" t="inlineStr">
        <is>
          <t>Source de niveau variable ; contrôle par variante nécessaire</t>
        </is>
      </c>
      <c r="AO152" s="2" t="inlineStr">
        <is>
          <t>Non renseigné</t>
        </is>
      </c>
      <c r="AP152" s="2" t="inlineStr">
        <is>
          <t>Faible</t>
        </is>
      </c>
      <c r="AQ152" s="2" t="inlineStr">
        <is>
          <t>Partiel</t>
        </is>
      </c>
      <c r="AR152" s="2" t="inlineStr">
        <is>
          <t>Partiel — fiche à compléter</t>
        </is>
      </c>
      <c r="AS152" s="2" t="inlineStr">
        <is>
          <t>P2/P3</t>
        </is>
      </c>
      <c r="AT152" s="2" t="inlineStr">
        <is>
          <t>Évolution du R35 avec suspension différente.</t>
        </is>
      </c>
      <c r="AU152" s="2" t="inlineStr">
        <is>
          <t>À intégrer après validation du prototype</t>
        </is>
      </c>
      <c r="AV152" s="2" t="inlineStr">
        <is>
          <t>Renault R40 : véhicule de catégorie « Chars légers et chars anciens », d'origine France. Motorisation recensée : 4 cylindres en ligne Renault. Variante historique à vérifier avant validation définitive.</t>
        </is>
      </c>
    </row>
    <row r="153" ht="60" customHeight="1">
      <c r="A153" s="2" t="inlineStr">
        <is>
          <t>VEH-152</t>
        </is>
      </c>
      <c r="B153" s="2" t="inlineStr">
        <is>
          <t>Chasseurs de chars et canons automoteurs</t>
        </is>
      </c>
      <c r="C153" s="2" t="inlineStr">
        <is>
          <t>Laffly W15 TCC</t>
        </is>
      </c>
      <c r="D153" s="2" t="inlineStr">
        <is>
          <t>À distinguer si plusieurs variantes</t>
        </is>
      </c>
      <c r="E153" s="2" t="inlineStr">
        <is>
          <t>France</t>
        </is>
      </c>
      <c r="F153" s="2" t="inlineStr">
        <is>
          <t>À documenter</t>
        </is>
      </c>
      <c r="G153" s="2" t="inlineStr">
        <is>
          <t>À confirmer</t>
        </is>
      </c>
      <c r="H153" s="2" t="inlineStr">
        <is>
          <t>Chasseurs de chars et canons automoteurs</t>
        </is>
      </c>
      <c r="I153" s="2" t="inlineStr">
        <is>
          <t>À définir</t>
        </is>
      </c>
      <c r="J153" s="2" t="n"/>
      <c r="K153" s="2" t="n"/>
      <c r="L153" s="2" t="n"/>
      <c r="M153" s="2" t="n"/>
      <c r="N153" s="2" t="n"/>
      <c r="O153" s="2" t="n"/>
      <c r="P153" s="2" t="inlineStr">
        <is>
          <t>4 cylindres essence (famille à confirmer)</t>
        </is>
      </c>
      <c r="Q153" s="2" t="n"/>
      <c r="R153" s="2" t="n"/>
      <c r="S153" s="2" t="inlineStr">
        <is>
          <t>À confirmer</t>
        </is>
      </c>
      <c r="T153" s="2" t="n"/>
      <c r="U153" s="2" t="n"/>
      <c r="V153" s="2" t="n"/>
      <c r="W153" s="2" t="n"/>
      <c r="X153" s="2" t="inlineStr">
        <is>
          <t>À documenter</t>
        </is>
      </c>
      <c r="Y153" s="2" t="inlineStr">
        <is>
          <t>À documenter</t>
        </is>
      </c>
      <c r="Z153" s="2" t="inlineStr">
        <is>
          <t>À documenter</t>
        </is>
      </c>
      <c r="AA153" s="2" t="inlineStr">
        <is>
          <t>À documenter</t>
        </is>
      </c>
      <c r="AB153" s="2" t="inlineStr">
        <is>
          <t>À documenter</t>
        </is>
      </c>
      <c r="AC153" s="2" t="inlineStr">
        <is>
          <t>Armement historique à déterminer précisément pour ce modèle/sa variante</t>
        </is>
      </c>
      <c r="AD153" s="2" t="inlineStr">
        <is>
          <t>À documenter</t>
        </is>
      </c>
      <c r="AE153" s="2" t="inlineStr">
        <is>
          <t>À documenter</t>
        </is>
      </c>
      <c r="AF153" s="2" t="inlineStr">
        <is>
          <t>À définir</t>
        </is>
      </c>
      <c r="AG153" s="2" t="inlineStr">
        <is>
          <t>À définir</t>
        </is>
      </c>
      <c r="AH153" s="2" t="inlineStr">
        <is>
          <t>Réparation d’origine si véhicule complet ; démontage si incomplet</t>
        </is>
      </c>
      <c r="AI153" s="2" t="inlineStr">
        <is>
          <t>À documenter</t>
        </is>
      </c>
      <c r="AJ153" s="2" t="inlineStr">
        <is>
          <t>À définir séparément des compatibilités historiques</t>
        </is>
      </c>
      <c r="AK153" s="2" t="inlineStr">
        <is>
          <t>À documenter</t>
        </is>
      </c>
      <c r="AL153" s="2" t="inlineStr">
        <is>
          <t>À rechercher / voir sources historiques</t>
        </is>
      </c>
      <c r="AM153" s="2" t="inlineStr">
        <is>
          <t>https://tanks-encyclopedia.com/ww2/france/laffly-w15-tcc/</t>
        </is>
      </c>
      <c r="AN153" s="2" t="inlineStr">
        <is>
          <t>Source de niveau variable ; contrôle par variante nécessaire</t>
        </is>
      </c>
      <c r="AO153" s="2" t="inlineStr">
        <is>
          <t>Non renseigné</t>
        </is>
      </c>
      <c r="AP153" s="2" t="inlineStr">
        <is>
          <t>Faible</t>
        </is>
      </c>
      <c r="AQ153" s="2" t="inlineStr">
        <is>
          <t>À vérifier</t>
        </is>
      </c>
      <c r="AR153" s="2" t="inlineStr">
        <is>
          <t>Partiel — fiche à compléter</t>
        </is>
      </c>
      <c r="AS153" s="2" t="inlineStr">
        <is>
          <t>P2/P3</t>
        </is>
      </c>
      <c r="AT153" s="2" t="inlineStr">
        <is>
          <t>Chasseur de chars improvisé sur châssis à roues.</t>
        </is>
      </c>
      <c r="AU153" s="2" t="inlineStr">
        <is>
          <t>À intégrer après validation du prototype</t>
        </is>
      </c>
      <c r="AV153" s="2" t="inlineStr">
        <is>
          <t>Laffly W15 TCC : véhicule de catégorie « Chasseurs de chars et canons automoteurs », d'origine France. Motorisation recensée : 4 cylindres essence (famille à confirmer). Variante historique à vérifier avant validation définitive.</t>
        </is>
      </c>
    </row>
    <row r="154" ht="60" customHeight="1">
      <c r="A154" s="2" t="inlineStr">
        <is>
          <t>VEH-153</t>
        </is>
      </c>
      <c r="B154" s="2" t="inlineStr">
        <is>
          <t>Chasseurs de chars et canons automoteurs</t>
        </is>
      </c>
      <c r="C154" s="2" t="inlineStr">
        <is>
          <t>ARL V39</t>
        </is>
      </c>
      <c r="D154" s="2" t="inlineStr">
        <is>
          <t>À distinguer si plusieurs variantes</t>
        </is>
      </c>
      <c r="E154" s="2" t="inlineStr">
        <is>
          <t>France</t>
        </is>
      </c>
      <c r="F154" s="2" t="inlineStr">
        <is>
          <t>À documenter</t>
        </is>
      </c>
      <c r="G154" s="2" t="inlineStr">
        <is>
          <t>À confirmer</t>
        </is>
      </c>
      <c r="H154" s="2" t="inlineStr">
        <is>
          <t>Chasseurs de chars et canons automoteurs</t>
        </is>
      </c>
      <c r="I154" s="2" t="inlineStr">
        <is>
          <t>À définir</t>
        </is>
      </c>
      <c r="J154" s="2" t="n"/>
      <c r="K154" s="2" t="n"/>
      <c r="L154" s="2" t="n"/>
      <c r="M154" s="2" t="n"/>
      <c r="N154" s="2" t="n"/>
      <c r="O154" s="2" t="n"/>
      <c r="P154" s="2" t="inlineStr">
        <is>
          <t>6 cylindres essence (à confirmer)</t>
        </is>
      </c>
      <c r="Q154" s="2" t="n"/>
      <c r="R154" s="2" t="n"/>
      <c r="S154" s="2" t="inlineStr">
        <is>
          <t>À confirmer</t>
        </is>
      </c>
      <c r="T154" s="2" t="n"/>
      <c r="U154" s="2" t="n"/>
      <c r="V154" s="2" t="n"/>
      <c r="W154" s="2" t="n"/>
      <c r="X154" s="2" t="inlineStr">
        <is>
          <t>À documenter</t>
        </is>
      </c>
      <c r="Y154" s="2" t="inlineStr">
        <is>
          <t>À documenter</t>
        </is>
      </c>
      <c r="Z154" s="2" t="inlineStr">
        <is>
          <t>À documenter</t>
        </is>
      </c>
      <c r="AA154" s="2" t="inlineStr">
        <is>
          <t>À documenter</t>
        </is>
      </c>
      <c r="AB154" s="2" t="inlineStr">
        <is>
          <t>À documenter</t>
        </is>
      </c>
      <c r="AC154" s="2" t="inlineStr">
        <is>
          <t>Canon antichar de 47 mm SA 35</t>
        </is>
      </c>
      <c r="AD154" s="2" t="inlineStr">
        <is>
          <t>À documenter</t>
        </is>
      </c>
      <c r="AE154" s="2" t="inlineStr">
        <is>
          <t>À documenter</t>
        </is>
      </c>
      <c r="AF154" s="2" t="inlineStr">
        <is>
          <t>À définir</t>
        </is>
      </c>
      <c r="AG154" s="2" t="inlineStr">
        <is>
          <t>À définir</t>
        </is>
      </c>
      <c r="AH154" s="2" t="inlineStr">
        <is>
          <t>Réparation d’origine si véhicule complet ; démontage si incomplet</t>
        </is>
      </c>
      <c r="AI154" s="2" t="inlineStr">
        <is>
          <t>À documenter</t>
        </is>
      </c>
      <c r="AJ154" s="2" t="inlineStr">
        <is>
          <t>À définir séparément des compatibilités historiques</t>
        </is>
      </c>
      <c r="AK154" s="2" t="inlineStr">
        <is>
          <t>À documenter</t>
        </is>
      </c>
      <c r="AL154" s="2" t="inlineStr">
        <is>
          <t>À rechercher / voir sources historiques</t>
        </is>
      </c>
      <c r="AM154" s="2" t="inlineStr">
        <is>
          <t>https://tanks-encyclopedia.com/ww2/france/arl-v39/</t>
        </is>
      </c>
      <c r="AN154" s="2" t="inlineStr">
        <is>
          <t>Source de niveau variable ; contrôle par variante nécessaire</t>
        </is>
      </c>
      <c r="AO154" s="2" t="inlineStr">
        <is>
          <t>Non renseigné</t>
        </is>
      </c>
      <c r="AP154" s="2" t="inlineStr">
        <is>
          <t>Faible</t>
        </is>
      </c>
      <c r="AQ154" s="2" t="inlineStr">
        <is>
          <t>Partiel</t>
        </is>
      </c>
      <c r="AR154" s="2" t="inlineStr">
        <is>
          <t>Partiel — fiche à compléter</t>
        </is>
      </c>
      <c r="AS154" s="2" t="inlineStr">
        <is>
          <t>P2/P3</t>
        </is>
      </c>
      <c r="AT154" s="2" t="inlineStr">
        <is>
          <t>Prototype/production très limitée ; bon candidat rare.</t>
        </is>
      </c>
      <c r="AU154" s="2" t="inlineStr">
        <is>
          <t>À intégrer après validation du prototype</t>
        </is>
      </c>
      <c r="AV154" s="2" t="inlineStr">
        <is>
          <t>ARL V39 : véhicule de catégorie « Chasseurs de chars et canons automoteurs », d'origine France. Motorisation recensée : 6 cylindres essence (à confirmer). Variante historique à vérifier avant validation définitive.</t>
        </is>
      </c>
    </row>
    <row r="155" ht="60" customHeight="1">
      <c r="A155" s="2" t="inlineStr">
        <is>
          <t>VEH-154</t>
        </is>
      </c>
      <c r="B155" s="2" t="inlineStr">
        <is>
          <t>Chars lourds et prototypes</t>
        </is>
      </c>
      <c r="C155" s="2" t="inlineStr">
        <is>
          <t>FCM F1</t>
        </is>
      </c>
      <c r="D155" s="2" t="inlineStr">
        <is>
          <t>À distinguer si plusieurs variantes</t>
        </is>
      </c>
      <c r="E155" s="2" t="inlineStr">
        <is>
          <t>France</t>
        </is>
      </c>
      <c r="F155" s="2" t="inlineStr">
        <is>
          <t>À documenter</t>
        </is>
      </c>
      <c r="G155" s="2" t="inlineStr">
        <is>
          <t>À confirmer</t>
        </is>
      </c>
      <c r="H155" s="2" t="inlineStr">
        <is>
          <t>Chars lourds et prototypes</t>
        </is>
      </c>
      <c r="I155" s="2" t="inlineStr">
        <is>
          <t>À définir</t>
        </is>
      </c>
      <c r="J155" s="2" t="n"/>
      <c r="K155" s="2" t="n"/>
      <c r="L155" s="2" t="n"/>
      <c r="M155" s="2" t="n"/>
      <c r="N155" s="2" t="n"/>
      <c r="O155" s="2" t="n"/>
      <c r="P155" s="2" t="inlineStr">
        <is>
          <t>2 moteurs prévus, familles exactes à confirmer</t>
        </is>
      </c>
      <c r="Q155" s="2" t="n"/>
      <c r="R155" s="2" t="n"/>
      <c r="S155" s="2" t="inlineStr">
        <is>
          <t>À confirmer</t>
        </is>
      </c>
      <c r="T155" s="2" t="n"/>
      <c r="U155" s="2" t="n"/>
      <c r="V155" s="2" t="n"/>
      <c r="W155" s="2" t="n"/>
      <c r="X155" s="2" t="inlineStr">
        <is>
          <t>À documenter</t>
        </is>
      </c>
      <c r="Y155" s="2" t="inlineStr">
        <is>
          <t>À documenter</t>
        </is>
      </c>
      <c r="Z155" s="2" t="inlineStr">
        <is>
          <t>À documenter</t>
        </is>
      </c>
      <c r="AA155" s="2" t="inlineStr">
        <is>
          <t>À documenter</t>
        </is>
      </c>
      <c r="AB155" s="2" t="inlineStr">
        <is>
          <t>À documenter</t>
        </is>
      </c>
      <c r="AC155" s="2" t="inlineStr">
        <is>
          <t>Armement prévu sur projet; configuration non stabilisée</t>
        </is>
      </c>
      <c r="AD155" s="2" t="inlineStr">
        <is>
          <t>À documenter</t>
        </is>
      </c>
      <c r="AE155" s="2" t="inlineStr">
        <is>
          <t>À documenter</t>
        </is>
      </c>
      <c r="AF155" s="2" t="inlineStr">
        <is>
          <t>À définir</t>
        </is>
      </c>
      <c r="AG155" s="2" t="inlineStr">
        <is>
          <t>À définir</t>
        </is>
      </c>
      <c r="AH155" s="2" t="inlineStr">
        <is>
          <t>Réparation d’origine si véhicule complet ; démontage si incomplet</t>
        </is>
      </c>
      <c r="AI155" s="2" t="inlineStr">
        <is>
          <t>À documenter</t>
        </is>
      </c>
      <c r="AJ155" s="2" t="inlineStr">
        <is>
          <t>À définir séparément des compatibilités historiques</t>
        </is>
      </c>
      <c r="AK155" s="2" t="inlineStr">
        <is>
          <t>À documenter</t>
        </is>
      </c>
      <c r="AL155" s="2" t="inlineStr">
        <is>
          <t>À rechercher / voir sources historiques</t>
        </is>
      </c>
      <c r="AM155" s="2" t="inlineStr">
        <is>
          <t>https://tanks-encyclopedia.com/ww2/france/fcm-f1/</t>
        </is>
      </c>
      <c r="AN155" s="2" t="inlineStr">
        <is>
          <t>Source de niveau variable ; contrôle par variante nécessaire</t>
        </is>
      </c>
      <c r="AO155" s="2" t="inlineStr">
        <is>
          <t>Non renseigné</t>
        </is>
      </c>
      <c r="AP155" s="2" t="inlineStr">
        <is>
          <t>Faible</t>
        </is>
      </c>
      <c r="AQ155" s="2" t="inlineStr">
        <is>
          <t>Projet</t>
        </is>
      </c>
      <c r="AR155" s="2" t="inlineStr">
        <is>
          <t>Partiel — fiche à compléter</t>
        </is>
      </c>
      <c r="AS155" s="2" t="inlineStr">
        <is>
          <t>P2/P3</t>
        </is>
      </c>
      <c r="AT155" s="2" t="inlineStr">
        <is>
          <t>Projet de char super-lourd jamais produit en série.</t>
        </is>
      </c>
      <c r="AU155" s="2" t="inlineStr">
        <is>
          <t>À intégrer après validation du prototype</t>
        </is>
      </c>
      <c r="AV155" s="2" t="inlineStr">
        <is>
          <t>FCM F1 : véhicule de catégorie « Chars lourds et prototypes », d'origine France. Motorisation recensée : 2 moteurs prévus, familles exactes à confirmer. Variante historique à vérifier avant validation définitive.</t>
        </is>
      </c>
    </row>
    <row r="156" ht="60" customHeight="1">
      <c r="A156" s="2" t="inlineStr">
        <is>
          <t>VEH-155</t>
        </is>
      </c>
      <c r="B156" s="2" t="inlineStr">
        <is>
          <t>Chars légers et chars anciens</t>
        </is>
      </c>
      <c r="C156" s="2" t="inlineStr">
        <is>
          <t>Panzer I Ausf. A</t>
        </is>
      </c>
      <c r="D156" s="2" t="inlineStr">
        <is>
          <t>À distinguer si plusieurs variantes</t>
        </is>
      </c>
      <c r="E156" s="2" t="inlineStr">
        <is>
          <t>Allemagne</t>
        </is>
      </c>
      <c r="F156" s="2" t="inlineStr">
        <is>
          <t>À documenter</t>
        </is>
      </c>
      <c r="G156" s="2" t="inlineStr">
        <is>
          <t>À confirmer</t>
        </is>
      </c>
      <c r="H156" s="2" t="inlineStr">
        <is>
          <t>Chars légers et chars anciens</t>
        </is>
      </c>
      <c r="I156" s="2" t="inlineStr">
        <is>
          <t>À définir</t>
        </is>
      </c>
      <c r="J156" s="2" t="n"/>
      <c r="K156" s="2" t="n"/>
      <c r="L156" s="2" t="n"/>
      <c r="M156" s="2" t="n"/>
      <c r="N156" s="2" t="n"/>
      <c r="O156" s="2" t="n"/>
      <c r="P156" s="2" t="inlineStr">
        <is>
          <t>4 cylindres essence Krupp M305</t>
        </is>
      </c>
      <c r="Q156" s="2" t="n"/>
      <c r="R156" s="2" t="n"/>
      <c r="S156" s="2" t="inlineStr">
        <is>
          <t>À confirmer</t>
        </is>
      </c>
      <c r="T156" s="2" t="n"/>
      <c r="U156" s="2" t="n"/>
      <c r="V156" s="2" t="n"/>
      <c r="W156" s="2" t="n"/>
      <c r="X156" s="2" t="inlineStr">
        <is>
          <t>À documenter</t>
        </is>
      </c>
      <c r="Y156" s="2" t="inlineStr">
        <is>
          <t>À documenter</t>
        </is>
      </c>
      <c r="Z156" s="2" t="inlineStr">
        <is>
          <t>À documenter</t>
        </is>
      </c>
      <c r="AA156" s="2" t="inlineStr">
        <is>
          <t>À documenter</t>
        </is>
      </c>
      <c r="AB156" s="2" t="inlineStr">
        <is>
          <t>À documenter</t>
        </is>
      </c>
      <c r="AC156" s="2" t="inlineStr">
        <is>
          <t>2 mitrailleuses MG 13 de 7,92 mm</t>
        </is>
      </c>
      <c r="AD156" s="2" t="inlineStr">
        <is>
          <t>À documenter</t>
        </is>
      </c>
      <c r="AE156" s="2" t="inlineStr">
        <is>
          <t>À documenter</t>
        </is>
      </c>
      <c r="AF156" s="2" t="inlineStr">
        <is>
          <t>À définir</t>
        </is>
      </c>
      <c r="AG156" s="2" t="inlineStr">
        <is>
          <t>À définir</t>
        </is>
      </c>
      <c r="AH156" s="2" t="inlineStr">
        <is>
          <t>Réparation d’origine si véhicule complet ; démontage si incomplet</t>
        </is>
      </c>
      <c r="AI156" s="2" t="inlineStr">
        <is>
          <t>À documenter</t>
        </is>
      </c>
      <c r="AJ156" s="2" t="inlineStr">
        <is>
          <t>À définir séparément des compatibilités historiques</t>
        </is>
      </c>
      <c r="AK156" s="2" t="inlineStr">
        <is>
          <t>À documenter</t>
        </is>
      </c>
      <c r="AL156" s="2" t="inlineStr">
        <is>
          <t>À rechercher / voir sources historiques</t>
        </is>
      </c>
      <c r="AM156" s="2" t="inlineStr">
        <is>
          <t>https://tanks-encyclopedia.com/ww2/germany/panzer-i/</t>
        </is>
      </c>
      <c r="AN156" s="2" t="inlineStr">
        <is>
          <t>Source de niveau variable ; contrôle par variante nécessaire</t>
        </is>
      </c>
      <c r="AO156" s="2" t="inlineStr">
        <is>
          <t>Non renseigné</t>
        </is>
      </c>
      <c r="AP156" s="2" t="inlineStr">
        <is>
          <t>Faible</t>
        </is>
      </c>
      <c r="AQ156" s="2" t="inlineStr">
        <is>
          <t>Élevé</t>
        </is>
      </c>
      <c r="AR156" s="2" t="inlineStr">
        <is>
          <t>Partiel — fiche à compléter</t>
        </is>
      </c>
      <c r="AS156" s="2" t="inlineStr">
        <is>
          <t>P2/P3</t>
        </is>
      </c>
      <c r="AT156" s="2" t="inlineStr">
        <is>
          <t>Petit moteur essence ; faible charge utile.</t>
        </is>
      </c>
      <c r="AU156" s="2" t="inlineStr">
        <is>
          <t>À intégrer après validation du prototype</t>
        </is>
      </c>
      <c r="AV156" s="2" t="inlineStr">
        <is>
          <t>Panzer I Ausf. A : véhicule de catégorie « Chars légers et chars anciens », d'origine Allemagne. Motorisation recensée : 4 cylindres essence Krupp M305. Fiche de catalogue à compléter avec le rôle tactique et les caractéristiques de jeu.</t>
        </is>
      </c>
    </row>
    <row r="157" ht="60" customHeight="1">
      <c r="A157" s="2" t="inlineStr">
        <is>
          <t>VEH-156</t>
        </is>
      </c>
      <c r="B157" s="2" t="inlineStr">
        <is>
          <t>Chars légers et chars anciens</t>
        </is>
      </c>
      <c r="C157" s="2" t="inlineStr">
        <is>
          <t>Panzer I Ausf. B</t>
        </is>
      </c>
      <c r="D157" s="2" t="inlineStr">
        <is>
          <t>À distinguer si plusieurs variantes</t>
        </is>
      </c>
      <c r="E157" s="2" t="inlineStr">
        <is>
          <t>Allemagne</t>
        </is>
      </c>
      <c r="F157" s="2" t="inlineStr">
        <is>
          <t>À documenter</t>
        </is>
      </c>
      <c r="G157" s="2" t="inlineStr">
        <is>
          <t>À confirmer</t>
        </is>
      </c>
      <c r="H157" s="2" t="inlineStr">
        <is>
          <t>Chars légers et chars anciens</t>
        </is>
      </c>
      <c r="I157" s="2" t="inlineStr">
        <is>
          <t>À définir</t>
        </is>
      </c>
      <c r="J157" s="2" t="n"/>
      <c r="K157" s="2" t="n"/>
      <c r="L157" s="2" t="n"/>
      <c r="M157" s="2" t="n"/>
      <c r="N157" s="2" t="n"/>
      <c r="O157" s="2" t="n"/>
      <c r="P157" s="2" t="inlineStr">
        <is>
          <t>6 cylindres essence Maybach NL38TR</t>
        </is>
      </c>
      <c r="Q157" s="2" t="n"/>
      <c r="R157" s="2" t="n"/>
      <c r="S157" s="2" t="inlineStr">
        <is>
          <t>À confirmer</t>
        </is>
      </c>
      <c r="T157" s="2" t="n"/>
      <c r="U157" s="2" t="n"/>
      <c r="V157" s="2" t="n"/>
      <c r="W157" s="2" t="n"/>
      <c r="X157" s="2" t="inlineStr">
        <is>
          <t>À documenter</t>
        </is>
      </c>
      <c r="Y157" s="2" t="inlineStr">
        <is>
          <t>À documenter</t>
        </is>
      </c>
      <c r="Z157" s="2" t="inlineStr">
        <is>
          <t>À documenter</t>
        </is>
      </c>
      <c r="AA157" s="2" t="inlineStr">
        <is>
          <t>À documenter</t>
        </is>
      </c>
      <c r="AB157" s="2" t="inlineStr">
        <is>
          <t>À documenter</t>
        </is>
      </c>
      <c r="AC157" s="2" t="inlineStr">
        <is>
          <t>2 mitrailleuses MG 13 de 7,92 mm</t>
        </is>
      </c>
      <c r="AD157" s="2" t="inlineStr">
        <is>
          <t>À documenter</t>
        </is>
      </c>
      <c r="AE157" s="2" t="inlineStr">
        <is>
          <t>À documenter</t>
        </is>
      </c>
      <c r="AF157" s="2" t="inlineStr">
        <is>
          <t>À définir</t>
        </is>
      </c>
      <c r="AG157" s="2" t="inlineStr">
        <is>
          <t>À définir</t>
        </is>
      </c>
      <c r="AH157" s="2" t="inlineStr">
        <is>
          <t>Réparation d’origine si véhicule complet ; démontage si incomplet</t>
        </is>
      </c>
      <c r="AI157" s="2" t="inlineStr">
        <is>
          <t>À documenter</t>
        </is>
      </c>
      <c r="AJ157" s="2" t="inlineStr">
        <is>
          <t>À définir séparément des compatibilités historiques</t>
        </is>
      </c>
      <c r="AK157" s="2" t="inlineStr">
        <is>
          <t>À documenter</t>
        </is>
      </c>
      <c r="AL157" s="2" t="inlineStr">
        <is>
          <t>À rechercher / voir sources historiques</t>
        </is>
      </c>
      <c r="AM157" s="2" t="inlineStr">
        <is>
          <t>https://tanks-encyclopedia.com/ww2/germany/panzer-i/</t>
        </is>
      </c>
      <c r="AN157" s="2" t="inlineStr">
        <is>
          <t>Source de niveau variable ; contrôle par variante nécessaire</t>
        </is>
      </c>
      <c r="AO157" s="2" t="inlineStr">
        <is>
          <t>Non renseigné</t>
        </is>
      </c>
      <c r="AP157" s="2" t="inlineStr">
        <is>
          <t>Faible</t>
        </is>
      </c>
      <c r="AQ157" s="2" t="inlineStr">
        <is>
          <t>Élevé</t>
        </is>
      </c>
      <c r="AR157" s="2" t="inlineStr">
        <is>
          <t>Partiel — fiche à compléter</t>
        </is>
      </c>
      <c r="AS157" s="2" t="inlineStr">
        <is>
          <t>P2/P3</t>
        </is>
      </c>
      <c r="AT157" s="2" t="inlineStr">
        <is>
          <t>Moteur plus long que celui de l'Ausf. A ; famille distincte.</t>
        </is>
      </c>
      <c r="AU157" s="2" t="inlineStr">
        <is>
          <t>À intégrer après validation du prototype</t>
        </is>
      </c>
      <c r="AV157" s="2" t="inlineStr">
        <is>
          <t>Panzer I Ausf. B : véhicule de catégorie « Chars légers et chars anciens », d'origine Allemagne. Motorisation recensée : 6 cylindres essence Maybach NL38TR. Fiche de catalogue à compléter avec le rôle tactique et les caractéristiques de jeu.</t>
        </is>
      </c>
    </row>
    <row r="158" ht="60" customHeight="1">
      <c r="A158" s="2" t="inlineStr">
        <is>
          <t>VEH-157</t>
        </is>
      </c>
      <c r="B158" s="2" t="inlineStr">
        <is>
          <t>Chars légers et chars anciens</t>
        </is>
      </c>
      <c r="C158" s="2" t="inlineStr">
        <is>
          <t>Panzer II Ausf. A–C</t>
        </is>
      </c>
      <c r="D158" s="2" t="inlineStr">
        <is>
          <t>À distinguer si plusieurs variantes</t>
        </is>
      </c>
      <c r="E158" s="2" t="inlineStr">
        <is>
          <t>Allemagne</t>
        </is>
      </c>
      <c r="F158" s="2" t="inlineStr">
        <is>
          <t>À documenter</t>
        </is>
      </c>
      <c r="G158" s="2" t="inlineStr">
        <is>
          <t>À confirmer</t>
        </is>
      </c>
      <c r="H158" s="2" t="inlineStr">
        <is>
          <t>Chars légers et chars anciens</t>
        </is>
      </c>
      <c r="I158" s="2" t="inlineStr">
        <is>
          <t>À définir</t>
        </is>
      </c>
      <c r="J158" s="2" t="n"/>
      <c r="K158" s="2" t="n"/>
      <c r="L158" s="2" t="n"/>
      <c r="M158" s="2" t="n"/>
      <c r="N158" s="2" t="n"/>
      <c r="O158" s="2" t="n"/>
      <c r="P158" s="2" t="inlineStr">
        <is>
          <t>6 cylindres essence Maybach HL57 TR</t>
        </is>
      </c>
      <c r="Q158" s="2" t="n"/>
      <c r="R158" s="2" t="n"/>
      <c r="S158" s="2" t="inlineStr">
        <is>
          <t>À confirmer</t>
        </is>
      </c>
      <c r="T158" s="2" t="n"/>
      <c r="U158" s="2" t="n"/>
      <c r="V158" s="2" t="n"/>
      <c r="W158" s="2" t="n"/>
      <c r="X158" s="2" t="inlineStr">
        <is>
          <t>À documenter</t>
        </is>
      </c>
      <c r="Y158" s="2" t="inlineStr">
        <is>
          <t>À documenter</t>
        </is>
      </c>
      <c r="Z158" s="2" t="inlineStr">
        <is>
          <t>À documenter</t>
        </is>
      </c>
      <c r="AA158" s="2" t="inlineStr">
        <is>
          <t>À documenter</t>
        </is>
      </c>
      <c r="AB158" s="2" t="inlineStr">
        <is>
          <t>À documenter</t>
        </is>
      </c>
      <c r="AC158" s="2" t="inlineStr">
        <is>
          <t>2 mitrailleuses MG 13 de 7,92 mm</t>
        </is>
      </c>
      <c r="AD158" s="2" t="inlineStr">
        <is>
          <t>À documenter</t>
        </is>
      </c>
      <c r="AE158" s="2" t="inlineStr">
        <is>
          <t>À documenter</t>
        </is>
      </c>
      <c r="AF158" s="2" t="inlineStr">
        <is>
          <t>À définir</t>
        </is>
      </c>
      <c r="AG158" s="2" t="inlineStr">
        <is>
          <t>À définir</t>
        </is>
      </c>
      <c r="AH158" s="2" t="inlineStr">
        <is>
          <t>Réparation d’origine si véhicule complet ; démontage si incomplet</t>
        </is>
      </c>
      <c r="AI158" s="2" t="inlineStr">
        <is>
          <t>À documenter</t>
        </is>
      </c>
      <c r="AJ158" s="2" t="inlineStr">
        <is>
          <t>À définir séparément des compatibilités historiques</t>
        </is>
      </c>
      <c r="AK158" s="2" t="inlineStr">
        <is>
          <t>À documenter</t>
        </is>
      </c>
      <c r="AL158" s="2" t="inlineStr">
        <is>
          <t>À rechercher / voir sources historiques</t>
        </is>
      </c>
      <c r="AM158" s="2" t="inlineStr">
        <is>
          <t>https://tanks-encyclopedia.com/ww2/germany/panzer-ii/</t>
        </is>
      </c>
      <c r="AN158" s="2" t="inlineStr">
        <is>
          <t>Source de niveau variable ; contrôle par variante nécessaire</t>
        </is>
      </c>
      <c r="AO158" s="2" t="inlineStr">
        <is>
          <t>Non renseigné</t>
        </is>
      </c>
      <c r="AP158" s="2" t="inlineStr">
        <is>
          <t>Faible</t>
        </is>
      </c>
      <c r="AQ158" s="2" t="inlineStr">
        <is>
          <t>Élevé</t>
        </is>
      </c>
      <c r="AR158" s="2" t="inlineStr">
        <is>
          <t>Partiel — fiche à compléter</t>
        </is>
      </c>
      <c r="AS158" s="2" t="inlineStr">
        <is>
          <t>P2/P3</t>
        </is>
      </c>
      <c r="AT158" s="2" t="inlineStr">
        <is>
          <t>Famille moteur allemande à refroidissement liquide.</t>
        </is>
      </c>
      <c r="AU158" s="2" t="inlineStr">
        <is>
          <t>À intégrer après validation du prototype</t>
        </is>
      </c>
      <c r="AV158" s="2" t="inlineStr">
        <is>
          <t>Panzer II Ausf. A–C : véhicule de catégorie « Chars légers et chars anciens », d'origine Allemagne. Motorisation recensée : 6 cylindres essence Maybach HL57 TR. Fiche de catalogue à compléter avec le rôle tactique et les caractéristiques de jeu.</t>
        </is>
      </c>
    </row>
    <row r="159" ht="60" customHeight="1">
      <c r="A159" s="2" t="inlineStr">
        <is>
          <t>VEH-158</t>
        </is>
      </c>
      <c r="B159" s="2" t="inlineStr">
        <is>
          <t>Chars légers et chars anciens</t>
        </is>
      </c>
      <c r="C159" s="2" t="inlineStr">
        <is>
          <t>Panzer II Ausf. F</t>
        </is>
      </c>
      <c r="D159" s="2" t="inlineStr">
        <is>
          <t>À distinguer si plusieurs variantes</t>
        </is>
      </c>
      <c r="E159" s="2" t="inlineStr">
        <is>
          <t>Allemagne</t>
        </is>
      </c>
      <c r="F159" s="2" t="inlineStr">
        <is>
          <t>À documenter</t>
        </is>
      </c>
      <c r="G159" s="2" t="inlineStr">
        <is>
          <t>À confirmer</t>
        </is>
      </c>
      <c r="H159" s="2" t="inlineStr">
        <is>
          <t>Chars légers et chars anciens</t>
        </is>
      </c>
      <c r="I159" s="2" t="inlineStr">
        <is>
          <t>À définir</t>
        </is>
      </c>
      <c r="J159" s="2" t="n"/>
      <c r="K159" s="2" t="n"/>
      <c r="L159" s="2" t="n"/>
      <c r="M159" s="2" t="n"/>
      <c r="N159" s="2" t="n"/>
      <c r="O159" s="2" t="n"/>
      <c r="P159" s="2" t="inlineStr">
        <is>
          <t>6 cylindres essence Maybach HL62 TRM</t>
        </is>
      </c>
      <c r="Q159" s="2" t="n"/>
      <c r="R159" s="2" t="n"/>
      <c r="S159" s="2" t="inlineStr">
        <is>
          <t>À confirmer</t>
        </is>
      </c>
      <c r="T159" s="2" t="n"/>
      <c r="U159" s="2" t="n"/>
      <c r="V159" s="2" t="n"/>
      <c r="W159" s="2" t="n"/>
      <c r="X159" s="2" t="inlineStr">
        <is>
          <t>À documenter</t>
        </is>
      </c>
      <c r="Y159" s="2" t="inlineStr">
        <is>
          <t>À documenter</t>
        </is>
      </c>
      <c r="Z159" s="2" t="inlineStr">
        <is>
          <t>À documenter</t>
        </is>
      </c>
      <c r="AA159" s="2" t="inlineStr">
        <is>
          <t>À documenter</t>
        </is>
      </c>
      <c r="AB159" s="2" t="inlineStr">
        <is>
          <t>À documenter</t>
        </is>
      </c>
      <c r="AC159" s="2" t="inlineStr">
        <is>
          <t>2 mitrailleuses MG 13 de 7,92 mm</t>
        </is>
      </c>
      <c r="AD159" s="2" t="inlineStr">
        <is>
          <t>À documenter</t>
        </is>
      </c>
      <c r="AE159" s="2" t="inlineStr">
        <is>
          <t>À documenter</t>
        </is>
      </c>
      <c r="AF159" s="2" t="inlineStr">
        <is>
          <t>À définir</t>
        </is>
      </c>
      <c r="AG159" s="2" t="inlineStr">
        <is>
          <t>À définir</t>
        </is>
      </c>
      <c r="AH159" s="2" t="inlineStr">
        <is>
          <t>Réparation d’origine si véhicule complet ; démontage si incomplet</t>
        </is>
      </c>
      <c r="AI159" s="2" t="inlineStr">
        <is>
          <t>À documenter</t>
        </is>
      </c>
      <c r="AJ159" s="2" t="inlineStr">
        <is>
          <t>À définir séparément des compatibilités historiques</t>
        </is>
      </c>
      <c r="AK159" s="2" t="inlineStr">
        <is>
          <t>À documenter</t>
        </is>
      </c>
      <c r="AL159" s="2" t="inlineStr">
        <is>
          <t>À rechercher / voir sources historiques</t>
        </is>
      </c>
      <c r="AM159" s="2" t="inlineStr">
        <is>
          <t>https://tanks-encyclopedia.com/ww2/germany/panzer-ii/</t>
        </is>
      </c>
      <c r="AN159" s="2" t="inlineStr">
        <is>
          <t>Source de niveau variable ; contrôle par variante nécessaire</t>
        </is>
      </c>
      <c r="AO159" s="2" t="inlineStr">
        <is>
          <t>Non renseigné</t>
        </is>
      </c>
      <c r="AP159" s="2" t="inlineStr">
        <is>
          <t>Faible</t>
        </is>
      </c>
      <c r="AQ159" s="2" t="inlineStr">
        <is>
          <t>Élevé</t>
        </is>
      </c>
      <c r="AR159" s="2" t="inlineStr">
        <is>
          <t>Partiel — fiche à compléter</t>
        </is>
      </c>
      <c r="AS159" s="2" t="inlineStr">
        <is>
          <t>P2/P3</t>
        </is>
      </c>
      <c r="AT159" s="2" t="inlineStr">
        <is>
          <t>Variante tardive avec moteur différent des premiers Panzer II.</t>
        </is>
      </c>
      <c r="AU159" s="2" t="inlineStr">
        <is>
          <t>À intégrer après validation du prototype</t>
        </is>
      </c>
      <c r="AV159" s="2" t="inlineStr">
        <is>
          <t>Panzer II Ausf. F : véhicule de catégorie « Chars légers et chars anciens », d'origine Allemagne. Motorisation recensée : 6 cylindres essence Maybach HL62 TRM. Fiche de catalogue à compléter avec le rôle tactique et les caractéristiques de jeu.</t>
        </is>
      </c>
    </row>
    <row r="160" ht="60" customHeight="1">
      <c r="A160" s="2" t="inlineStr">
        <is>
          <t>VEH-159</t>
        </is>
      </c>
      <c r="B160" s="2" t="inlineStr">
        <is>
          <t>Reconnaissance et chars légers</t>
        </is>
      </c>
      <c r="C160" s="2" t="inlineStr">
        <is>
          <t>Panzer II L Luchs</t>
        </is>
      </c>
      <c r="D160" s="2" t="inlineStr">
        <is>
          <t>À distinguer si plusieurs variantes</t>
        </is>
      </c>
      <c r="E160" s="2" t="inlineStr">
        <is>
          <t>Allemagne</t>
        </is>
      </c>
      <c r="F160" s="2" t="inlineStr">
        <is>
          <t>À documenter</t>
        </is>
      </c>
      <c r="G160" s="2" t="inlineStr">
        <is>
          <t>À confirmer</t>
        </is>
      </c>
      <c r="H160" s="2" t="inlineStr">
        <is>
          <t>Reconnaissance et chars légers</t>
        </is>
      </c>
      <c r="I160" s="2" t="inlineStr">
        <is>
          <t>À définir</t>
        </is>
      </c>
      <c r="J160" s="2" t="n"/>
      <c r="K160" s="2" t="n"/>
      <c r="L160" s="2" t="n"/>
      <c r="M160" s="2" t="n"/>
      <c r="N160" s="2" t="n"/>
      <c r="O160" s="2" t="n"/>
      <c r="P160" s="2" t="inlineStr">
        <is>
          <t>6 cylindres essence Maybach HL66P</t>
        </is>
      </c>
      <c r="Q160" s="2" t="n"/>
      <c r="R160" s="2" t="n"/>
      <c r="S160" s="2" t="inlineStr">
        <is>
          <t>À confirmer</t>
        </is>
      </c>
      <c r="T160" s="2" t="n"/>
      <c r="U160" s="2" t="n"/>
      <c r="V160" s="2" t="n"/>
      <c r="W160" s="2" t="n"/>
      <c r="X160" s="2" t="inlineStr">
        <is>
          <t>À documenter</t>
        </is>
      </c>
      <c r="Y160" s="2" t="inlineStr">
        <is>
          <t>À documenter</t>
        </is>
      </c>
      <c r="Z160" s="2" t="inlineStr">
        <is>
          <t>À documenter</t>
        </is>
      </c>
      <c r="AA160" s="2" t="inlineStr">
        <is>
          <t>À documenter</t>
        </is>
      </c>
      <c r="AB160" s="2" t="inlineStr">
        <is>
          <t>À documenter</t>
        </is>
      </c>
      <c r="AC160" s="2" t="inlineStr">
        <is>
          <t>2 mitrailleuses MG 13 de 7,92 mm</t>
        </is>
      </c>
      <c r="AD160" s="2" t="inlineStr">
        <is>
          <t>À documenter</t>
        </is>
      </c>
      <c r="AE160" s="2" t="inlineStr">
        <is>
          <t>À documenter</t>
        </is>
      </c>
      <c r="AF160" s="2" t="inlineStr">
        <is>
          <t>À définir</t>
        </is>
      </c>
      <c r="AG160" s="2" t="inlineStr">
        <is>
          <t>À définir</t>
        </is>
      </c>
      <c r="AH160" s="2" t="inlineStr">
        <is>
          <t>Réparation d’origine si véhicule complet ; démontage si incomplet</t>
        </is>
      </c>
      <c r="AI160" s="2" t="inlineStr">
        <is>
          <t>À documenter</t>
        </is>
      </c>
      <c r="AJ160" s="2" t="inlineStr">
        <is>
          <t>À définir séparément des compatibilités historiques</t>
        </is>
      </c>
      <c r="AK160" s="2" t="inlineStr">
        <is>
          <t>À documenter</t>
        </is>
      </c>
      <c r="AL160" s="2" t="inlineStr">
        <is>
          <t>À rechercher / voir sources historiques</t>
        </is>
      </c>
      <c r="AM160" s="2" t="inlineStr">
        <is>
          <t>https://tanks-encyclopedia.com/ww2/germany/panzer-ii-luchs/</t>
        </is>
      </c>
      <c r="AN160" s="2" t="inlineStr">
        <is>
          <t>Source de niveau variable ; contrôle par variante nécessaire</t>
        </is>
      </c>
      <c r="AO160" s="2" t="inlineStr">
        <is>
          <t>Non renseigné</t>
        </is>
      </c>
      <c r="AP160" s="2" t="inlineStr">
        <is>
          <t>Faible</t>
        </is>
      </c>
      <c r="AQ160" s="2" t="inlineStr">
        <is>
          <t>Élevé</t>
        </is>
      </c>
      <c r="AR160" s="2" t="inlineStr">
        <is>
          <t>Partiel — fiche à compléter</t>
        </is>
      </c>
      <c r="AS160" s="2" t="inlineStr">
        <is>
          <t>P2/P3</t>
        </is>
      </c>
      <c r="AT160" s="2" t="inlineStr">
        <is>
          <t>Char de reconnaissance rapide.</t>
        </is>
      </c>
      <c r="AU160" s="2" t="inlineStr">
        <is>
          <t>À intégrer après validation du prototype</t>
        </is>
      </c>
      <c r="AV160" s="2" t="inlineStr">
        <is>
          <t>Panzer II L Luchs : véhicule de catégorie « Reconnaissance et chars légers », d'origine Allemagne. Motorisation recensée : 6 cylindres essence Maybach HL66P. Fiche de catalogue à compléter avec le rôle tactique et les caractéristiques de jeu.</t>
        </is>
      </c>
    </row>
    <row r="161" ht="60" customHeight="1">
      <c r="A161" s="2" t="inlineStr">
        <is>
          <t>VEH-160</t>
        </is>
      </c>
      <c r="B161" s="2" t="inlineStr">
        <is>
          <t>Chars lourds et prototypes</t>
        </is>
      </c>
      <c r="C161" s="2" t="inlineStr">
        <is>
          <t>Neubaufahrzeug</t>
        </is>
      </c>
      <c r="D161" s="2" t="inlineStr">
        <is>
          <t>À distinguer si plusieurs variantes</t>
        </is>
      </c>
      <c r="E161" s="2" t="inlineStr">
        <is>
          <t>Allemagne</t>
        </is>
      </c>
      <c r="F161" s="2" t="inlineStr">
        <is>
          <t>À documenter</t>
        </is>
      </c>
      <c r="G161" s="2" t="inlineStr">
        <is>
          <t>À confirmer</t>
        </is>
      </c>
      <c r="H161" s="2" t="inlineStr">
        <is>
          <t>Chars lourds et prototypes</t>
        </is>
      </c>
      <c r="I161" s="2" t="inlineStr">
        <is>
          <t>À définir</t>
        </is>
      </c>
      <c r="J161" s="2" t="n"/>
      <c r="K161" s="2" t="n"/>
      <c r="L161" s="2" t="n"/>
      <c r="M161" s="2" t="n"/>
      <c r="N161" s="2" t="n"/>
      <c r="O161" s="2" t="n"/>
      <c r="P161" s="2" t="inlineStr">
        <is>
          <t>2 moteurs 6 cylindres Maybach (configuration exacte à vérifier)</t>
        </is>
      </c>
      <c r="Q161" s="2" t="n"/>
      <c r="R161" s="2" t="n"/>
      <c r="S161" s="2" t="inlineStr">
        <is>
          <t>À confirmer</t>
        </is>
      </c>
      <c r="T161" s="2" t="n"/>
      <c r="U161" s="2" t="n"/>
      <c r="V161" s="2" t="n"/>
      <c r="W161" s="2" t="n"/>
      <c r="X161" s="2" t="inlineStr">
        <is>
          <t>À documenter</t>
        </is>
      </c>
      <c r="Y161" s="2" t="inlineStr">
        <is>
          <t>À documenter</t>
        </is>
      </c>
      <c r="Z161" s="2" t="inlineStr">
        <is>
          <t>À documenter</t>
        </is>
      </c>
      <c r="AA161" s="2" t="inlineStr">
        <is>
          <t>À documenter</t>
        </is>
      </c>
      <c r="AB161" s="2" t="inlineStr">
        <is>
          <t>À documenter</t>
        </is>
      </c>
      <c r="AC161" s="2" t="inlineStr">
        <is>
          <t>Armement historique à déterminer précisément pour ce modèle/sa variante</t>
        </is>
      </c>
      <c r="AD161" s="2" t="inlineStr">
        <is>
          <t>À documenter</t>
        </is>
      </c>
      <c r="AE161" s="2" t="inlineStr">
        <is>
          <t>À documenter</t>
        </is>
      </c>
      <c r="AF161" s="2" t="inlineStr">
        <is>
          <t>À définir</t>
        </is>
      </c>
      <c r="AG161" s="2" t="inlineStr">
        <is>
          <t>À définir</t>
        </is>
      </c>
      <c r="AH161" s="2" t="inlineStr">
        <is>
          <t>Réparation d’origine si véhicule complet ; démontage si incomplet</t>
        </is>
      </c>
      <c r="AI161" s="2" t="inlineStr">
        <is>
          <t>À documenter</t>
        </is>
      </c>
      <c r="AJ161" s="2" t="inlineStr">
        <is>
          <t>À définir séparément des compatibilités historiques</t>
        </is>
      </c>
      <c r="AK161" s="2" t="inlineStr">
        <is>
          <t>À documenter</t>
        </is>
      </c>
      <c r="AL161" s="2" t="inlineStr">
        <is>
          <t>À rechercher / voir sources historiques</t>
        </is>
      </c>
      <c r="AM161" s="2" t="inlineStr">
        <is>
          <t>https://tanks-encyclopedia.com/ww2/germany/neubaufahrzeug/</t>
        </is>
      </c>
      <c r="AN161" s="2" t="inlineStr">
        <is>
          <t>Source de niveau variable ; contrôle par variante nécessaire</t>
        </is>
      </c>
      <c r="AO161" s="2" t="inlineStr">
        <is>
          <t>Non renseigné</t>
        </is>
      </c>
      <c r="AP161" s="2" t="inlineStr">
        <is>
          <t>Faible</t>
        </is>
      </c>
      <c r="AQ161" s="2" t="inlineStr">
        <is>
          <t>À vérifier</t>
        </is>
      </c>
      <c r="AR161" s="2" t="inlineStr">
        <is>
          <t>Partiel — fiche à compléter</t>
        </is>
      </c>
      <c r="AS161" s="2" t="inlineStr">
        <is>
          <t>P2/P3</t>
        </is>
      </c>
      <c r="AT161" s="2" t="inlineStr">
        <is>
          <t>Prototype lourd multimoteur ; prototype rare.</t>
        </is>
      </c>
      <c r="AU161" s="2" t="inlineStr">
        <is>
          <t>À intégrer après validation du prototype</t>
        </is>
      </c>
      <c r="AV161" s="2" t="inlineStr">
        <is>
          <t>Neubaufahrzeug : véhicule de catégorie « Chars lourds et prototypes », d'origine Allemagne. Motorisation recensée : 2 moteurs 6 cylindres Maybach (configuration exacte à vérifier). Variante historique à vérifier avant validation définitive.</t>
        </is>
      </c>
    </row>
    <row r="162" ht="60" customHeight="1">
      <c r="A162" s="2" t="inlineStr">
        <is>
          <t>VEH-161</t>
        </is>
      </c>
      <c r="B162" s="2" t="inlineStr">
        <is>
          <t>Chars moyens</t>
        </is>
      </c>
      <c r="C162" s="2" t="inlineStr">
        <is>
          <t>Panzer III Ausf. E–G</t>
        </is>
      </c>
      <c r="D162" s="2" t="inlineStr">
        <is>
          <t>À distinguer si plusieurs variantes</t>
        </is>
      </c>
      <c r="E162" s="2" t="inlineStr">
        <is>
          <t>Allemagne</t>
        </is>
      </c>
      <c r="F162" s="2" t="inlineStr">
        <is>
          <t>À documenter</t>
        </is>
      </c>
      <c r="G162" s="2" t="inlineStr">
        <is>
          <t>À confirmer</t>
        </is>
      </c>
      <c r="H162" s="2" t="inlineStr">
        <is>
          <t>Chars moyens</t>
        </is>
      </c>
      <c r="I162" s="2" t="inlineStr">
        <is>
          <t>À définir</t>
        </is>
      </c>
      <c r="J162" s="2" t="n"/>
      <c r="K162" s="2" t="n"/>
      <c r="L162" s="2" t="n"/>
      <c r="M162" s="2" t="n"/>
      <c r="N162" s="2" t="n"/>
      <c r="O162" s="2" t="n"/>
      <c r="P162" s="2" t="inlineStr">
        <is>
          <t>12 cylindres en V essence Maybach HL120 (selon variantes tardives; early versions à vérifier)</t>
        </is>
      </c>
      <c r="Q162" s="2" t="n"/>
      <c r="R162" s="2" t="n"/>
      <c r="S162" s="2" t="inlineStr">
        <is>
          <t>À confirmer</t>
        </is>
      </c>
      <c r="T162" s="2" t="n"/>
      <c r="U162" s="2" t="n"/>
      <c r="V162" s="2" t="n"/>
      <c r="W162" s="2" t="n"/>
      <c r="X162" s="2" t="inlineStr">
        <is>
          <t>À documenter</t>
        </is>
      </c>
      <c r="Y162" s="2" t="inlineStr">
        <is>
          <t>À documenter</t>
        </is>
      </c>
      <c r="Z162" s="2" t="inlineStr">
        <is>
          <t>À documenter</t>
        </is>
      </c>
      <c r="AA162" s="2" t="inlineStr">
        <is>
          <t>À documenter</t>
        </is>
      </c>
      <c r="AB162" s="2" t="inlineStr">
        <is>
          <t>À documenter</t>
        </is>
      </c>
      <c r="AC162" s="2" t="inlineStr">
        <is>
          <t>2 mitrailleuses MG 13 de 7,92 mm</t>
        </is>
      </c>
      <c r="AD162" s="2" t="inlineStr">
        <is>
          <t>À documenter</t>
        </is>
      </c>
      <c r="AE162" s="2" t="inlineStr">
        <is>
          <t>À documenter</t>
        </is>
      </c>
      <c r="AF162" s="2" t="inlineStr">
        <is>
          <t>À définir</t>
        </is>
      </c>
      <c r="AG162" s="2" t="inlineStr">
        <is>
          <t>À définir</t>
        </is>
      </c>
      <c r="AH162" s="2" t="inlineStr">
        <is>
          <t>Réparation d’origine si véhicule complet ; démontage si incomplet</t>
        </is>
      </c>
      <c r="AI162" s="2" t="inlineStr">
        <is>
          <t>À documenter</t>
        </is>
      </c>
      <c r="AJ162" s="2" t="inlineStr">
        <is>
          <t>À définir séparément des compatibilités historiques</t>
        </is>
      </c>
      <c r="AK162" s="2" t="inlineStr">
        <is>
          <t>À documenter</t>
        </is>
      </c>
      <c r="AL162" s="2" t="inlineStr">
        <is>
          <t>À rechercher / voir sources historiques</t>
        </is>
      </c>
      <c r="AM162" s="2" t="inlineStr">
        <is>
          <t>https://tanks-encyclopedia.com/ww2/germany/panzer-iii/</t>
        </is>
      </c>
      <c r="AN162" s="2" t="inlineStr">
        <is>
          <t>Source de niveau variable ; contrôle par variante nécessaire</t>
        </is>
      </c>
      <c r="AO162" s="2" t="inlineStr">
        <is>
          <t>Non renseigné</t>
        </is>
      </c>
      <c r="AP162" s="2" t="inlineStr">
        <is>
          <t>Faible</t>
        </is>
      </c>
      <c r="AQ162" s="2" t="inlineStr">
        <is>
          <t>Élevé</t>
        </is>
      </c>
      <c r="AR162" s="2" t="inlineStr">
        <is>
          <t>Partiel — fiche à compléter</t>
        </is>
      </c>
      <c r="AS162" s="2" t="inlineStr">
        <is>
          <t>P2/P3</t>
        </is>
      </c>
      <c r="AT162" s="2" t="inlineStr">
        <is>
          <t>Séparer les premières motorisations des versions les plus répandues.</t>
        </is>
      </c>
      <c r="AU162" s="2" t="inlineStr">
        <is>
          <t>À intégrer après validation du prototype</t>
        </is>
      </c>
      <c r="AV162" s="2" t="inlineStr">
        <is>
          <t>Panzer III Ausf. E–G : véhicule de catégorie « Chars moyens », d'origine Allemagne. Motorisation recensée : 12 cylindres en V essence Maybach HL120 (selon variantes tardives. Variante historique à vérifier avant validation définitive.</t>
        </is>
      </c>
    </row>
    <row r="163" ht="60" customHeight="1">
      <c r="A163" s="2" t="inlineStr">
        <is>
          <t>VEH-162</t>
        </is>
      </c>
      <c r="B163" s="2" t="inlineStr">
        <is>
          <t>Chars moyens</t>
        </is>
      </c>
      <c r="C163" s="2" t="inlineStr">
        <is>
          <t>Panzer III Ausf. J–N</t>
        </is>
      </c>
      <c r="D163" s="2" t="inlineStr">
        <is>
          <t>À distinguer si plusieurs variantes</t>
        </is>
      </c>
      <c r="E163" s="2" t="inlineStr">
        <is>
          <t>Allemagne</t>
        </is>
      </c>
      <c r="F163" s="2" t="inlineStr">
        <is>
          <t>À documenter</t>
        </is>
      </c>
      <c r="G163" s="2" t="inlineStr">
        <is>
          <t>À confirmer</t>
        </is>
      </c>
      <c r="H163" s="2" t="inlineStr">
        <is>
          <t>Chars moyens</t>
        </is>
      </c>
      <c r="I163" s="2" t="inlineStr">
        <is>
          <t>À définir</t>
        </is>
      </c>
      <c r="J163" s="2" t="n"/>
      <c r="K163" s="2" t="n"/>
      <c r="L163" s="2" t="n"/>
      <c r="M163" s="2" t="n"/>
      <c r="N163" s="2" t="n"/>
      <c r="O163" s="2" t="n"/>
      <c r="P163" s="2" t="inlineStr">
        <is>
          <t>V12 essence Maybach HL120 TRM</t>
        </is>
      </c>
      <c r="Q163" s="2" t="n"/>
      <c r="R163" s="2" t="n"/>
      <c r="S163" s="2" t="inlineStr">
        <is>
          <t>À confirmer</t>
        </is>
      </c>
      <c r="T163" s="2" t="n"/>
      <c r="U163" s="2" t="n"/>
      <c r="V163" s="2" t="n"/>
      <c r="W163" s="2" t="n"/>
      <c r="X163" s="2" t="inlineStr">
        <is>
          <t>À documenter</t>
        </is>
      </c>
      <c r="Y163" s="2" t="inlineStr">
        <is>
          <t>À documenter</t>
        </is>
      </c>
      <c r="Z163" s="2" t="inlineStr">
        <is>
          <t>À documenter</t>
        </is>
      </c>
      <c r="AA163" s="2" t="inlineStr">
        <is>
          <t>À documenter</t>
        </is>
      </c>
      <c r="AB163" s="2" t="inlineStr">
        <is>
          <t>À documenter</t>
        </is>
      </c>
      <c r="AC163" s="2" t="inlineStr">
        <is>
          <t>2 mitrailleuses MG 13 de 7,92 mm</t>
        </is>
      </c>
      <c r="AD163" s="2" t="inlineStr">
        <is>
          <t>À documenter</t>
        </is>
      </c>
      <c r="AE163" s="2" t="inlineStr">
        <is>
          <t>À documenter</t>
        </is>
      </c>
      <c r="AF163" s="2" t="inlineStr">
        <is>
          <t>À définir</t>
        </is>
      </c>
      <c r="AG163" s="2" t="inlineStr">
        <is>
          <t>À définir</t>
        </is>
      </c>
      <c r="AH163" s="2" t="inlineStr">
        <is>
          <t>Réparation d’origine si véhicule complet ; démontage si incomplet</t>
        </is>
      </c>
      <c r="AI163" s="2" t="inlineStr">
        <is>
          <t>À documenter</t>
        </is>
      </c>
      <c r="AJ163" s="2" t="inlineStr">
        <is>
          <t>À définir séparément des compatibilités historiques</t>
        </is>
      </c>
      <c r="AK163" s="2" t="inlineStr">
        <is>
          <t>À documenter</t>
        </is>
      </c>
      <c r="AL163" s="2" t="inlineStr">
        <is>
          <t>À rechercher / voir sources historiques</t>
        </is>
      </c>
      <c r="AM163" s="2" t="inlineStr">
        <is>
          <t>https://tanks-encyclopedia.com/ww2/germany/panzer-iii/</t>
        </is>
      </c>
      <c r="AN163" s="2" t="inlineStr">
        <is>
          <t>Source de niveau variable ; contrôle par variante nécessaire</t>
        </is>
      </c>
      <c r="AO163" s="2" t="inlineStr">
        <is>
          <t>Non renseigné</t>
        </is>
      </c>
      <c r="AP163" s="2" t="inlineStr">
        <is>
          <t>Faible</t>
        </is>
      </c>
      <c r="AQ163" s="2" t="inlineStr">
        <is>
          <t>Élevé</t>
        </is>
      </c>
      <c r="AR163" s="2" t="inlineStr">
        <is>
          <t>Partiel — fiche à compléter</t>
        </is>
      </c>
      <c r="AS163" s="2" t="inlineStr">
        <is>
          <t>P2/P3</t>
        </is>
      </c>
      <c r="AT163" s="2" t="inlineStr">
        <is>
          <t>Famille V12 allemande, potentiellement réutilisable en gameplay avec adaptations lourdes.</t>
        </is>
      </c>
      <c r="AU163" s="2" t="inlineStr">
        <is>
          <t>À intégrer après validation du prototype</t>
        </is>
      </c>
      <c r="AV163" s="2" t="inlineStr">
        <is>
          <t>Panzer III Ausf. J–N : véhicule de catégorie « Chars moyens », d'origine Allemagne. Motorisation recensée : V12 essence Maybach HL120 TRM. Fiche de catalogue à compléter avec le rôle tactique et les caractéristiques de jeu.</t>
        </is>
      </c>
    </row>
    <row r="164" ht="60" customHeight="1">
      <c r="A164" s="2" t="inlineStr">
        <is>
          <t>VEH-163</t>
        </is>
      </c>
      <c r="B164" s="2" t="inlineStr">
        <is>
          <t>Chars moyens</t>
        </is>
      </c>
      <c r="C164" s="2" t="inlineStr">
        <is>
          <t>Panzer IV Ausf. A–F1</t>
        </is>
      </c>
      <c r="D164" s="2" t="inlineStr">
        <is>
          <t>À distinguer si plusieurs variantes</t>
        </is>
      </c>
      <c r="E164" s="2" t="inlineStr">
        <is>
          <t>Allemagne</t>
        </is>
      </c>
      <c r="F164" s="2" t="inlineStr">
        <is>
          <t>À documenter</t>
        </is>
      </c>
      <c r="G164" s="2" t="inlineStr">
        <is>
          <t>À confirmer</t>
        </is>
      </c>
      <c r="H164" s="2" t="inlineStr">
        <is>
          <t>Chars moyens</t>
        </is>
      </c>
      <c r="I164" s="2" t="inlineStr">
        <is>
          <t>À définir</t>
        </is>
      </c>
      <c r="J164" s="2" t="n"/>
      <c r="K164" s="2" t="n"/>
      <c r="L164" s="2" t="n"/>
      <c r="M164" s="2" t="n"/>
      <c r="N164" s="2" t="n"/>
      <c r="O164" s="2" t="n"/>
      <c r="P164" s="2" t="inlineStr">
        <is>
          <t>V12 essence Maybach HL108 TR</t>
        </is>
      </c>
      <c r="Q164" s="2" t="n"/>
      <c r="R164" s="2" t="n"/>
      <c r="S164" s="2" t="inlineStr">
        <is>
          <t>À confirmer</t>
        </is>
      </c>
      <c r="T164" s="2" t="n"/>
      <c r="U164" s="2" t="n"/>
      <c r="V164" s="2" t="n"/>
      <c r="W164" s="2" t="n"/>
      <c r="X164" s="2" t="inlineStr">
        <is>
          <t>À documenter</t>
        </is>
      </c>
      <c r="Y164" s="2" t="inlineStr">
        <is>
          <t>À documenter</t>
        </is>
      </c>
      <c r="Z164" s="2" t="inlineStr">
        <is>
          <t>À documenter</t>
        </is>
      </c>
      <c r="AA164" s="2" t="inlineStr">
        <is>
          <t>À documenter</t>
        </is>
      </c>
      <c r="AB164" s="2" t="inlineStr">
        <is>
          <t>À documenter</t>
        </is>
      </c>
      <c r="AC164" s="2" t="inlineStr">
        <is>
          <t>2 mitrailleuses MG 13 de 7,92 mm</t>
        </is>
      </c>
      <c r="AD164" s="2" t="inlineStr">
        <is>
          <t>À documenter</t>
        </is>
      </c>
      <c r="AE164" s="2" t="inlineStr">
        <is>
          <t>À documenter</t>
        </is>
      </c>
      <c r="AF164" s="2" t="inlineStr">
        <is>
          <t>À définir</t>
        </is>
      </c>
      <c r="AG164" s="2" t="inlineStr">
        <is>
          <t>À définir</t>
        </is>
      </c>
      <c r="AH164" s="2" t="inlineStr">
        <is>
          <t>Réparation d’origine si véhicule complet ; démontage si incomplet</t>
        </is>
      </c>
      <c r="AI164" s="2" t="inlineStr">
        <is>
          <t>À documenter</t>
        </is>
      </c>
      <c r="AJ164" s="2" t="inlineStr">
        <is>
          <t>À définir séparément des compatibilités historiques</t>
        </is>
      </c>
      <c r="AK164" s="2" t="inlineStr">
        <is>
          <t>À documenter</t>
        </is>
      </c>
      <c r="AL164" s="2" t="inlineStr">
        <is>
          <t>À rechercher / voir sources historiques</t>
        </is>
      </c>
      <c r="AM164" s="2" t="inlineStr">
        <is>
          <t>https://tanks-encyclopedia.com/ww2/germany/panzer-iv/</t>
        </is>
      </c>
      <c r="AN164" s="2" t="inlineStr">
        <is>
          <t>Source de niveau variable ; contrôle par variante nécessaire</t>
        </is>
      </c>
      <c r="AO164" s="2" t="inlineStr">
        <is>
          <t>Non renseigné</t>
        </is>
      </c>
      <c r="AP164" s="2" t="inlineStr">
        <is>
          <t>Faible</t>
        </is>
      </c>
      <c r="AQ164" s="2" t="inlineStr">
        <is>
          <t>Élevé</t>
        </is>
      </c>
      <c r="AR164" s="2" t="inlineStr">
        <is>
          <t>Partiel — fiche à compléter</t>
        </is>
      </c>
      <c r="AS164" s="2" t="inlineStr">
        <is>
          <t>P2/P3</t>
        </is>
      </c>
      <c r="AT164" s="2" t="inlineStr">
        <is>
          <t>Moteurs des premières séries à distinguer des versions tardives.</t>
        </is>
      </c>
      <c r="AU164" s="2" t="inlineStr">
        <is>
          <t>À intégrer après validation du prototype</t>
        </is>
      </c>
      <c r="AV164" s="2" t="inlineStr">
        <is>
          <t>Panzer IV Ausf. A–F1 : véhicule de catégorie « Chars moyens », d'origine Allemagne. Motorisation recensée : V12 essence Maybach HL108 TR. Variante historique à vérifier avant validation définitive.</t>
        </is>
      </c>
    </row>
    <row r="165" ht="60" customHeight="1">
      <c r="A165" s="2" t="inlineStr">
        <is>
          <t>VEH-164</t>
        </is>
      </c>
      <c r="B165" s="2" t="inlineStr">
        <is>
          <t>Chars moyens</t>
        </is>
      </c>
      <c r="C165" s="2" t="inlineStr">
        <is>
          <t>Panzer IV Ausf. F2–J</t>
        </is>
      </c>
      <c r="D165" s="2" t="inlineStr">
        <is>
          <t>À distinguer si plusieurs variantes</t>
        </is>
      </c>
      <c r="E165" s="2" t="inlineStr">
        <is>
          <t>Allemagne</t>
        </is>
      </c>
      <c r="F165" s="2" t="inlineStr">
        <is>
          <t>À documenter</t>
        </is>
      </c>
      <c r="G165" s="2" t="inlineStr">
        <is>
          <t>À confirmer</t>
        </is>
      </c>
      <c r="H165" s="2" t="inlineStr">
        <is>
          <t>Chars moyens</t>
        </is>
      </c>
      <c r="I165" s="2" t="inlineStr">
        <is>
          <t>À définir</t>
        </is>
      </c>
      <c r="J165" s="2" t="n"/>
      <c r="K165" s="2" t="n"/>
      <c r="L165" s="2" t="n"/>
      <c r="M165" s="2" t="n"/>
      <c r="N165" s="2" t="n"/>
      <c r="O165" s="2" t="n"/>
      <c r="P165" s="2" t="inlineStr">
        <is>
          <t>V12 essence Maybach HL120 TRM</t>
        </is>
      </c>
      <c r="Q165" s="2" t="n"/>
      <c r="R165" s="2" t="n"/>
      <c r="S165" s="2" t="inlineStr">
        <is>
          <t>À confirmer</t>
        </is>
      </c>
      <c r="T165" s="2" t="n"/>
      <c r="U165" s="2" t="n"/>
      <c r="V165" s="2" t="n"/>
      <c r="W165" s="2" t="n"/>
      <c r="X165" s="2" t="inlineStr">
        <is>
          <t>À documenter</t>
        </is>
      </c>
      <c r="Y165" s="2" t="inlineStr">
        <is>
          <t>À documenter</t>
        </is>
      </c>
      <c r="Z165" s="2" t="inlineStr">
        <is>
          <t>À documenter</t>
        </is>
      </c>
      <c r="AA165" s="2" t="inlineStr">
        <is>
          <t>À documenter</t>
        </is>
      </c>
      <c r="AB165" s="2" t="inlineStr">
        <is>
          <t>À documenter</t>
        </is>
      </c>
      <c r="AC165" s="2" t="inlineStr">
        <is>
          <t>2 mitrailleuses MG 13 de 7,92 mm</t>
        </is>
      </c>
      <c r="AD165" s="2" t="inlineStr">
        <is>
          <t>À documenter</t>
        </is>
      </c>
      <c r="AE165" s="2" t="inlineStr">
        <is>
          <t>À documenter</t>
        </is>
      </c>
      <c r="AF165" s="2" t="inlineStr">
        <is>
          <t>À définir</t>
        </is>
      </c>
      <c r="AG165" s="2" t="inlineStr">
        <is>
          <t>À définir</t>
        </is>
      </c>
      <c r="AH165" s="2" t="inlineStr">
        <is>
          <t>Réparation d’origine si véhicule complet ; démontage si incomplet</t>
        </is>
      </c>
      <c r="AI165" s="2" t="inlineStr">
        <is>
          <t>À documenter</t>
        </is>
      </c>
      <c r="AJ165" s="2" t="inlineStr">
        <is>
          <t>À définir séparément des compatibilités historiques</t>
        </is>
      </c>
      <c r="AK165" s="2" t="inlineStr">
        <is>
          <t>À documenter</t>
        </is>
      </c>
      <c r="AL165" s="2" t="inlineStr">
        <is>
          <t>À rechercher / voir sources historiques</t>
        </is>
      </c>
      <c r="AM165" s="2" t="inlineStr">
        <is>
          <t>https://tanks-encyclopedia.com/ww2/germany/panzer-iv/</t>
        </is>
      </c>
      <c r="AN165" s="2" t="inlineStr">
        <is>
          <t>Source de niveau variable ; contrôle par variante nécessaire</t>
        </is>
      </c>
      <c r="AO165" s="2" t="inlineStr">
        <is>
          <t>Non renseigné</t>
        </is>
      </c>
      <c r="AP165" s="2" t="inlineStr">
        <is>
          <t>Faible</t>
        </is>
      </c>
      <c r="AQ165" s="2" t="inlineStr">
        <is>
          <t>Élevé</t>
        </is>
      </c>
      <c r="AR165" s="2" t="inlineStr">
        <is>
          <t>Partiel — fiche à compléter</t>
        </is>
      </c>
      <c r="AS165" s="2" t="inlineStr">
        <is>
          <t>P2/P3</t>
        </is>
      </c>
      <c r="AT165" s="2" t="inlineStr">
        <is>
          <t>Famille moteur commune avec des Panzer III tardifs, mais implantation et accessoires à vérifier.</t>
        </is>
      </c>
      <c r="AU165" s="2" t="inlineStr">
        <is>
          <t>À intégrer après validation du prototype</t>
        </is>
      </c>
      <c r="AV165" s="2" t="inlineStr">
        <is>
          <t>Panzer IV Ausf. F2–J : véhicule de catégorie « Chars moyens », d'origine Allemagne. Motorisation recensée : V12 essence Maybach HL120 TRM. Fiche de catalogue à compléter avec le rôle tactique et les caractéristiques de jeu.</t>
        </is>
      </c>
    </row>
    <row r="166" ht="60" customHeight="1">
      <c r="A166" s="2" t="inlineStr">
        <is>
          <t>VEH-165</t>
        </is>
      </c>
      <c r="B166" s="2" t="inlineStr">
        <is>
          <t>Chars moyens</t>
        </is>
      </c>
      <c r="C166" s="2" t="inlineStr">
        <is>
          <t>Panther Ausf. D/A/G</t>
        </is>
      </c>
      <c r="D166" s="2" t="inlineStr">
        <is>
          <t>À distinguer si plusieurs variantes</t>
        </is>
      </c>
      <c r="E166" s="2" t="inlineStr">
        <is>
          <t>Allemagne</t>
        </is>
      </c>
      <c r="F166" s="2" t="inlineStr">
        <is>
          <t>À documenter</t>
        </is>
      </c>
      <c r="G166" s="2" t="inlineStr">
        <is>
          <t>À confirmer</t>
        </is>
      </c>
      <c r="H166" s="2" t="inlineStr">
        <is>
          <t>Chars moyens</t>
        </is>
      </c>
      <c r="I166" s="2" t="inlineStr">
        <is>
          <t>À définir</t>
        </is>
      </c>
      <c r="J166" s="2" t="n"/>
      <c r="K166" s="2" t="n"/>
      <c r="L166" s="2" t="n"/>
      <c r="M166" s="2" t="n"/>
      <c r="N166" s="2" t="n"/>
      <c r="O166" s="2" t="n"/>
      <c r="P166" s="2" t="inlineStr">
        <is>
          <t>V12 essence Maybach HL230</t>
        </is>
      </c>
      <c r="Q166" s="2" t="n"/>
      <c r="R166" s="2" t="n"/>
      <c r="S166" s="2" t="inlineStr">
        <is>
          <t>À confirmer</t>
        </is>
      </c>
      <c r="T166" s="2" t="n"/>
      <c r="U166" s="2" t="n"/>
      <c r="V166" s="2" t="n"/>
      <c r="W166" s="2" t="n"/>
      <c r="X166" s="2" t="inlineStr">
        <is>
          <t>À documenter</t>
        </is>
      </c>
      <c r="Y166" s="2" t="inlineStr">
        <is>
          <t>À documenter</t>
        </is>
      </c>
      <c r="Z166" s="2" t="inlineStr">
        <is>
          <t>À documenter</t>
        </is>
      </c>
      <c r="AA166" s="2" t="inlineStr">
        <is>
          <t>À documenter</t>
        </is>
      </c>
      <c r="AB166" s="2" t="inlineStr">
        <is>
          <t>À documenter</t>
        </is>
      </c>
      <c r="AC166" s="2" t="inlineStr">
        <is>
          <t>Canon de 75 mm KwK 42 L/70; 2–3 MG 34/42 selon version</t>
        </is>
      </c>
      <c r="AD166" s="2" t="inlineStr">
        <is>
          <t>À documenter</t>
        </is>
      </c>
      <c r="AE166" s="2" t="inlineStr">
        <is>
          <t>À documenter</t>
        </is>
      </c>
      <c r="AF166" s="2" t="inlineStr">
        <is>
          <t>À définir</t>
        </is>
      </c>
      <c r="AG166" s="2" t="inlineStr">
        <is>
          <t>À définir</t>
        </is>
      </c>
      <c r="AH166" s="2" t="inlineStr">
        <is>
          <t>Réparation d’origine si véhicule complet ; démontage si incomplet</t>
        </is>
      </c>
      <c r="AI166" s="2" t="inlineStr">
        <is>
          <t>À documenter</t>
        </is>
      </c>
      <c r="AJ166" s="2" t="inlineStr">
        <is>
          <t>À définir séparément des compatibilités historiques</t>
        </is>
      </c>
      <c r="AK166" s="2" t="inlineStr">
        <is>
          <t>À documenter</t>
        </is>
      </c>
      <c r="AL166" s="2" t="inlineStr">
        <is>
          <t>À rechercher / voir sources historiques</t>
        </is>
      </c>
      <c r="AM166" s="2" t="inlineStr">
        <is>
          <t>https://tanks-encyclopedia.com/ww2/germany/panther/</t>
        </is>
      </c>
      <c r="AN166" s="2" t="inlineStr">
        <is>
          <t>Source de niveau variable ; contrôle par variante nécessaire</t>
        </is>
      </c>
      <c r="AO166" s="2" t="inlineStr">
        <is>
          <t>Non renseigné</t>
        </is>
      </c>
      <c r="AP166" s="2" t="inlineStr">
        <is>
          <t>Faible</t>
        </is>
      </c>
      <c r="AQ166" s="2" t="inlineStr">
        <is>
          <t>Élevé</t>
        </is>
      </c>
      <c r="AR166" s="2" t="inlineStr">
        <is>
          <t>Partiel — fiche à compléter</t>
        </is>
      </c>
      <c r="AS166" s="2" t="inlineStr">
        <is>
          <t>P2/P3</t>
        </is>
      </c>
      <c r="AT166" s="2" t="inlineStr">
        <is>
          <t>Moteur puissant, consommation et refroidissement exigeants.</t>
        </is>
      </c>
      <c r="AU166" s="2" t="inlineStr">
        <is>
          <t>À intégrer après validation du prototype</t>
        </is>
      </c>
      <c r="AV166" s="2" t="inlineStr">
        <is>
          <t>Panther Ausf. D/A/G : véhicule de catégorie « Chars moyens », d'origine Allemagne. Motorisation recensée : V12 essence Maybach HL230. Fiche de catalogue à compléter avec le rôle tactique et les caractéristiques de jeu.</t>
        </is>
      </c>
    </row>
    <row r="167" ht="60" customHeight="1">
      <c r="A167" s="2" t="inlineStr">
        <is>
          <t>VEH-166</t>
        </is>
      </c>
      <c r="B167" s="2" t="inlineStr">
        <is>
          <t>Chars lourds et prototypes</t>
        </is>
      </c>
      <c r="C167" s="2" t="inlineStr">
        <is>
          <t>Maus</t>
        </is>
      </c>
      <c r="D167" s="2" t="inlineStr">
        <is>
          <t>À distinguer si plusieurs variantes</t>
        </is>
      </c>
      <c r="E167" s="2" t="inlineStr">
        <is>
          <t>Allemagne</t>
        </is>
      </c>
      <c r="F167" s="2" t="inlineStr">
        <is>
          <t>À documenter</t>
        </is>
      </c>
      <c r="G167" s="2" t="inlineStr">
        <is>
          <t>À confirmer</t>
        </is>
      </c>
      <c r="H167" s="2" t="inlineStr">
        <is>
          <t>Chars lourds et prototypes</t>
        </is>
      </c>
      <c r="I167" s="2" t="inlineStr">
        <is>
          <t>À définir</t>
        </is>
      </c>
      <c r="J167" s="2" t="n"/>
      <c r="K167" s="2" t="n"/>
      <c r="L167" s="2" t="n"/>
      <c r="M167" s="2" t="n"/>
      <c r="N167" s="2" t="n"/>
      <c r="O167" s="2" t="n"/>
      <c r="P167" s="2" t="inlineStr">
        <is>
          <t>V12 essence Daimler-Benz MB 509 prévu; prototypes et motorisations spécifiques</t>
        </is>
      </c>
      <c r="Q167" s="2" t="n"/>
      <c r="R167" s="2" t="n"/>
      <c r="S167" s="2" t="inlineStr">
        <is>
          <t>À confirmer</t>
        </is>
      </c>
      <c r="T167" s="2" t="n"/>
      <c r="U167" s="2" t="n"/>
      <c r="V167" s="2" t="n"/>
      <c r="W167" s="2" t="n"/>
      <c r="X167" s="2" t="inlineStr">
        <is>
          <t>À documenter</t>
        </is>
      </c>
      <c r="Y167" s="2" t="inlineStr">
        <is>
          <t>À documenter</t>
        </is>
      </c>
      <c r="Z167" s="2" t="inlineStr">
        <is>
          <t>À documenter</t>
        </is>
      </c>
      <c r="AA167" s="2" t="inlineStr">
        <is>
          <t>À documenter</t>
        </is>
      </c>
      <c r="AB167" s="2" t="inlineStr">
        <is>
          <t>À documenter</t>
        </is>
      </c>
      <c r="AC167" s="2" t="inlineStr">
        <is>
          <t>Canon de 128 mm KwK 44 L/55 + canon de 75 mm KwK 44; MG 34 prévue</t>
        </is>
      </c>
      <c r="AD167" s="2" t="inlineStr">
        <is>
          <t>À documenter</t>
        </is>
      </c>
      <c r="AE167" s="2" t="inlineStr">
        <is>
          <t>À documenter</t>
        </is>
      </c>
      <c r="AF167" s="2" t="inlineStr">
        <is>
          <t>À définir</t>
        </is>
      </c>
      <c r="AG167" s="2" t="inlineStr">
        <is>
          <t>À définir</t>
        </is>
      </c>
      <c r="AH167" s="2" t="inlineStr">
        <is>
          <t>Réparation d’origine si véhicule complet ; démontage si incomplet</t>
        </is>
      </c>
      <c r="AI167" s="2" t="inlineStr">
        <is>
          <t>À documenter</t>
        </is>
      </c>
      <c r="AJ167" s="2" t="inlineStr">
        <is>
          <t>À définir séparément des compatibilités historiques</t>
        </is>
      </c>
      <c r="AK167" s="2" t="inlineStr">
        <is>
          <t>À documenter</t>
        </is>
      </c>
      <c r="AL167" s="2" t="inlineStr">
        <is>
          <t>À rechercher / voir sources historiques</t>
        </is>
      </c>
      <c r="AM167" s="2" t="inlineStr">
        <is>
          <t>https://tanks-encyclopedia.com/ww2/germany/panzer-viii-maus/</t>
        </is>
      </c>
      <c r="AN167" s="2" t="inlineStr">
        <is>
          <t>Source de niveau variable ; contrôle par variante nécessaire</t>
        </is>
      </c>
      <c r="AO167" s="2" t="inlineStr">
        <is>
          <t>Non renseigné</t>
        </is>
      </c>
      <c r="AP167" s="2" t="inlineStr">
        <is>
          <t>Faible</t>
        </is>
      </c>
      <c r="AQ167" s="2" t="inlineStr">
        <is>
          <t>Partiel</t>
        </is>
      </c>
      <c r="AR167" s="2" t="inlineStr">
        <is>
          <t>Partiel — fiche à compléter</t>
        </is>
      </c>
      <c r="AS167" s="2" t="inlineStr">
        <is>
          <t>P2/P3</t>
        </is>
      </c>
      <c r="AT167" s="2" t="inlineStr">
        <is>
          <t>Projet super-lourd ; ne pas fusionner avec le HL230.</t>
        </is>
      </c>
      <c r="AU167" s="2" t="inlineStr">
        <is>
          <t>À intégrer après validation du prototype</t>
        </is>
      </c>
      <c r="AV167" s="2" t="inlineStr">
        <is>
          <t>Maus : véhicule de catégorie « Chars lourds et prototypes », d'origine Allemagne. Motorisation recensée : V12 essence Daimler-Benz MB 509 prévu. Variante historique à vérifier avant validation définitive.</t>
        </is>
      </c>
    </row>
    <row r="168" ht="60" customHeight="1">
      <c r="A168" s="2" t="inlineStr">
        <is>
          <t>VEH-167</t>
        </is>
      </c>
      <c r="B168" s="2" t="inlineStr">
        <is>
          <t>Chars lourds et prototypes</t>
        </is>
      </c>
      <c r="C168" s="2" t="inlineStr">
        <is>
          <t>E-100</t>
        </is>
      </c>
      <c r="D168" s="2" t="inlineStr">
        <is>
          <t>À distinguer si plusieurs variantes</t>
        </is>
      </c>
      <c r="E168" s="2" t="inlineStr">
        <is>
          <t>Allemagne</t>
        </is>
      </c>
      <c r="F168" s="2" t="inlineStr">
        <is>
          <t>À documenter</t>
        </is>
      </c>
      <c r="G168" s="2" t="inlineStr">
        <is>
          <t>À confirmer</t>
        </is>
      </c>
      <c r="H168" s="2" t="inlineStr">
        <is>
          <t>Chars lourds et prototypes</t>
        </is>
      </c>
      <c r="I168" s="2" t="inlineStr">
        <is>
          <t>À définir</t>
        </is>
      </c>
      <c r="J168" s="2" t="n"/>
      <c r="K168" s="2" t="n"/>
      <c r="L168" s="2" t="n"/>
      <c r="M168" s="2" t="n"/>
      <c r="N168" s="2" t="n"/>
      <c r="O168" s="2" t="n"/>
      <c r="P168" s="2" t="inlineStr">
        <is>
          <t>Motorisation prévue V12 Maybach HL230/HL234 selon projet</t>
        </is>
      </c>
      <c r="Q168" s="2" t="n"/>
      <c r="R168" s="2" t="n"/>
      <c r="S168" s="2" t="inlineStr">
        <is>
          <t>À confirmer</t>
        </is>
      </c>
      <c r="T168" s="2" t="n"/>
      <c r="U168" s="2" t="n"/>
      <c r="V168" s="2" t="n"/>
      <c r="W168" s="2" t="n"/>
      <c r="X168" s="2" t="inlineStr">
        <is>
          <t>À documenter</t>
        </is>
      </c>
      <c r="Y168" s="2" t="inlineStr">
        <is>
          <t>À documenter</t>
        </is>
      </c>
      <c r="Z168" s="2" t="inlineStr">
        <is>
          <t>À documenter</t>
        </is>
      </c>
      <c r="AA168" s="2" t="inlineStr">
        <is>
          <t>À documenter</t>
        </is>
      </c>
      <c r="AB168" s="2" t="inlineStr">
        <is>
          <t>À documenter</t>
        </is>
      </c>
      <c r="AC168" s="2" t="inlineStr">
        <is>
          <t>Armement prévu : 128 mm ou projet de 150 mm selon configuration</t>
        </is>
      </c>
      <c r="AD168" s="2" t="inlineStr">
        <is>
          <t>À documenter</t>
        </is>
      </c>
      <c r="AE168" s="2" t="inlineStr">
        <is>
          <t>À documenter</t>
        </is>
      </c>
      <c r="AF168" s="2" t="inlineStr">
        <is>
          <t>À définir</t>
        </is>
      </c>
      <c r="AG168" s="2" t="inlineStr">
        <is>
          <t>À définir</t>
        </is>
      </c>
      <c r="AH168" s="2" t="inlineStr">
        <is>
          <t>Réparation d’origine si véhicule complet ; démontage si incomplet</t>
        </is>
      </c>
      <c r="AI168" s="2" t="inlineStr">
        <is>
          <t>À documenter</t>
        </is>
      </c>
      <c r="AJ168" s="2" t="inlineStr">
        <is>
          <t>À définir séparément des compatibilités historiques</t>
        </is>
      </c>
      <c r="AK168" s="2" t="inlineStr">
        <is>
          <t>À documenter</t>
        </is>
      </c>
      <c r="AL168" s="2" t="inlineStr">
        <is>
          <t>À rechercher / voir sources historiques</t>
        </is>
      </c>
      <c r="AM168" s="2" t="inlineStr">
        <is>
          <t>https://tanks-encyclopedia.com/ww2/germany/e-100/</t>
        </is>
      </c>
      <c r="AN168" s="2" t="inlineStr">
        <is>
          <t>Source de niveau variable ; contrôle par variante nécessaire</t>
        </is>
      </c>
      <c r="AO168" s="2" t="inlineStr">
        <is>
          <t>Non renseigné</t>
        </is>
      </c>
      <c r="AP168" s="2" t="inlineStr">
        <is>
          <t>Faible</t>
        </is>
      </c>
      <c r="AQ168" s="2" t="inlineStr">
        <is>
          <t>Projet</t>
        </is>
      </c>
      <c r="AR168" s="2" t="inlineStr">
        <is>
          <t>Partiel — fiche à compléter</t>
        </is>
      </c>
      <c r="AS168" s="2" t="inlineStr">
        <is>
          <t>P2/P3</t>
        </is>
      </c>
      <c r="AT168" s="2" t="inlineStr">
        <is>
          <t>Projet inachevé ; distinguer configuration prévue et véhicule opérationnel.</t>
        </is>
      </c>
      <c r="AU168" s="2" t="inlineStr">
        <is>
          <t>À intégrer après validation du prototype</t>
        </is>
      </c>
      <c r="AV168" s="2" t="inlineStr">
        <is>
          <t>E-100 : véhicule de catégorie « Chars lourds et prototypes », d'origine Allemagne. Motorisation recensée : Motorisation prévue V12 Maybach HL230/HL234 selon projet. Variante historique à vérifier avant validation définitive.</t>
        </is>
      </c>
    </row>
    <row r="169" ht="60" customHeight="1">
      <c r="A169" s="2" t="inlineStr">
        <is>
          <t>VEH-168</t>
        </is>
      </c>
      <c r="B169" s="2" t="inlineStr">
        <is>
          <t>Chasseurs de chars et canons automoteurs</t>
        </is>
      </c>
      <c r="C169" s="2" t="inlineStr">
        <is>
          <t>Jagdpanzer IV</t>
        </is>
      </c>
      <c r="D169" s="2" t="inlineStr">
        <is>
          <t>À distinguer si plusieurs variantes</t>
        </is>
      </c>
      <c r="E169" s="2" t="inlineStr">
        <is>
          <t>Allemagne</t>
        </is>
      </c>
      <c r="F169" s="2" t="inlineStr">
        <is>
          <t>À documenter</t>
        </is>
      </c>
      <c r="G169" s="2" t="inlineStr">
        <is>
          <t>À confirmer</t>
        </is>
      </c>
      <c r="H169" s="2" t="inlineStr">
        <is>
          <t>Chasseurs de chars et canons automoteurs</t>
        </is>
      </c>
      <c r="I169" s="2" t="inlineStr">
        <is>
          <t>À définir</t>
        </is>
      </c>
      <c r="J169" s="2" t="n"/>
      <c r="K169" s="2" t="n"/>
      <c r="L169" s="2" t="n"/>
      <c r="M169" s="2" t="n"/>
      <c r="N169" s="2" t="n"/>
      <c r="O169" s="2" t="n"/>
      <c r="P169" s="2" t="inlineStr">
        <is>
          <t>V12 essence Maybach HL120 TRM</t>
        </is>
      </c>
      <c r="Q169" s="2" t="n"/>
      <c r="R169" s="2" t="n"/>
      <c r="S169" s="2" t="inlineStr">
        <is>
          <t>À confirmer</t>
        </is>
      </c>
      <c r="T169" s="2" t="n"/>
      <c r="U169" s="2" t="n"/>
      <c r="V169" s="2" t="n"/>
      <c r="W169" s="2" t="n"/>
      <c r="X169" s="2" t="inlineStr">
        <is>
          <t>À documenter</t>
        </is>
      </c>
      <c r="Y169" s="2" t="inlineStr">
        <is>
          <t>À documenter</t>
        </is>
      </c>
      <c r="Z169" s="2" t="inlineStr">
        <is>
          <t>À documenter</t>
        </is>
      </c>
      <c r="AA169" s="2" t="inlineStr">
        <is>
          <t>À documenter</t>
        </is>
      </c>
      <c r="AB169" s="2" t="inlineStr">
        <is>
          <t>À documenter</t>
        </is>
      </c>
      <c r="AC169" s="2" t="inlineStr">
        <is>
          <t>2 mitrailleuses MG 13 de 7,92 mm</t>
        </is>
      </c>
      <c r="AD169" s="2" t="inlineStr">
        <is>
          <t>À documenter</t>
        </is>
      </c>
      <c r="AE169" s="2" t="inlineStr">
        <is>
          <t>À documenter</t>
        </is>
      </c>
      <c r="AF169" s="2" t="inlineStr">
        <is>
          <t>À définir</t>
        </is>
      </c>
      <c r="AG169" s="2" t="inlineStr">
        <is>
          <t>À définir</t>
        </is>
      </c>
      <c r="AH169" s="2" t="inlineStr">
        <is>
          <t>Réparation d’origine si véhicule complet ; démontage si incomplet</t>
        </is>
      </c>
      <c r="AI169" s="2" t="inlineStr">
        <is>
          <t>À documenter</t>
        </is>
      </c>
      <c r="AJ169" s="2" t="inlineStr">
        <is>
          <t>À définir séparément des compatibilités historiques</t>
        </is>
      </c>
      <c r="AK169" s="2" t="inlineStr">
        <is>
          <t>À documenter</t>
        </is>
      </c>
      <c r="AL169" s="2" t="inlineStr">
        <is>
          <t>À rechercher / voir sources historiques</t>
        </is>
      </c>
      <c r="AM169" s="2" t="inlineStr">
        <is>
          <t>https://tanks-encyclopedia.com/ww2/germany/jagdpanzer-iv/</t>
        </is>
      </c>
      <c r="AN169" s="2" t="inlineStr">
        <is>
          <t>Source de niveau variable ; contrôle par variante nécessaire</t>
        </is>
      </c>
      <c r="AO169" s="2" t="inlineStr">
        <is>
          <t>Non renseigné</t>
        </is>
      </c>
      <c r="AP169" s="2" t="inlineStr">
        <is>
          <t>Faible</t>
        </is>
      </c>
      <c r="AQ169" s="2" t="inlineStr">
        <is>
          <t>Élevé</t>
        </is>
      </c>
      <c r="AR169" s="2" t="inlineStr">
        <is>
          <t>Partiel — fiche à compléter</t>
        </is>
      </c>
      <c r="AS169" s="2" t="inlineStr">
        <is>
          <t>P2/P3</t>
        </is>
      </c>
      <c r="AT169" s="2" t="inlineStr">
        <is>
          <t>Dérivé du châssis Panzer IV.</t>
        </is>
      </c>
      <c r="AU169" s="2" t="inlineStr">
        <is>
          <t>À intégrer après validation du prototype</t>
        </is>
      </c>
      <c r="AV169" s="2" t="inlineStr">
        <is>
          <t>Jagdpanzer IV : véhicule de catégorie « Chasseurs de chars et canons automoteurs », d'origine Allemagne. Motorisation recensée : V12 essence Maybach HL120 TRM. Fiche de catalogue à compléter avec le rôle tactique et les caractéristiques de jeu.</t>
        </is>
      </c>
    </row>
    <row r="170" ht="60" customHeight="1">
      <c r="A170" s="2" t="inlineStr">
        <is>
          <t>VEH-169</t>
        </is>
      </c>
      <c r="B170" s="2" t="inlineStr">
        <is>
          <t>Chasseurs de chars et canons automoteurs</t>
        </is>
      </c>
      <c r="C170" s="2" t="inlineStr">
        <is>
          <t>Elefant / Ferdinand</t>
        </is>
      </c>
      <c r="D170" s="2" t="inlineStr">
        <is>
          <t>À distinguer si plusieurs variantes</t>
        </is>
      </c>
      <c r="E170" s="2" t="inlineStr">
        <is>
          <t>Allemagne</t>
        </is>
      </c>
      <c r="F170" s="2" t="inlineStr">
        <is>
          <t>À documenter</t>
        </is>
      </c>
      <c r="G170" s="2" t="inlineStr">
        <is>
          <t>À confirmer</t>
        </is>
      </c>
      <c r="H170" s="2" t="inlineStr">
        <is>
          <t>Chasseurs de chars et canons automoteurs</t>
        </is>
      </c>
      <c r="I170" s="2" t="inlineStr">
        <is>
          <t>À définir</t>
        </is>
      </c>
      <c r="J170" s="2" t="n"/>
      <c r="K170" s="2" t="n"/>
      <c r="L170" s="2" t="n"/>
      <c r="M170" s="2" t="n"/>
      <c r="N170" s="2" t="n"/>
      <c r="O170" s="2" t="n"/>
      <c r="P170" s="2" t="inlineStr">
        <is>
          <t>2 moteurs V12 essence Maybach HL120 entraînant une transmission électrique</t>
        </is>
      </c>
      <c r="Q170" s="2" t="n"/>
      <c r="R170" s="2" t="n"/>
      <c r="S170" s="2" t="inlineStr">
        <is>
          <t>À confirmer</t>
        </is>
      </c>
      <c r="T170" s="2" t="n"/>
      <c r="U170" s="2" t="n"/>
      <c r="V170" s="2" t="n"/>
      <c r="W170" s="2" t="n"/>
      <c r="X170" s="2" t="inlineStr">
        <is>
          <t>À documenter</t>
        </is>
      </c>
      <c r="Y170" s="2" t="inlineStr">
        <is>
          <t>À documenter</t>
        </is>
      </c>
      <c r="Z170" s="2" t="inlineStr">
        <is>
          <t>À documenter</t>
        </is>
      </c>
      <c r="AA170" s="2" t="inlineStr">
        <is>
          <t>À documenter</t>
        </is>
      </c>
      <c r="AB170" s="2" t="inlineStr">
        <is>
          <t>À documenter</t>
        </is>
      </c>
      <c r="AC170" s="2" t="inlineStr">
        <is>
          <t>Canon antichar de 88 mm Pak 43/2 L/71; MG de caisse ajoutée sur Elefant</t>
        </is>
      </c>
      <c r="AD170" s="2" t="inlineStr">
        <is>
          <t>À documenter</t>
        </is>
      </c>
      <c r="AE170" s="2" t="inlineStr">
        <is>
          <t>À documenter</t>
        </is>
      </c>
      <c r="AF170" s="2" t="inlineStr">
        <is>
          <t>À définir</t>
        </is>
      </c>
      <c r="AG170" s="2" t="inlineStr">
        <is>
          <t>À définir</t>
        </is>
      </c>
      <c r="AH170" s="2" t="inlineStr">
        <is>
          <t>Réparation d’origine si véhicule complet ; démontage si incomplet</t>
        </is>
      </c>
      <c r="AI170" s="2" t="inlineStr">
        <is>
          <t>À documenter</t>
        </is>
      </c>
      <c r="AJ170" s="2" t="inlineStr">
        <is>
          <t>À définir séparément des compatibilités historiques</t>
        </is>
      </c>
      <c r="AK170" s="2" t="inlineStr">
        <is>
          <t>À documenter</t>
        </is>
      </c>
      <c r="AL170" s="2" t="inlineStr">
        <is>
          <t>À rechercher / voir sources historiques</t>
        </is>
      </c>
      <c r="AM170" s="2" t="inlineStr">
        <is>
          <t>https://tanks-encyclopedia.com/ww2/germany/ferdinand-elefant/</t>
        </is>
      </c>
      <c r="AN170" s="2" t="inlineStr">
        <is>
          <t>Source de niveau variable ; contrôle par variante nécessaire</t>
        </is>
      </c>
      <c r="AO170" s="2" t="inlineStr">
        <is>
          <t>Non renseigné</t>
        </is>
      </c>
      <c r="AP170" s="2" t="inlineStr">
        <is>
          <t>Faible</t>
        </is>
      </c>
      <c r="AQ170" s="2" t="inlineStr">
        <is>
          <t>Élevé</t>
        </is>
      </c>
      <c r="AR170" s="2" t="inlineStr">
        <is>
          <t>Partiel — fiche à compléter</t>
        </is>
      </c>
      <c r="AS170" s="2" t="inlineStr">
        <is>
          <t>P2/P3</t>
        </is>
      </c>
      <c r="AT170" s="2" t="inlineStr">
        <is>
          <t>Exemple majeur de groupe multimoteur et transmission électrique.</t>
        </is>
      </c>
      <c r="AU170" s="2" t="inlineStr">
        <is>
          <t>À intégrer après validation du prototype</t>
        </is>
      </c>
      <c r="AV170" s="2" t="inlineStr">
        <is>
          <t>Elefant / Ferdinand : véhicule de catégorie « Chasseurs de chars et canons automoteurs », d'origine Allemagne. Motorisation recensée : 2 moteurs V12 essence Maybach HL120 entraînant une transmission électrique. Fiche de catalogue à compléter avec le rôle tactique et les caractéristiques de jeu.</t>
        </is>
      </c>
    </row>
    <row r="171" ht="60" customHeight="1">
      <c r="A171" s="2" t="inlineStr">
        <is>
          <t>VEH-170</t>
        </is>
      </c>
      <c r="B171" s="2" t="inlineStr">
        <is>
          <t>Chasseurs de chars et canons automoteurs</t>
        </is>
      </c>
      <c r="C171" s="2" t="inlineStr">
        <is>
          <t>Sturmtiger</t>
        </is>
      </c>
      <c r="D171" s="2" t="inlineStr">
        <is>
          <t>À distinguer si plusieurs variantes</t>
        </is>
      </c>
      <c r="E171" s="2" t="inlineStr">
        <is>
          <t>Allemagne</t>
        </is>
      </c>
      <c r="F171" s="2" t="inlineStr">
        <is>
          <t>À documenter</t>
        </is>
      </c>
      <c r="G171" s="2" t="inlineStr">
        <is>
          <t>À confirmer</t>
        </is>
      </c>
      <c r="H171" s="2" t="inlineStr">
        <is>
          <t>Chasseurs de chars et canons automoteurs</t>
        </is>
      </c>
      <c r="I171" s="2" t="inlineStr">
        <is>
          <t>À définir</t>
        </is>
      </c>
      <c r="J171" s="2" t="n"/>
      <c r="K171" s="2" t="n"/>
      <c r="L171" s="2" t="n"/>
      <c r="M171" s="2" t="n"/>
      <c r="N171" s="2" t="n"/>
      <c r="O171" s="2" t="n"/>
      <c r="P171" s="2" t="inlineStr">
        <is>
          <t>V12 essence Maybach HL230</t>
        </is>
      </c>
      <c r="Q171" s="2" t="n"/>
      <c r="R171" s="2" t="n"/>
      <c r="S171" s="2" t="inlineStr">
        <is>
          <t>À confirmer</t>
        </is>
      </c>
      <c r="T171" s="2" t="n"/>
      <c r="U171" s="2" t="n"/>
      <c r="V171" s="2" t="n"/>
      <c r="W171" s="2" t="n"/>
      <c r="X171" s="2" t="inlineStr">
        <is>
          <t>À documenter</t>
        </is>
      </c>
      <c r="Y171" s="2" t="inlineStr">
        <is>
          <t>À documenter</t>
        </is>
      </c>
      <c r="Z171" s="2" t="inlineStr">
        <is>
          <t>À documenter</t>
        </is>
      </c>
      <c r="AA171" s="2" t="inlineStr">
        <is>
          <t>À documenter</t>
        </is>
      </c>
      <c r="AB171" s="2" t="inlineStr">
        <is>
          <t>À documenter</t>
        </is>
      </c>
      <c r="AC171" s="2" t="inlineStr">
        <is>
          <t>Mortier-roquette de 380 mm RW 61; MG 34 de caisse</t>
        </is>
      </c>
      <c r="AD171" s="2" t="inlineStr">
        <is>
          <t>À documenter</t>
        </is>
      </c>
      <c r="AE171" s="2" t="inlineStr">
        <is>
          <t>À documenter</t>
        </is>
      </c>
      <c r="AF171" s="2" t="inlineStr">
        <is>
          <t>À définir</t>
        </is>
      </c>
      <c r="AG171" s="2" t="inlineStr">
        <is>
          <t>À définir</t>
        </is>
      </c>
      <c r="AH171" s="2" t="inlineStr">
        <is>
          <t>Réparation d’origine si véhicule complet ; démontage si incomplet</t>
        </is>
      </c>
      <c r="AI171" s="2" t="inlineStr">
        <is>
          <t>À documenter</t>
        </is>
      </c>
      <c r="AJ171" s="2" t="inlineStr">
        <is>
          <t>À définir séparément des compatibilités historiques</t>
        </is>
      </c>
      <c r="AK171" s="2" t="inlineStr">
        <is>
          <t>À documenter</t>
        </is>
      </c>
      <c r="AL171" s="2" t="inlineStr">
        <is>
          <t>À rechercher / voir sources historiques</t>
        </is>
      </c>
      <c r="AM171" s="2" t="inlineStr">
        <is>
          <t>https://tanks-encyclopedia.com/ww2/germany/sturmtiger/</t>
        </is>
      </c>
      <c r="AN171" s="2" t="inlineStr">
        <is>
          <t>Source de niveau variable ; contrôle par variante nécessaire</t>
        </is>
      </c>
      <c r="AO171" s="2" t="inlineStr">
        <is>
          <t>Non renseigné</t>
        </is>
      </c>
      <c r="AP171" s="2" t="inlineStr">
        <is>
          <t>Faible</t>
        </is>
      </c>
      <c r="AQ171" s="2" t="inlineStr">
        <is>
          <t>Élevé</t>
        </is>
      </c>
      <c r="AR171" s="2" t="inlineStr">
        <is>
          <t>Partiel — fiche à compléter</t>
        </is>
      </c>
      <c r="AS171" s="2" t="inlineStr">
        <is>
          <t>P2/P3</t>
        </is>
      </c>
      <c r="AT171" s="2" t="inlineStr">
        <is>
          <t>Châssis Tiger I modifié.</t>
        </is>
      </c>
      <c r="AU171" s="2" t="inlineStr">
        <is>
          <t>À intégrer après validation du prototype</t>
        </is>
      </c>
      <c r="AV171" s="2" t="inlineStr">
        <is>
          <t>Sturmtiger : véhicule de catégorie « Chasseurs de chars et canons automoteurs », d'origine Allemagne. Motorisation recensée : V12 essence Maybach HL230. Fiche de catalogue à compléter avec le rôle tactique et les caractéristiques de jeu.</t>
        </is>
      </c>
    </row>
    <row r="172" ht="60" customHeight="1">
      <c r="A172" s="2" t="inlineStr">
        <is>
          <t>VEH-171</t>
        </is>
      </c>
      <c r="B172" s="2" t="inlineStr">
        <is>
          <t>Chasseurs de chars et canons automoteurs</t>
        </is>
      </c>
      <c r="C172" s="2" t="inlineStr">
        <is>
          <t>Brummbär / Sturmpanzer IV</t>
        </is>
      </c>
      <c r="D172" s="2" t="inlineStr">
        <is>
          <t>À distinguer si plusieurs variantes</t>
        </is>
      </c>
      <c r="E172" s="2" t="inlineStr">
        <is>
          <t>Allemagne</t>
        </is>
      </c>
      <c r="F172" s="2" t="inlineStr">
        <is>
          <t>À documenter</t>
        </is>
      </c>
      <c r="G172" s="2" t="inlineStr">
        <is>
          <t>À confirmer</t>
        </is>
      </c>
      <c r="H172" s="2" t="inlineStr">
        <is>
          <t>Chasseurs de chars et canons automoteurs</t>
        </is>
      </c>
      <c r="I172" s="2" t="inlineStr">
        <is>
          <t>À définir</t>
        </is>
      </c>
      <c r="J172" s="2" t="n"/>
      <c r="K172" s="2" t="n"/>
      <c r="L172" s="2" t="n"/>
      <c r="M172" s="2" t="n"/>
      <c r="N172" s="2" t="n"/>
      <c r="O172" s="2" t="n"/>
      <c r="P172" s="2" t="inlineStr">
        <is>
          <t>V12 essence Maybach HL120 TRM</t>
        </is>
      </c>
      <c r="Q172" s="2" t="n"/>
      <c r="R172" s="2" t="n"/>
      <c r="S172" s="2" t="inlineStr">
        <is>
          <t>À confirmer</t>
        </is>
      </c>
      <c r="T172" s="2" t="n"/>
      <c r="U172" s="2" t="n"/>
      <c r="V172" s="2" t="n"/>
      <c r="W172" s="2" t="n"/>
      <c r="X172" s="2" t="inlineStr">
        <is>
          <t>À documenter</t>
        </is>
      </c>
      <c r="Y172" s="2" t="inlineStr">
        <is>
          <t>À documenter</t>
        </is>
      </c>
      <c r="Z172" s="2" t="inlineStr">
        <is>
          <t>À documenter</t>
        </is>
      </c>
      <c r="AA172" s="2" t="inlineStr">
        <is>
          <t>À documenter</t>
        </is>
      </c>
      <c r="AB172" s="2" t="inlineStr">
        <is>
          <t>À documenter</t>
        </is>
      </c>
      <c r="AC172" s="2" t="inlineStr">
        <is>
          <t>2 mitrailleuses MG 13 de 7,92 mm</t>
        </is>
      </c>
      <c r="AD172" s="2" t="inlineStr">
        <is>
          <t>À documenter</t>
        </is>
      </c>
      <c r="AE172" s="2" t="inlineStr">
        <is>
          <t>À documenter</t>
        </is>
      </c>
      <c r="AF172" s="2" t="inlineStr">
        <is>
          <t>À définir</t>
        </is>
      </c>
      <c r="AG172" s="2" t="inlineStr">
        <is>
          <t>À définir</t>
        </is>
      </c>
      <c r="AH172" s="2" t="inlineStr">
        <is>
          <t>Réparation d’origine si véhicule complet ; démontage si incomplet</t>
        </is>
      </c>
      <c r="AI172" s="2" t="inlineStr">
        <is>
          <t>À documenter</t>
        </is>
      </c>
      <c r="AJ172" s="2" t="inlineStr">
        <is>
          <t>À définir séparément des compatibilités historiques</t>
        </is>
      </c>
      <c r="AK172" s="2" t="inlineStr">
        <is>
          <t>À documenter</t>
        </is>
      </c>
      <c r="AL172" s="2" t="inlineStr">
        <is>
          <t>À rechercher / voir sources historiques</t>
        </is>
      </c>
      <c r="AM172" s="2" t="inlineStr">
        <is>
          <t>https://tanks-encyclopedia.com/ww2/germany/sturmpanzer-iv/</t>
        </is>
      </c>
      <c r="AN172" s="2" t="inlineStr">
        <is>
          <t>Source de niveau variable ; contrôle par variante nécessaire</t>
        </is>
      </c>
      <c r="AO172" s="2" t="inlineStr">
        <is>
          <t>Non renseigné</t>
        </is>
      </c>
      <c r="AP172" s="2" t="inlineStr">
        <is>
          <t>Faible</t>
        </is>
      </c>
      <c r="AQ172" s="2" t="inlineStr">
        <is>
          <t>Élevé</t>
        </is>
      </c>
      <c r="AR172" s="2" t="inlineStr">
        <is>
          <t>Partiel — fiche à compléter</t>
        </is>
      </c>
      <c r="AS172" s="2" t="inlineStr">
        <is>
          <t>P2/P3</t>
        </is>
      </c>
      <c r="AT172" s="2" t="inlineStr">
        <is>
          <t>Dérivé Panzer IV.</t>
        </is>
      </c>
      <c r="AU172" s="2" t="inlineStr">
        <is>
          <t>À intégrer après validation du prototype</t>
        </is>
      </c>
      <c r="AV172" s="2" t="inlineStr">
        <is>
          <t>Brummbär / Sturmpanzer IV : véhicule de catégorie « Chasseurs de chars et canons automoteurs », d'origine Allemagne. Motorisation recensée : V12 essence Maybach HL120 TRM. Fiche de catalogue à compléter avec le rôle tactique et les caractéristiques de jeu.</t>
        </is>
      </c>
    </row>
    <row r="173" ht="60" customHeight="1">
      <c r="A173" s="2" t="inlineStr">
        <is>
          <t>VEH-172</t>
        </is>
      </c>
      <c r="B173" s="2" t="inlineStr">
        <is>
          <t>Chasseurs de chars et canons automoteurs</t>
        </is>
      </c>
      <c r="C173" s="2" t="inlineStr">
        <is>
          <t>Wespe</t>
        </is>
      </c>
      <c r="D173" s="2" t="inlineStr">
        <is>
          <t>À distinguer si plusieurs variantes</t>
        </is>
      </c>
      <c r="E173" s="2" t="inlineStr">
        <is>
          <t>Allemagne</t>
        </is>
      </c>
      <c r="F173" s="2" t="inlineStr">
        <is>
          <t>À documenter</t>
        </is>
      </c>
      <c r="G173" s="2" t="inlineStr">
        <is>
          <t>À confirmer</t>
        </is>
      </c>
      <c r="H173" s="2" t="inlineStr">
        <is>
          <t>Chasseurs de chars et canons automoteurs</t>
        </is>
      </c>
      <c r="I173" s="2" t="inlineStr">
        <is>
          <t>À définir</t>
        </is>
      </c>
      <c r="J173" s="2" t="n"/>
      <c r="K173" s="2" t="n"/>
      <c r="L173" s="2" t="n"/>
      <c r="M173" s="2" t="n"/>
      <c r="N173" s="2" t="n"/>
      <c r="O173" s="2" t="n"/>
      <c r="P173" s="2" t="inlineStr">
        <is>
          <t>6 cylindres essence Maybach HL62 TR</t>
        </is>
      </c>
      <c r="Q173" s="2" t="n"/>
      <c r="R173" s="2" t="n"/>
      <c r="S173" s="2" t="inlineStr">
        <is>
          <t>À confirmer</t>
        </is>
      </c>
      <c r="T173" s="2" t="n"/>
      <c r="U173" s="2" t="n"/>
      <c r="V173" s="2" t="n"/>
      <c r="W173" s="2" t="n"/>
      <c r="X173" s="2" t="inlineStr">
        <is>
          <t>À documenter</t>
        </is>
      </c>
      <c r="Y173" s="2" t="inlineStr">
        <is>
          <t>À documenter</t>
        </is>
      </c>
      <c r="Z173" s="2" t="inlineStr">
        <is>
          <t>À documenter</t>
        </is>
      </c>
      <c r="AA173" s="2" t="inlineStr">
        <is>
          <t>À documenter</t>
        </is>
      </c>
      <c r="AB173" s="2" t="inlineStr">
        <is>
          <t>À documenter</t>
        </is>
      </c>
      <c r="AC173" s="2" t="inlineStr">
        <is>
          <t>Obusier de 105 mm leFH 18/2; MG d'autodéfense éventuellement embarquée, pas toujours montée</t>
        </is>
      </c>
      <c r="AD173" s="2" t="inlineStr">
        <is>
          <t>À documenter</t>
        </is>
      </c>
      <c r="AE173" s="2" t="inlineStr">
        <is>
          <t>À documenter</t>
        </is>
      </c>
      <c r="AF173" s="2" t="inlineStr">
        <is>
          <t>À définir</t>
        </is>
      </c>
      <c r="AG173" s="2" t="inlineStr">
        <is>
          <t>À définir</t>
        </is>
      </c>
      <c r="AH173" s="2" t="inlineStr">
        <is>
          <t>Réparation d’origine si véhicule complet ; démontage si incomplet</t>
        </is>
      </c>
      <c r="AI173" s="2" t="inlineStr">
        <is>
          <t>À documenter</t>
        </is>
      </c>
      <c r="AJ173" s="2" t="inlineStr">
        <is>
          <t>À définir séparément des compatibilités historiques</t>
        </is>
      </c>
      <c r="AK173" s="2" t="inlineStr">
        <is>
          <t>À documenter</t>
        </is>
      </c>
      <c r="AL173" s="2" t="inlineStr">
        <is>
          <t>À rechercher / voir sources historiques</t>
        </is>
      </c>
      <c r="AM173" s="2" t="inlineStr">
        <is>
          <t>https://tanks-encyclopedia.com/ww2/germany/wespe/</t>
        </is>
      </c>
      <c r="AN173" s="2" t="inlineStr">
        <is>
          <t>Source de niveau variable ; contrôle par variante nécessaire</t>
        </is>
      </c>
      <c r="AO173" s="2" t="inlineStr">
        <is>
          <t>Non renseigné</t>
        </is>
      </c>
      <c r="AP173" s="2" t="inlineStr">
        <is>
          <t>Faible</t>
        </is>
      </c>
      <c r="AQ173" s="2" t="inlineStr">
        <is>
          <t>Partiel</t>
        </is>
      </c>
      <c r="AR173" s="2" t="inlineStr">
        <is>
          <t>Partiel — fiche à compléter</t>
        </is>
      </c>
      <c r="AS173" s="2" t="inlineStr">
        <is>
          <t>P2/P3</t>
        </is>
      </c>
      <c r="AT173" s="2" t="inlineStr">
        <is>
          <t>Dérivé du Panzer II ; moteur à confirmer par variante.</t>
        </is>
      </c>
      <c r="AU173" s="2" t="inlineStr">
        <is>
          <t>À intégrer après validation du prototype</t>
        </is>
      </c>
      <c r="AV173" s="2" t="inlineStr">
        <is>
          <t>Wespe : véhicule de catégorie « Chasseurs de chars et canons automoteurs », d'origine Allemagne. Motorisation recensée : 6 cylindres essence Maybach HL62 TR. Variante historique à vérifier avant validation définitive.</t>
        </is>
      </c>
    </row>
    <row r="174" ht="60" customHeight="1">
      <c r="A174" s="2" t="inlineStr">
        <is>
          <t>VEH-173</t>
        </is>
      </c>
      <c r="B174" s="2" t="inlineStr">
        <is>
          <t>Chasseurs de chars et canons automoteurs</t>
        </is>
      </c>
      <c r="C174" s="2" t="inlineStr">
        <is>
          <t>Hummel</t>
        </is>
      </c>
      <c r="D174" s="2" t="inlineStr">
        <is>
          <t>À distinguer si plusieurs variantes</t>
        </is>
      </c>
      <c r="E174" s="2" t="inlineStr">
        <is>
          <t>Allemagne</t>
        </is>
      </c>
      <c r="F174" s="2" t="inlineStr">
        <is>
          <t>À documenter</t>
        </is>
      </c>
      <c r="G174" s="2" t="inlineStr">
        <is>
          <t>À confirmer</t>
        </is>
      </c>
      <c r="H174" s="2" t="inlineStr">
        <is>
          <t>Chasseurs de chars et canons automoteurs</t>
        </is>
      </c>
      <c r="I174" s="2" t="inlineStr">
        <is>
          <t>À définir</t>
        </is>
      </c>
      <c r="J174" s="2" t="n"/>
      <c r="K174" s="2" t="n"/>
      <c r="L174" s="2" t="n"/>
      <c r="M174" s="2" t="n"/>
      <c r="N174" s="2" t="n"/>
      <c r="O174" s="2" t="n"/>
      <c r="P174" s="2" t="inlineStr">
        <is>
          <t>V12 essence Maybach HL120 TRM</t>
        </is>
      </c>
      <c r="Q174" s="2" t="n"/>
      <c r="R174" s="2" t="n"/>
      <c r="S174" s="2" t="inlineStr">
        <is>
          <t>À confirmer</t>
        </is>
      </c>
      <c r="T174" s="2" t="n"/>
      <c r="U174" s="2" t="n"/>
      <c r="V174" s="2" t="n"/>
      <c r="W174" s="2" t="n"/>
      <c r="X174" s="2" t="inlineStr">
        <is>
          <t>À documenter</t>
        </is>
      </c>
      <c r="Y174" s="2" t="inlineStr">
        <is>
          <t>À documenter</t>
        </is>
      </c>
      <c r="Z174" s="2" t="inlineStr">
        <is>
          <t>À documenter</t>
        </is>
      </c>
      <c r="AA174" s="2" t="inlineStr">
        <is>
          <t>À documenter</t>
        </is>
      </c>
      <c r="AB174" s="2" t="inlineStr">
        <is>
          <t>À documenter</t>
        </is>
      </c>
      <c r="AC174" s="2" t="inlineStr">
        <is>
          <t>Obusier de 150 mm sFH 18; MG d'autodéfense éventuellement embarquée</t>
        </is>
      </c>
      <c r="AD174" s="2" t="inlineStr">
        <is>
          <t>À documenter</t>
        </is>
      </c>
      <c r="AE174" s="2" t="inlineStr">
        <is>
          <t>À documenter</t>
        </is>
      </c>
      <c r="AF174" s="2" t="inlineStr">
        <is>
          <t>À définir</t>
        </is>
      </c>
      <c r="AG174" s="2" t="inlineStr">
        <is>
          <t>À définir</t>
        </is>
      </c>
      <c r="AH174" s="2" t="inlineStr">
        <is>
          <t>Réparation d’origine si véhicule complet ; démontage si incomplet</t>
        </is>
      </c>
      <c r="AI174" s="2" t="inlineStr">
        <is>
          <t>À documenter</t>
        </is>
      </c>
      <c r="AJ174" s="2" t="inlineStr">
        <is>
          <t>À définir séparément des compatibilités historiques</t>
        </is>
      </c>
      <c r="AK174" s="2" t="inlineStr">
        <is>
          <t>À documenter</t>
        </is>
      </c>
      <c r="AL174" s="2" t="inlineStr">
        <is>
          <t>À rechercher / voir sources historiques</t>
        </is>
      </c>
      <c r="AM174" s="2" t="inlineStr">
        <is>
          <t>https://tanks-encyclopedia.com/ww2/germany/hummel/</t>
        </is>
      </c>
      <c r="AN174" s="2" t="inlineStr">
        <is>
          <t>Source de niveau variable ; contrôle par variante nécessaire</t>
        </is>
      </c>
      <c r="AO174" s="2" t="inlineStr">
        <is>
          <t>Non renseigné</t>
        </is>
      </c>
      <c r="AP174" s="2" t="inlineStr">
        <is>
          <t>Faible</t>
        </is>
      </c>
      <c r="AQ174" s="2" t="inlineStr">
        <is>
          <t>Partiel</t>
        </is>
      </c>
      <c r="AR174" s="2" t="inlineStr">
        <is>
          <t>Partiel — fiche à compléter</t>
        </is>
      </c>
      <c r="AS174" s="2" t="inlineStr">
        <is>
          <t>P2/P3</t>
        </is>
      </c>
      <c r="AT174" s="2" t="inlineStr">
        <is>
          <t>Châssis combinant éléments de Panzer III/IV ; motorisation à vérifier.</t>
        </is>
      </c>
      <c r="AU174" s="2" t="inlineStr">
        <is>
          <t>À intégrer après validation du prototype</t>
        </is>
      </c>
      <c r="AV174" s="2" t="inlineStr">
        <is>
          <t>Hummel : véhicule de catégorie « Chasseurs de chars et canons automoteurs », d'origine Allemagne. Motorisation recensée : V12 essence Maybach HL120 TRM. Variante historique à vérifier avant validation définitive.</t>
        </is>
      </c>
    </row>
    <row r="175" ht="60" customHeight="1">
      <c r="A175" s="2" t="inlineStr">
        <is>
          <t>VEH-174</t>
        </is>
      </c>
      <c r="B175" s="2" t="inlineStr">
        <is>
          <t>Chasseurs de chars et canons automoteurs</t>
        </is>
      </c>
      <c r="C175" s="2" t="inlineStr">
        <is>
          <t>Marder II</t>
        </is>
      </c>
      <c r="D175" s="2" t="inlineStr">
        <is>
          <t>À distinguer si plusieurs variantes</t>
        </is>
      </c>
      <c r="E175" s="2" t="inlineStr">
        <is>
          <t>Allemagne</t>
        </is>
      </c>
      <c r="F175" s="2" t="inlineStr">
        <is>
          <t>À documenter</t>
        </is>
      </c>
      <c r="G175" s="2" t="inlineStr">
        <is>
          <t>À confirmer</t>
        </is>
      </c>
      <c r="H175" s="2" t="inlineStr">
        <is>
          <t>Chasseurs de chars et canons automoteurs</t>
        </is>
      </c>
      <c r="I175" s="2" t="inlineStr">
        <is>
          <t>À définir</t>
        </is>
      </c>
      <c r="J175" s="2" t="n"/>
      <c r="K175" s="2" t="n"/>
      <c r="L175" s="2" t="n"/>
      <c r="M175" s="2" t="n"/>
      <c r="N175" s="2" t="n"/>
      <c r="O175" s="2" t="n"/>
      <c r="P175" s="2" t="inlineStr">
        <is>
          <t>6 cylindres essence Maybach HL62 TRM</t>
        </is>
      </c>
      <c r="Q175" s="2" t="n"/>
      <c r="R175" s="2" t="n"/>
      <c r="S175" s="2" t="inlineStr">
        <is>
          <t>À confirmer</t>
        </is>
      </c>
      <c r="T175" s="2" t="n"/>
      <c r="U175" s="2" t="n"/>
      <c r="V175" s="2" t="n"/>
      <c r="W175" s="2" t="n"/>
      <c r="X175" s="2" t="inlineStr">
        <is>
          <t>À documenter</t>
        </is>
      </c>
      <c r="Y175" s="2" t="inlineStr">
        <is>
          <t>À documenter</t>
        </is>
      </c>
      <c r="Z175" s="2" t="inlineStr">
        <is>
          <t>À documenter</t>
        </is>
      </c>
      <c r="AA175" s="2" t="inlineStr">
        <is>
          <t>À documenter</t>
        </is>
      </c>
      <c r="AB175" s="2" t="inlineStr">
        <is>
          <t>À documenter</t>
        </is>
      </c>
      <c r="AC175" s="2" t="inlineStr">
        <is>
          <t>Canon antichar de 75 mm PaK 40 ou 76,2 mm soviétique selon version</t>
        </is>
      </c>
      <c r="AD175" s="2" t="inlineStr">
        <is>
          <t>À documenter</t>
        </is>
      </c>
      <c r="AE175" s="2" t="inlineStr">
        <is>
          <t>À documenter</t>
        </is>
      </c>
      <c r="AF175" s="2" t="inlineStr">
        <is>
          <t>À définir</t>
        </is>
      </c>
      <c r="AG175" s="2" t="inlineStr">
        <is>
          <t>À définir</t>
        </is>
      </c>
      <c r="AH175" s="2" t="inlineStr">
        <is>
          <t>Réparation d’origine si véhicule complet ; démontage si incomplet</t>
        </is>
      </c>
      <c r="AI175" s="2" t="inlineStr">
        <is>
          <t>À documenter</t>
        </is>
      </c>
      <c r="AJ175" s="2" t="inlineStr">
        <is>
          <t>À définir séparément des compatibilités historiques</t>
        </is>
      </c>
      <c r="AK175" s="2" t="inlineStr">
        <is>
          <t>À documenter</t>
        </is>
      </c>
      <c r="AL175" s="2" t="inlineStr">
        <is>
          <t>À rechercher / voir sources historiques</t>
        </is>
      </c>
      <c r="AM175" s="2" t="inlineStr">
        <is>
          <t>https://tanks-encyclopedia.com/ww2/germany/marder-ii/</t>
        </is>
      </c>
      <c r="AN175" s="2" t="inlineStr">
        <is>
          <t>Source de niveau variable ; contrôle par variante nécessaire</t>
        </is>
      </c>
      <c r="AO175" s="2" t="inlineStr">
        <is>
          <t>Non renseigné</t>
        </is>
      </c>
      <c r="AP175" s="2" t="inlineStr">
        <is>
          <t>Faible</t>
        </is>
      </c>
      <c r="AQ175" s="2" t="inlineStr">
        <is>
          <t>Partiel</t>
        </is>
      </c>
      <c r="AR175" s="2" t="inlineStr">
        <is>
          <t>Partiel — fiche à compléter</t>
        </is>
      </c>
      <c r="AS175" s="2" t="inlineStr">
        <is>
          <t>P2/P3</t>
        </is>
      </c>
      <c r="AT175" s="2" t="inlineStr">
        <is>
          <t>Plusieurs variantes sur châssis Panzer II.</t>
        </is>
      </c>
      <c r="AU175" s="2" t="inlineStr">
        <is>
          <t>À intégrer après validation du prototype</t>
        </is>
      </c>
      <c r="AV175" s="2" t="inlineStr">
        <is>
          <t>Marder II : véhicule de catégorie « Chasseurs de chars et canons automoteurs », d'origine Allemagne. Motorisation recensée : 6 cylindres essence Maybach HL62 TRM. Variante historique à vérifier avant validation définitive.</t>
        </is>
      </c>
    </row>
    <row r="176" ht="60" customHeight="1">
      <c r="A176" s="2" t="inlineStr">
        <is>
          <t>VEH-175</t>
        </is>
      </c>
      <c r="B176" s="2" t="inlineStr">
        <is>
          <t>Chasseurs de chars et canons automoteurs</t>
        </is>
      </c>
      <c r="C176" s="2" t="inlineStr">
        <is>
          <t>Marder III</t>
        </is>
      </c>
      <c r="D176" s="2" t="inlineStr">
        <is>
          <t>À distinguer si plusieurs variantes</t>
        </is>
      </c>
      <c r="E176" s="2" t="inlineStr">
        <is>
          <t>Allemagne</t>
        </is>
      </c>
      <c r="F176" s="2" t="inlineStr">
        <is>
          <t>À documenter</t>
        </is>
      </c>
      <c r="G176" s="2" t="inlineStr">
        <is>
          <t>À confirmer</t>
        </is>
      </c>
      <c r="H176" s="2" t="inlineStr">
        <is>
          <t>Chasseurs de chars et canons automoteurs</t>
        </is>
      </c>
      <c r="I176" s="2" t="inlineStr">
        <is>
          <t>À définir</t>
        </is>
      </c>
      <c r="J176" s="2" t="n"/>
      <c r="K176" s="2" t="n"/>
      <c r="L176" s="2" t="n"/>
      <c r="M176" s="2" t="n"/>
      <c r="N176" s="2" t="n"/>
      <c r="O176" s="2" t="n"/>
      <c r="P176" s="2" t="inlineStr">
        <is>
          <t>6 cylindres essence Praga EPA</t>
        </is>
      </c>
      <c r="Q176" s="2" t="n"/>
      <c r="R176" s="2" t="n"/>
      <c r="S176" s="2" t="inlineStr">
        <is>
          <t>À confirmer</t>
        </is>
      </c>
      <c r="T176" s="2" t="n"/>
      <c r="U176" s="2" t="n"/>
      <c r="V176" s="2" t="n"/>
      <c r="W176" s="2" t="n"/>
      <c r="X176" s="2" t="inlineStr">
        <is>
          <t>À documenter</t>
        </is>
      </c>
      <c r="Y176" s="2" t="inlineStr">
        <is>
          <t>À documenter</t>
        </is>
      </c>
      <c r="Z176" s="2" t="inlineStr">
        <is>
          <t>À documenter</t>
        </is>
      </c>
      <c r="AA176" s="2" t="inlineStr">
        <is>
          <t>À documenter</t>
        </is>
      </c>
      <c r="AB176" s="2" t="inlineStr">
        <is>
          <t>À documenter</t>
        </is>
      </c>
      <c r="AC176" s="2" t="inlineStr">
        <is>
          <t>Canon antichar de 75 mm PaK 40 ou 76,2 mm soviétique selon version</t>
        </is>
      </c>
      <c r="AD176" s="2" t="inlineStr">
        <is>
          <t>À documenter</t>
        </is>
      </c>
      <c r="AE176" s="2" t="inlineStr">
        <is>
          <t>À documenter</t>
        </is>
      </c>
      <c r="AF176" s="2" t="inlineStr">
        <is>
          <t>À définir</t>
        </is>
      </c>
      <c r="AG176" s="2" t="inlineStr">
        <is>
          <t>À définir</t>
        </is>
      </c>
      <c r="AH176" s="2" t="inlineStr">
        <is>
          <t>Réparation d’origine si véhicule complet ; démontage si incomplet</t>
        </is>
      </c>
      <c r="AI176" s="2" t="inlineStr">
        <is>
          <t>À documenter</t>
        </is>
      </c>
      <c r="AJ176" s="2" t="inlineStr">
        <is>
          <t>À définir séparément des compatibilités historiques</t>
        </is>
      </c>
      <c r="AK176" s="2" t="inlineStr">
        <is>
          <t>À documenter</t>
        </is>
      </c>
      <c r="AL176" s="2" t="inlineStr">
        <is>
          <t>À rechercher / voir sources historiques</t>
        </is>
      </c>
      <c r="AM176" s="2" t="inlineStr">
        <is>
          <t>https://tanks-encyclopedia.com/ww2/germany/marder-iii/</t>
        </is>
      </c>
      <c r="AN176" s="2" t="inlineStr">
        <is>
          <t>Source de niveau variable ; contrôle par variante nécessaire</t>
        </is>
      </c>
      <c r="AO176" s="2" t="inlineStr">
        <is>
          <t>Non renseigné</t>
        </is>
      </c>
      <c r="AP176" s="2" t="inlineStr">
        <is>
          <t>Faible</t>
        </is>
      </c>
      <c r="AQ176" s="2" t="inlineStr">
        <is>
          <t>Partiel</t>
        </is>
      </c>
      <c r="AR176" s="2" t="inlineStr">
        <is>
          <t>Partiel — fiche à compléter</t>
        </is>
      </c>
      <c r="AS176" s="2" t="inlineStr">
        <is>
          <t>P2/P3</t>
        </is>
      </c>
      <c r="AT176" s="2" t="inlineStr">
        <is>
          <t>Châssis tchèque ; famille moteur Praga.</t>
        </is>
      </c>
      <c r="AU176" s="2" t="inlineStr">
        <is>
          <t>À intégrer après validation du prototype</t>
        </is>
      </c>
      <c r="AV176" s="2" t="inlineStr">
        <is>
          <t>Marder III : véhicule de catégorie « Chasseurs de chars et canons automoteurs », d'origine Allemagne. Motorisation recensée : 6 cylindres essence Praga EPA. Variante historique à vérifier avant validation définitive.</t>
        </is>
      </c>
    </row>
    <row r="177" ht="60" customHeight="1">
      <c r="A177" s="2" t="inlineStr">
        <is>
          <t>VEH-176</t>
        </is>
      </c>
      <c r="B177" s="2" t="inlineStr">
        <is>
          <t>Chasseurs de chars et canons automoteurs</t>
        </is>
      </c>
      <c r="C177" s="2" t="inlineStr">
        <is>
          <t>Nashorn / Hornisse</t>
        </is>
      </c>
      <c r="D177" s="2" t="inlineStr">
        <is>
          <t>À distinguer si plusieurs variantes</t>
        </is>
      </c>
      <c r="E177" s="2" t="inlineStr">
        <is>
          <t>Allemagne</t>
        </is>
      </c>
      <c r="F177" s="2" t="inlineStr">
        <is>
          <t>À documenter</t>
        </is>
      </c>
      <c r="G177" s="2" t="inlineStr">
        <is>
          <t>À confirmer</t>
        </is>
      </c>
      <c r="H177" s="2" t="inlineStr">
        <is>
          <t>Chasseurs de chars et canons automoteurs</t>
        </is>
      </c>
      <c r="I177" s="2" t="inlineStr">
        <is>
          <t>À définir</t>
        </is>
      </c>
      <c r="J177" s="2" t="n"/>
      <c r="K177" s="2" t="n"/>
      <c r="L177" s="2" t="n"/>
      <c r="M177" s="2" t="n"/>
      <c r="N177" s="2" t="n"/>
      <c r="O177" s="2" t="n"/>
      <c r="P177" s="2" t="inlineStr">
        <is>
          <t>V12 essence Maybach HL120 TRM</t>
        </is>
      </c>
      <c r="Q177" s="2" t="n"/>
      <c r="R177" s="2" t="n"/>
      <c r="S177" s="2" t="inlineStr">
        <is>
          <t>À confirmer</t>
        </is>
      </c>
      <c r="T177" s="2" t="n"/>
      <c r="U177" s="2" t="n"/>
      <c r="V177" s="2" t="n"/>
      <c r="W177" s="2" t="n"/>
      <c r="X177" s="2" t="inlineStr">
        <is>
          <t>À documenter</t>
        </is>
      </c>
      <c r="Y177" s="2" t="inlineStr">
        <is>
          <t>À documenter</t>
        </is>
      </c>
      <c r="Z177" s="2" t="inlineStr">
        <is>
          <t>À documenter</t>
        </is>
      </c>
      <c r="AA177" s="2" t="inlineStr">
        <is>
          <t>À documenter</t>
        </is>
      </c>
      <c r="AB177" s="2" t="inlineStr">
        <is>
          <t>À documenter</t>
        </is>
      </c>
      <c r="AC177" s="2" t="inlineStr">
        <is>
          <t>Canon antichar de 88 mm PaK 43/1 L/71</t>
        </is>
      </c>
      <c r="AD177" s="2" t="inlineStr">
        <is>
          <t>À documenter</t>
        </is>
      </c>
      <c r="AE177" s="2" t="inlineStr">
        <is>
          <t>À documenter</t>
        </is>
      </c>
      <c r="AF177" s="2" t="inlineStr">
        <is>
          <t>À définir</t>
        </is>
      </c>
      <c r="AG177" s="2" t="inlineStr">
        <is>
          <t>À définir</t>
        </is>
      </c>
      <c r="AH177" s="2" t="inlineStr">
        <is>
          <t>Réparation d’origine si véhicule complet ; démontage si incomplet</t>
        </is>
      </c>
      <c r="AI177" s="2" t="inlineStr">
        <is>
          <t>À documenter</t>
        </is>
      </c>
      <c r="AJ177" s="2" t="inlineStr">
        <is>
          <t>À définir séparément des compatibilités historiques</t>
        </is>
      </c>
      <c r="AK177" s="2" t="inlineStr">
        <is>
          <t>À documenter</t>
        </is>
      </c>
      <c r="AL177" s="2" t="inlineStr">
        <is>
          <t>À rechercher / voir sources historiques</t>
        </is>
      </c>
      <c r="AM177" s="2" t="inlineStr">
        <is>
          <t>https://tanks-encyclopedia.com/ww2/germany/nashorn/</t>
        </is>
      </c>
      <c r="AN177" s="2" t="inlineStr">
        <is>
          <t>Source de niveau variable ; contrôle par variante nécessaire</t>
        </is>
      </c>
      <c r="AO177" s="2" t="inlineStr">
        <is>
          <t>Non renseigné</t>
        </is>
      </c>
      <c r="AP177" s="2" t="inlineStr">
        <is>
          <t>Faible</t>
        </is>
      </c>
      <c r="AQ177" s="2" t="inlineStr">
        <is>
          <t>Élevé</t>
        </is>
      </c>
      <c r="AR177" s="2" t="inlineStr">
        <is>
          <t>Partiel — fiche à compléter</t>
        </is>
      </c>
      <c r="AS177" s="2" t="inlineStr">
        <is>
          <t>P2/P3</t>
        </is>
      </c>
      <c r="AT177" s="2" t="inlineStr">
        <is>
          <t>Châssis hybride Panzer III/IV.</t>
        </is>
      </c>
      <c r="AU177" s="2" t="inlineStr">
        <is>
          <t>À intégrer après validation du prototype</t>
        </is>
      </c>
      <c r="AV177" s="2" t="inlineStr">
        <is>
          <t>Nashorn / Hornisse : véhicule de catégorie « Chasseurs de chars et canons automoteurs », d'origine Allemagne. Motorisation recensée : V12 essence Maybach HL120 TRM. Variante historique à vérifier avant validation définitive.</t>
        </is>
      </c>
    </row>
    <row r="178" ht="60" customHeight="1">
      <c r="A178" s="2" t="inlineStr">
        <is>
          <t>VEH-177</t>
        </is>
      </c>
      <c r="B178" s="2" t="inlineStr">
        <is>
          <t>Chasseurs de chars et canons automoteurs</t>
        </is>
      </c>
      <c r="C178" s="2" t="inlineStr">
        <is>
          <t>Sturmpanzer I Bison</t>
        </is>
      </c>
      <c r="D178" s="2" t="inlineStr">
        <is>
          <t>À distinguer si plusieurs variantes</t>
        </is>
      </c>
      <c r="E178" s="2" t="inlineStr">
        <is>
          <t>Allemagne</t>
        </is>
      </c>
      <c r="F178" s="2" t="inlineStr">
        <is>
          <t>À documenter</t>
        </is>
      </c>
      <c r="G178" s="2" t="inlineStr">
        <is>
          <t>À confirmer</t>
        </is>
      </c>
      <c r="H178" s="2" t="inlineStr">
        <is>
          <t>Chasseurs de chars et canons automoteurs</t>
        </is>
      </c>
      <c r="I178" s="2" t="inlineStr">
        <is>
          <t>À définir</t>
        </is>
      </c>
      <c r="J178" s="2" t="n"/>
      <c r="K178" s="2" t="n"/>
      <c r="L178" s="2" t="n"/>
      <c r="M178" s="2" t="n"/>
      <c r="N178" s="2" t="n"/>
      <c r="O178" s="2" t="n"/>
      <c r="P178" s="2" t="inlineStr">
        <is>
          <t>6 cylindres essence Maybach (type à vérifier)</t>
        </is>
      </c>
      <c r="Q178" s="2" t="n"/>
      <c r="R178" s="2" t="n"/>
      <c r="S178" s="2" t="inlineStr">
        <is>
          <t>À confirmer</t>
        </is>
      </c>
      <c r="T178" s="2" t="n"/>
      <c r="U178" s="2" t="n"/>
      <c r="V178" s="2" t="n"/>
      <c r="W178" s="2" t="n"/>
      <c r="X178" s="2" t="inlineStr">
        <is>
          <t>À documenter</t>
        </is>
      </c>
      <c r="Y178" s="2" t="inlineStr">
        <is>
          <t>À documenter</t>
        </is>
      </c>
      <c r="Z178" s="2" t="inlineStr">
        <is>
          <t>À documenter</t>
        </is>
      </c>
      <c r="AA178" s="2" t="inlineStr">
        <is>
          <t>À documenter</t>
        </is>
      </c>
      <c r="AB178" s="2" t="inlineStr">
        <is>
          <t>À documenter</t>
        </is>
      </c>
      <c r="AC178" s="2" t="inlineStr">
        <is>
          <t>2 mitrailleuses MG 13 de 7,92 mm</t>
        </is>
      </c>
      <c r="AD178" s="2" t="inlineStr">
        <is>
          <t>À documenter</t>
        </is>
      </c>
      <c r="AE178" s="2" t="inlineStr">
        <is>
          <t>À documenter</t>
        </is>
      </c>
      <c r="AF178" s="2" t="inlineStr">
        <is>
          <t>À définir</t>
        </is>
      </c>
      <c r="AG178" s="2" t="inlineStr">
        <is>
          <t>À définir</t>
        </is>
      </c>
      <c r="AH178" s="2" t="inlineStr">
        <is>
          <t>Réparation d’origine si véhicule complet ; démontage si incomplet</t>
        </is>
      </c>
      <c r="AI178" s="2" t="inlineStr">
        <is>
          <t>À documenter</t>
        </is>
      </c>
      <c r="AJ178" s="2" t="inlineStr">
        <is>
          <t>À définir séparément des compatibilités historiques</t>
        </is>
      </c>
      <c r="AK178" s="2" t="inlineStr">
        <is>
          <t>À documenter</t>
        </is>
      </c>
      <c r="AL178" s="2" t="inlineStr">
        <is>
          <t>À rechercher / voir sources historiques</t>
        </is>
      </c>
      <c r="AM178" s="2" t="inlineStr">
        <is>
          <t>https://tanks-encyclopedia.com/ww2/germany/sturmpanzer-i-bison/</t>
        </is>
      </c>
      <c r="AN178" s="2" t="inlineStr">
        <is>
          <t>Source de niveau variable ; contrôle par variante nécessaire</t>
        </is>
      </c>
      <c r="AO178" s="2" t="inlineStr">
        <is>
          <t>Non renseigné</t>
        </is>
      </c>
      <c r="AP178" s="2" t="inlineStr">
        <is>
          <t>Faible</t>
        </is>
      </c>
      <c r="AQ178" s="2" t="inlineStr">
        <is>
          <t>Élevé</t>
        </is>
      </c>
      <c r="AR178" s="2" t="inlineStr">
        <is>
          <t>Partiel — fiche à compléter</t>
        </is>
      </c>
      <c r="AS178" s="2" t="inlineStr">
        <is>
          <t>P2/P3</t>
        </is>
      </c>
      <c r="AT178" s="2" t="inlineStr">
        <is>
          <t>Canon automoteur sur châssis Panzer I.</t>
        </is>
      </c>
      <c r="AU178" s="2" t="inlineStr">
        <is>
          <t>À intégrer après validation du prototype</t>
        </is>
      </c>
      <c r="AV178" s="2" t="inlineStr">
        <is>
          <t>Sturmpanzer I Bison : véhicule de catégorie « Chasseurs de chars et canons automoteurs », d'origine Allemagne. Motorisation recensée : 6 cylindres essence Maybach (type à vérifier). Variante historique à vérifier avant validation définitive.</t>
        </is>
      </c>
    </row>
    <row r="179" ht="60" customHeight="1">
      <c r="A179" s="2" t="inlineStr">
        <is>
          <t>VEH-178</t>
        </is>
      </c>
      <c r="B179" s="2" t="inlineStr">
        <is>
          <t>Chars légers et chars anciens</t>
        </is>
      </c>
      <c r="C179" s="2" t="inlineStr">
        <is>
          <t>A11 Matilda I</t>
        </is>
      </c>
      <c r="D179" s="2" t="inlineStr">
        <is>
          <t>À distinguer si plusieurs variantes</t>
        </is>
      </c>
      <c r="E179" s="2" t="inlineStr">
        <is>
          <t>Royaume-Uni</t>
        </is>
      </c>
      <c r="F179" s="2" t="inlineStr">
        <is>
          <t>À documenter</t>
        </is>
      </c>
      <c r="G179" s="2" t="inlineStr">
        <is>
          <t>À confirmer</t>
        </is>
      </c>
      <c r="H179" s="2" t="inlineStr">
        <is>
          <t>Chars légers et chars anciens</t>
        </is>
      </c>
      <c r="I179" s="2" t="inlineStr">
        <is>
          <t>À définir</t>
        </is>
      </c>
      <c r="J179" s="2" t="n"/>
      <c r="K179" s="2" t="n"/>
      <c r="L179" s="2" t="n"/>
      <c r="M179" s="2" t="n"/>
      <c r="N179" s="2" t="n"/>
      <c r="O179" s="2" t="n"/>
      <c r="P179" s="2" t="inlineStr">
        <is>
          <t>V8 essence Ford Model 79</t>
        </is>
      </c>
      <c r="Q179" s="2" t="n"/>
      <c r="R179" s="2" t="n"/>
      <c r="S179" s="2" t="inlineStr">
        <is>
          <t>À confirmer</t>
        </is>
      </c>
      <c r="T179" s="2" t="n"/>
      <c r="U179" s="2" t="n"/>
      <c r="V179" s="2" t="n"/>
      <c r="W179" s="2" t="n"/>
      <c r="X179" s="2" t="inlineStr">
        <is>
          <t>À documenter</t>
        </is>
      </c>
      <c r="Y179" s="2" t="inlineStr">
        <is>
          <t>À documenter</t>
        </is>
      </c>
      <c r="Z179" s="2" t="inlineStr">
        <is>
          <t>À documenter</t>
        </is>
      </c>
      <c r="AA179" s="2" t="inlineStr">
        <is>
          <t>À documenter</t>
        </is>
      </c>
      <c r="AB179" s="2" t="inlineStr">
        <is>
          <t>À documenter</t>
        </is>
      </c>
      <c r="AC179" s="2" t="inlineStr">
        <is>
          <t>Une mitrailleuse Vickers .303 ou un fusil antichar Boys selon véhicule</t>
        </is>
      </c>
      <c r="AD179" s="2" t="inlineStr">
        <is>
          <t>À documenter</t>
        </is>
      </c>
      <c r="AE179" s="2" t="inlineStr">
        <is>
          <t>À documenter</t>
        </is>
      </c>
      <c r="AF179" s="2" t="inlineStr">
        <is>
          <t>À définir</t>
        </is>
      </c>
      <c r="AG179" s="2" t="inlineStr">
        <is>
          <t>À définir</t>
        </is>
      </c>
      <c r="AH179" s="2" t="inlineStr">
        <is>
          <t>Réparation d’origine si véhicule complet ; démontage si incomplet</t>
        </is>
      </c>
      <c r="AI179" s="2" t="inlineStr">
        <is>
          <t>À documenter</t>
        </is>
      </c>
      <c r="AJ179" s="2" t="inlineStr">
        <is>
          <t>À définir séparément des compatibilités historiques</t>
        </is>
      </c>
      <c r="AK179" s="2" t="inlineStr">
        <is>
          <t>À documenter</t>
        </is>
      </c>
      <c r="AL179" s="2" t="inlineStr">
        <is>
          <t>À rechercher / voir sources historiques</t>
        </is>
      </c>
      <c r="AM179" s="2" t="inlineStr">
        <is>
          <t>https://tankmuseum.org/tank-nuts/tank-collection/matilda-i</t>
        </is>
      </c>
      <c r="AN179" s="2" t="inlineStr">
        <is>
          <t>Source de niveau variable ; contrôle par variante nécessaire</t>
        </is>
      </c>
      <c r="AO179" s="2" t="inlineStr">
        <is>
          <t>Non renseigné</t>
        </is>
      </c>
      <c r="AP179" s="2" t="inlineStr">
        <is>
          <t>Faible</t>
        </is>
      </c>
      <c r="AQ179" s="2" t="inlineStr">
        <is>
          <t>Partiel</t>
        </is>
      </c>
      <c r="AR179" s="2" t="inlineStr">
        <is>
          <t>Partiel — fiche à compléter</t>
        </is>
      </c>
      <c r="AS179" s="2" t="inlineStr">
        <is>
          <t>P2/P3</t>
        </is>
      </c>
      <c r="AT179" s="2" t="inlineStr">
        <is>
          <t>Très lent ; moteur de voiture adapté à un char léger.</t>
        </is>
      </c>
      <c r="AU179" s="2" t="inlineStr">
        <is>
          <t>À intégrer après validation du prototype</t>
        </is>
      </c>
      <c r="AV179" s="2" t="inlineStr">
        <is>
          <t>A11 Matilda I : véhicule de catégorie « Chars légers et chars anciens », d'origine Royaume-Uni. Motorisation recensée : V8 essence Ford Model 79. Variante historique à vérifier avant validation définitive.</t>
        </is>
      </c>
    </row>
    <row r="180" ht="60" customHeight="1">
      <c r="A180" s="2" t="inlineStr">
        <is>
          <t>VEH-179</t>
        </is>
      </c>
      <c r="B180" s="2" t="inlineStr">
        <is>
          <t>Chars d'infanterie</t>
        </is>
      </c>
      <c r="C180" s="2" t="inlineStr">
        <is>
          <t>A12 Matilda II</t>
        </is>
      </c>
      <c r="D180" s="2" t="inlineStr">
        <is>
          <t>À distinguer si plusieurs variantes</t>
        </is>
      </c>
      <c r="E180" s="2" t="inlineStr">
        <is>
          <t>Royaume-Uni</t>
        </is>
      </c>
      <c r="F180" s="2" t="inlineStr">
        <is>
          <t>À documenter</t>
        </is>
      </c>
      <c r="G180" s="2" t="inlineStr">
        <is>
          <t>À confirmer</t>
        </is>
      </c>
      <c r="H180" s="2" t="inlineStr">
        <is>
          <t>Chars d'infanterie</t>
        </is>
      </c>
      <c r="I180" s="2" t="inlineStr">
        <is>
          <t>À définir</t>
        </is>
      </c>
      <c r="J180" s="2" t="n"/>
      <c r="K180" s="2" t="n"/>
      <c r="L180" s="2" t="n"/>
      <c r="M180" s="2" t="n"/>
      <c r="N180" s="2" t="n"/>
      <c r="O180" s="2" t="n"/>
      <c r="P180" s="2" t="inlineStr">
        <is>
          <t>2 moteurs 6 cylindres essence AEC (famille à confirmer selon marque)</t>
        </is>
      </c>
      <c r="Q180" s="2" t="n"/>
      <c r="R180" s="2" t="n"/>
      <c r="S180" s="2" t="inlineStr">
        <is>
          <t>À confirmer</t>
        </is>
      </c>
      <c r="T180" s="2" t="n"/>
      <c r="U180" s="2" t="n"/>
      <c r="V180" s="2" t="n"/>
      <c r="W180" s="2" t="n"/>
      <c r="X180" s="2" t="inlineStr">
        <is>
          <t>À documenter</t>
        </is>
      </c>
      <c r="Y180" s="2" t="inlineStr">
        <is>
          <t>À documenter</t>
        </is>
      </c>
      <c r="Z180" s="2" t="inlineStr">
        <is>
          <t>À documenter</t>
        </is>
      </c>
      <c r="AA180" s="2" t="inlineStr">
        <is>
          <t>À documenter</t>
        </is>
      </c>
      <c r="AB180" s="2" t="inlineStr">
        <is>
          <t>À documenter</t>
        </is>
      </c>
      <c r="AC180" s="2" t="inlineStr">
        <is>
          <t>Canon de 2-pdr (40 mm); mitrailleuse Besa 7,92 mm; parfois lance-fumigènes</t>
        </is>
      </c>
      <c r="AD180" s="2" t="inlineStr">
        <is>
          <t>À documenter</t>
        </is>
      </c>
      <c r="AE180" s="2" t="inlineStr">
        <is>
          <t>À documenter</t>
        </is>
      </c>
      <c r="AF180" s="2" t="inlineStr">
        <is>
          <t>À définir</t>
        </is>
      </c>
      <c r="AG180" s="2" t="inlineStr">
        <is>
          <t>À définir</t>
        </is>
      </c>
      <c r="AH180" s="2" t="inlineStr">
        <is>
          <t>Réparation d’origine si véhicule complet ; démontage si incomplet</t>
        </is>
      </c>
      <c r="AI180" s="2" t="inlineStr">
        <is>
          <t>À documenter</t>
        </is>
      </c>
      <c r="AJ180" s="2" t="inlineStr">
        <is>
          <t>À définir séparément des compatibilités historiques</t>
        </is>
      </c>
      <c r="AK180" s="2" t="inlineStr">
        <is>
          <t>À documenter</t>
        </is>
      </c>
      <c r="AL180" s="2" t="inlineStr">
        <is>
          <t>À rechercher / voir sources historiques</t>
        </is>
      </c>
      <c r="AM180" s="2" t="inlineStr">
        <is>
          <t>https://tankmuseum.org/tank-nuts/tank-collection/matilda-ii</t>
        </is>
      </c>
      <c r="AN180" s="2" t="inlineStr">
        <is>
          <t>Source de niveau variable ; contrôle par variante nécessaire</t>
        </is>
      </c>
      <c r="AO180" s="2" t="inlineStr">
        <is>
          <t>Non renseigné</t>
        </is>
      </c>
      <c r="AP180" s="2" t="inlineStr">
        <is>
          <t>Faible</t>
        </is>
      </c>
      <c r="AQ180" s="2" t="inlineStr">
        <is>
          <t>Élevé</t>
        </is>
      </c>
      <c r="AR180" s="2" t="inlineStr">
        <is>
          <t>Partiel — fiche à compléter</t>
        </is>
      </c>
      <c r="AS180" s="2" t="inlineStr">
        <is>
          <t>P2/P3</t>
        </is>
      </c>
      <c r="AT180" s="2" t="inlineStr">
        <is>
          <t>Architecture multimoteur ; moteurs jumelés.</t>
        </is>
      </c>
      <c r="AU180" s="2" t="inlineStr">
        <is>
          <t>À intégrer après validation du prototype</t>
        </is>
      </c>
      <c r="AV180" s="2" t="inlineStr">
        <is>
          <t>A12 Matilda II : véhicule de catégorie « Chars d'infanterie », d'origine Royaume-Uni. Motorisation recensée : 2 moteurs 6 cylindres essence AEC (famille à confirmer selon marque). Variante historique à vérifier avant validation définitive.</t>
        </is>
      </c>
    </row>
    <row r="181" ht="60" customHeight="1">
      <c r="A181" s="2" t="inlineStr">
        <is>
          <t>VEH-180</t>
        </is>
      </c>
      <c r="B181" s="2" t="inlineStr">
        <is>
          <t>Chars de croisière</t>
        </is>
      </c>
      <c r="C181" s="2" t="inlineStr">
        <is>
          <t>A9 Cruiser Mk I</t>
        </is>
      </c>
      <c r="D181" s="2" t="inlineStr">
        <is>
          <t>À distinguer si plusieurs variantes</t>
        </is>
      </c>
      <c r="E181" s="2" t="inlineStr">
        <is>
          <t>Royaume-Uni</t>
        </is>
      </c>
      <c r="F181" s="2" t="inlineStr">
        <is>
          <t>À documenter</t>
        </is>
      </c>
      <c r="G181" s="2" t="inlineStr">
        <is>
          <t>À confirmer</t>
        </is>
      </c>
      <c r="H181" s="2" t="inlineStr">
        <is>
          <t>Chars de croisière</t>
        </is>
      </c>
      <c r="I181" s="2" t="inlineStr">
        <is>
          <t>À définir</t>
        </is>
      </c>
      <c r="J181" s="2" t="n"/>
      <c r="K181" s="2" t="n"/>
      <c r="L181" s="2" t="n"/>
      <c r="M181" s="2" t="n"/>
      <c r="N181" s="2" t="n"/>
      <c r="O181" s="2" t="n"/>
      <c r="P181" s="2" t="inlineStr">
        <is>
          <t>6 cylindres essence AEC</t>
        </is>
      </c>
      <c r="Q181" s="2" t="n"/>
      <c r="R181" s="2" t="n"/>
      <c r="S181" s="2" t="inlineStr">
        <is>
          <t>À confirmer</t>
        </is>
      </c>
      <c r="T181" s="2" t="n"/>
      <c r="U181" s="2" t="n"/>
      <c r="V181" s="2" t="n"/>
      <c r="W181" s="2" t="n"/>
      <c r="X181" s="2" t="inlineStr">
        <is>
          <t>À documenter</t>
        </is>
      </c>
      <c r="Y181" s="2" t="inlineStr">
        <is>
          <t>À documenter</t>
        </is>
      </c>
      <c r="Z181" s="2" t="inlineStr">
        <is>
          <t>À documenter</t>
        </is>
      </c>
      <c r="AA181" s="2" t="inlineStr">
        <is>
          <t>À documenter</t>
        </is>
      </c>
      <c r="AB181" s="2" t="inlineStr">
        <is>
          <t>À documenter</t>
        </is>
      </c>
      <c r="AC181" s="2" t="inlineStr">
        <is>
          <t>Armement historique à déterminer précisément pour ce modèle/sa variante</t>
        </is>
      </c>
      <c r="AD181" s="2" t="inlineStr">
        <is>
          <t>À documenter</t>
        </is>
      </c>
      <c r="AE181" s="2" t="inlineStr">
        <is>
          <t>À documenter</t>
        </is>
      </c>
      <c r="AF181" s="2" t="inlineStr">
        <is>
          <t>À définir</t>
        </is>
      </c>
      <c r="AG181" s="2" t="inlineStr">
        <is>
          <t>À définir</t>
        </is>
      </c>
      <c r="AH181" s="2" t="inlineStr">
        <is>
          <t>Réparation d’origine si véhicule complet ; démontage si incomplet</t>
        </is>
      </c>
      <c r="AI181" s="2" t="inlineStr">
        <is>
          <t>À documenter</t>
        </is>
      </c>
      <c r="AJ181" s="2" t="inlineStr">
        <is>
          <t>À définir séparément des compatibilités historiques</t>
        </is>
      </c>
      <c r="AK181" s="2" t="inlineStr">
        <is>
          <t>À documenter</t>
        </is>
      </c>
      <c r="AL181" s="2" t="inlineStr">
        <is>
          <t>À rechercher / voir sources historiques</t>
        </is>
      </c>
      <c r="AM181" s="2" t="inlineStr">
        <is>
          <t>https://tanks-encyclopedia.com/ww2/gb/a9-cruiser-tank/</t>
        </is>
      </c>
      <c r="AN181" s="2" t="inlineStr">
        <is>
          <t>Source de niveau variable ; contrôle par variante nécessaire</t>
        </is>
      </c>
      <c r="AO181" s="2" t="inlineStr">
        <is>
          <t>Non renseigné</t>
        </is>
      </c>
      <c r="AP181" s="2" t="inlineStr">
        <is>
          <t>Faible</t>
        </is>
      </c>
      <c r="AQ181" s="2" t="inlineStr">
        <is>
          <t>À vérifier</t>
        </is>
      </c>
      <c r="AR181" s="2" t="inlineStr">
        <is>
          <t>Partiel — fiche à compléter</t>
        </is>
      </c>
      <c r="AS181" s="2" t="inlineStr">
        <is>
          <t>P2/P3</t>
        </is>
      </c>
      <c r="AT181" s="2" t="inlineStr">
        <is>
          <t>Char de croisière précoce.</t>
        </is>
      </c>
      <c r="AU181" s="2" t="inlineStr">
        <is>
          <t>À intégrer après validation du prototype</t>
        </is>
      </c>
      <c r="AV181" s="2" t="inlineStr">
        <is>
          <t>A9 Cruiser Mk I : véhicule de catégorie « Chars de croisière », d'origine Royaume-Uni. Motorisation recensée : 6 cylindres essence AEC. Variante historique à vérifier avant validation définitive.</t>
        </is>
      </c>
    </row>
    <row r="182" ht="60" customHeight="1">
      <c r="A182" s="2" t="inlineStr">
        <is>
          <t>VEH-181</t>
        </is>
      </c>
      <c r="B182" s="2" t="inlineStr">
        <is>
          <t>Chars de croisière</t>
        </is>
      </c>
      <c r="C182" s="2" t="inlineStr">
        <is>
          <t>A10 Cruiser Mk II</t>
        </is>
      </c>
      <c r="D182" s="2" t="inlineStr">
        <is>
          <t>À distinguer si plusieurs variantes</t>
        </is>
      </c>
      <c r="E182" s="2" t="inlineStr">
        <is>
          <t>Royaume-Uni</t>
        </is>
      </c>
      <c r="F182" s="2" t="inlineStr">
        <is>
          <t>À documenter</t>
        </is>
      </c>
      <c r="G182" s="2" t="inlineStr">
        <is>
          <t>À confirmer</t>
        </is>
      </c>
      <c r="H182" s="2" t="inlineStr">
        <is>
          <t>Chars de croisière</t>
        </is>
      </c>
      <c r="I182" s="2" t="inlineStr">
        <is>
          <t>À définir</t>
        </is>
      </c>
      <c r="J182" s="2" t="n"/>
      <c r="K182" s="2" t="n"/>
      <c r="L182" s="2" t="n"/>
      <c r="M182" s="2" t="n"/>
      <c r="N182" s="2" t="n"/>
      <c r="O182" s="2" t="n"/>
      <c r="P182" s="2" t="inlineStr">
        <is>
          <t>6 cylindres essence AEC</t>
        </is>
      </c>
      <c r="Q182" s="2" t="n"/>
      <c r="R182" s="2" t="n"/>
      <c r="S182" s="2" t="inlineStr">
        <is>
          <t>À confirmer</t>
        </is>
      </c>
      <c r="T182" s="2" t="n"/>
      <c r="U182" s="2" t="n"/>
      <c r="V182" s="2" t="n"/>
      <c r="W182" s="2" t="n"/>
      <c r="X182" s="2" t="inlineStr">
        <is>
          <t>À documenter</t>
        </is>
      </c>
      <c r="Y182" s="2" t="inlineStr">
        <is>
          <t>À documenter</t>
        </is>
      </c>
      <c r="Z182" s="2" t="inlineStr">
        <is>
          <t>À documenter</t>
        </is>
      </c>
      <c r="AA182" s="2" t="inlineStr">
        <is>
          <t>À documenter</t>
        </is>
      </c>
      <c r="AB182" s="2" t="inlineStr">
        <is>
          <t>À documenter</t>
        </is>
      </c>
      <c r="AC182" s="2" t="inlineStr">
        <is>
          <t>Armement historique à déterminer précisément pour ce modèle/sa variante</t>
        </is>
      </c>
      <c r="AD182" s="2" t="inlineStr">
        <is>
          <t>À documenter</t>
        </is>
      </c>
      <c r="AE182" s="2" t="inlineStr">
        <is>
          <t>À documenter</t>
        </is>
      </c>
      <c r="AF182" s="2" t="inlineStr">
        <is>
          <t>À définir</t>
        </is>
      </c>
      <c r="AG182" s="2" t="inlineStr">
        <is>
          <t>À définir</t>
        </is>
      </c>
      <c r="AH182" s="2" t="inlineStr">
        <is>
          <t>Réparation d’origine si véhicule complet ; démontage si incomplet</t>
        </is>
      </c>
      <c r="AI182" s="2" t="inlineStr">
        <is>
          <t>À documenter</t>
        </is>
      </c>
      <c r="AJ182" s="2" t="inlineStr">
        <is>
          <t>À définir séparément des compatibilités historiques</t>
        </is>
      </c>
      <c r="AK182" s="2" t="inlineStr">
        <is>
          <t>À documenter</t>
        </is>
      </c>
      <c r="AL182" s="2" t="inlineStr">
        <is>
          <t>À rechercher / voir sources historiques</t>
        </is>
      </c>
      <c r="AM182" s="2" t="inlineStr">
        <is>
          <t>https://tanks-encyclopedia.com/ww2/gb/a10-cruiser-tank/</t>
        </is>
      </c>
      <c r="AN182" s="2" t="inlineStr">
        <is>
          <t>Source de niveau variable ; contrôle par variante nécessaire</t>
        </is>
      </c>
      <c r="AO182" s="2" t="inlineStr">
        <is>
          <t>Non renseigné</t>
        </is>
      </c>
      <c r="AP182" s="2" t="inlineStr">
        <is>
          <t>Faible</t>
        </is>
      </c>
      <c r="AQ182" s="2" t="inlineStr">
        <is>
          <t>À vérifier</t>
        </is>
      </c>
      <c r="AR182" s="2" t="inlineStr">
        <is>
          <t>Partiel — fiche à compléter</t>
        </is>
      </c>
      <c r="AS182" s="2" t="inlineStr">
        <is>
          <t>P2/P3</t>
        </is>
      </c>
      <c r="AT182" s="2" t="inlineStr">
        <is>
          <t>Dérivé du A9, moteur de famille proche.</t>
        </is>
      </c>
      <c r="AU182" s="2" t="inlineStr">
        <is>
          <t>À intégrer après validation du prototype</t>
        </is>
      </c>
      <c r="AV182" s="2" t="inlineStr">
        <is>
          <t>A10 Cruiser Mk II : véhicule de catégorie « Chars de croisière », d'origine Royaume-Uni. Motorisation recensée : 6 cylindres essence AEC. Variante historique à vérifier avant validation définitive.</t>
        </is>
      </c>
    </row>
    <row r="183" ht="60" customHeight="1">
      <c r="A183" s="2" t="inlineStr">
        <is>
          <t>VEH-182</t>
        </is>
      </c>
      <c r="B183" s="2" t="inlineStr">
        <is>
          <t>Chars de croisière</t>
        </is>
      </c>
      <c r="C183" s="2" t="inlineStr">
        <is>
          <t>A13 Cruiser Mk III</t>
        </is>
      </c>
      <c r="D183" s="2" t="inlineStr">
        <is>
          <t>À distinguer si plusieurs variantes</t>
        </is>
      </c>
      <c r="E183" s="2" t="inlineStr">
        <is>
          <t>Royaume-Uni</t>
        </is>
      </c>
      <c r="F183" s="2" t="inlineStr">
        <is>
          <t>À documenter</t>
        </is>
      </c>
      <c r="G183" s="2" t="inlineStr">
        <is>
          <t>À confirmer</t>
        </is>
      </c>
      <c r="H183" s="2" t="inlineStr">
        <is>
          <t>Chars de croisière</t>
        </is>
      </c>
      <c r="I183" s="2" t="inlineStr">
        <is>
          <t>À définir</t>
        </is>
      </c>
      <c r="J183" s="2" t="n"/>
      <c r="K183" s="2" t="n"/>
      <c r="L183" s="2" t="n"/>
      <c r="M183" s="2" t="n"/>
      <c r="N183" s="2" t="n"/>
      <c r="O183" s="2" t="n"/>
      <c r="P183" s="2" t="inlineStr">
        <is>
          <t>12 cylindres essence Liberty (famille américaine)</t>
        </is>
      </c>
      <c r="Q183" s="2" t="n"/>
      <c r="R183" s="2" t="n"/>
      <c r="S183" s="2" t="inlineStr">
        <is>
          <t>À confirmer</t>
        </is>
      </c>
      <c r="T183" s="2" t="n"/>
      <c r="U183" s="2" t="n"/>
      <c r="V183" s="2" t="n"/>
      <c r="W183" s="2" t="n"/>
      <c r="X183" s="2" t="inlineStr">
        <is>
          <t>À documenter</t>
        </is>
      </c>
      <c r="Y183" s="2" t="inlineStr">
        <is>
          <t>À documenter</t>
        </is>
      </c>
      <c r="Z183" s="2" t="inlineStr">
        <is>
          <t>À documenter</t>
        </is>
      </c>
      <c r="AA183" s="2" t="inlineStr">
        <is>
          <t>À documenter</t>
        </is>
      </c>
      <c r="AB183" s="2" t="inlineStr">
        <is>
          <t>À documenter</t>
        </is>
      </c>
      <c r="AC183" s="2" t="inlineStr">
        <is>
          <t>Armement historique à déterminer précisément pour ce modèle/sa variante</t>
        </is>
      </c>
      <c r="AD183" s="2" t="inlineStr">
        <is>
          <t>À documenter</t>
        </is>
      </c>
      <c r="AE183" s="2" t="inlineStr">
        <is>
          <t>À documenter</t>
        </is>
      </c>
      <c r="AF183" s="2" t="inlineStr">
        <is>
          <t>À définir</t>
        </is>
      </c>
      <c r="AG183" s="2" t="inlineStr">
        <is>
          <t>À définir</t>
        </is>
      </c>
      <c r="AH183" s="2" t="inlineStr">
        <is>
          <t>Réparation d’origine si véhicule complet ; démontage si incomplet</t>
        </is>
      </c>
      <c r="AI183" s="2" t="inlineStr">
        <is>
          <t>À documenter</t>
        </is>
      </c>
      <c r="AJ183" s="2" t="inlineStr">
        <is>
          <t>À définir séparément des compatibilités historiques</t>
        </is>
      </c>
      <c r="AK183" s="2" t="inlineStr">
        <is>
          <t>À documenter</t>
        </is>
      </c>
      <c r="AL183" s="2" t="inlineStr">
        <is>
          <t>À rechercher / voir sources historiques</t>
        </is>
      </c>
      <c r="AM183" s="2" t="inlineStr">
        <is>
          <t>https://tanks-encyclopedia.com/ww2/gb/a13-cruiser-tank-mk-iii/</t>
        </is>
      </c>
      <c r="AN183" s="2" t="inlineStr">
        <is>
          <t>Source de niveau variable ; contrôle par variante nécessaire</t>
        </is>
      </c>
      <c r="AO183" s="2" t="inlineStr">
        <is>
          <t>Non renseigné</t>
        </is>
      </c>
      <c r="AP183" s="2" t="inlineStr">
        <is>
          <t>Faible</t>
        </is>
      </c>
      <c r="AQ183" s="2" t="inlineStr">
        <is>
          <t>À vérifier</t>
        </is>
      </c>
      <c r="AR183" s="2" t="inlineStr">
        <is>
          <t>Partiel — fiche à compléter</t>
        </is>
      </c>
      <c r="AS183" s="2" t="inlineStr">
        <is>
          <t>P2/P3</t>
        </is>
      </c>
      <c r="AT183" s="2" t="inlineStr">
        <is>
          <t>Exemple de moteur aéronautique adapté à un véhicule terrestre.</t>
        </is>
      </c>
      <c r="AU183" s="2" t="inlineStr">
        <is>
          <t>À intégrer après validation du prototype</t>
        </is>
      </c>
      <c r="AV183" s="2" t="inlineStr">
        <is>
          <t>A13 Cruiser Mk III : véhicule de catégorie « Chars de croisière », d'origine Royaume-Uni. Motorisation recensée : 12 cylindres essence Liberty (famille américaine). Variante historique à vérifier avant validation définitive.</t>
        </is>
      </c>
    </row>
    <row r="184" ht="60" customHeight="1">
      <c r="A184" s="2" t="inlineStr">
        <is>
          <t>VEH-183</t>
        </is>
      </c>
      <c r="B184" s="2" t="inlineStr">
        <is>
          <t>Chars de croisière</t>
        </is>
      </c>
      <c r="C184" s="2" t="inlineStr">
        <is>
          <t>A13 Cruiser Mk IV</t>
        </is>
      </c>
      <c r="D184" s="2" t="inlineStr">
        <is>
          <t>À distinguer si plusieurs variantes</t>
        </is>
      </c>
      <c r="E184" s="2" t="inlineStr">
        <is>
          <t>Royaume-Uni</t>
        </is>
      </c>
      <c r="F184" s="2" t="inlineStr">
        <is>
          <t>À documenter</t>
        </is>
      </c>
      <c r="G184" s="2" t="inlineStr">
        <is>
          <t>À confirmer</t>
        </is>
      </c>
      <c r="H184" s="2" t="inlineStr">
        <is>
          <t>Chars de croisière</t>
        </is>
      </c>
      <c r="I184" s="2" t="inlineStr">
        <is>
          <t>À définir</t>
        </is>
      </c>
      <c r="J184" s="2" t="n"/>
      <c r="K184" s="2" t="n"/>
      <c r="L184" s="2" t="n"/>
      <c r="M184" s="2" t="n"/>
      <c r="N184" s="2" t="n"/>
      <c r="O184" s="2" t="n"/>
      <c r="P184" s="2" t="inlineStr">
        <is>
          <t>12 cylindres essence Liberty</t>
        </is>
      </c>
      <c r="Q184" s="2" t="n"/>
      <c r="R184" s="2" t="n"/>
      <c r="S184" s="2" t="inlineStr">
        <is>
          <t>À confirmer</t>
        </is>
      </c>
      <c r="T184" s="2" t="n"/>
      <c r="U184" s="2" t="n"/>
      <c r="V184" s="2" t="n"/>
      <c r="W184" s="2" t="n"/>
      <c r="X184" s="2" t="inlineStr">
        <is>
          <t>À documenter</t>
        </is>
      </c>
      <c r="Y184" s="2" t="inlineStr">
        <is>
          <t>À documenter</t>
        </is>
      </c>
      <c r="Z184" s="2" t="inlineStr">
        <is>
          <t>À documenter</t>
        </is>
      </c>
      <c r="AA184" s="2" t="inlineStr">
        <is>
          <t>À documenter</t>
        </is>
      </c>
      <c r="AB184" s="2" t="inlineStr">
        <is>
          <t>À documenter</t>
        </is>
      </c>
      <c r="AC184" s="2" t="inlineStr">
        <is>
          <t>Armement historique à déterminer précisément pour ce modèle/sa variante</t>
        </is>
      </c>
      <c r="AD184" s="2" t="inlineStr">
        <is>
          <t>À documenter</t>
        </is>
      </c>
      <c r="AE184" s="2" t="inlineStr">
        <is>
          <t>À documenter</t>
        </is>
      </c>
      <c r="AF184" s="2" t="inlineStr">
        <is>
          <t>À définir</t>
        </is>
      </c>
      <c r="AG184" s="2" t="inlineStr">
        <is>
          <t>À définir</t>
        </is>
      </c>
      <c r="AH184" s="2" t="inlineStr">
        <is>
          <t>Réparation d’origine si véhicule complet ; démontage si incomplet</t>
        </is>
      </c>
      <c r="AI184" s="2" t="inlineStr">
        <is>
          <t>À documenter</t>
        </is>
      </c>
      <c r="AJ184" s="2" t="inlineStr">
        <is>
          <t>À définir séparément des compatibilités historiques</t>
        </is>
      </c>
      <c r="AK184" s="2" t="inlineStr">
        <is>
          <t>À documenter</t>
        </is>
      </c>
      <c r="AL184" s="2" t="inlineStr">
        <is>
          <t>À rechercher / voir sources historiques</t>
        </is>
      </c>
      <c r="AM184" s="2" t="inlineStr">
        <is>
          <t>https://tanks-encyclopedia.com/ww2/gb/a13-cruiser-tank-mk-iv/</t>
        </is>
      </c>
      <c r="AN184" s="2" t="inlineStr">
        <is>
          <t>Source de niveau variable ; contrôle par variante nécessaire</t>
        </is>
      </c>
      <c r="AO184" s="2" t="inlineStr">
        <is>
          <t>Non renseigné</t>
        </is>
      </c>
      <c r="AP184" s="2" t="inlineStr">
        <is>
          <t>Faible</t>
        </is>
      </c>
      <c r="AQ184" s="2" t="inlineStr">
        <is>
          <t>À vérifier</t>
        </is>
      </c>
      <c r="AR184" s="2" t="inlineStr">
        <is>
          <t>Partiel — fiche à compléter</t>
        </is>
      </c>
      <c r="AS184" s="2" t="inlineStr">
        <is>
          <t>P2/P3</t>
        </is>
      </c>
      <c r="AT184" s="2" t="inlineStr">
        <is>
          <t>Évolution du Cruiser Mk III.</t>
        </is>
      </c>
      <c r="AU184" s="2" t="inlineStr">
        <is>
          <t>À intégrer après validation du prototype</t>
        </is>
      </c>
      <c r="AV184" s="2" t="inlineStr">
        <is>
          <t>A13 Cruiser Mk IV : véhicule de catégorie « Chars de croisière », d'origine Royaume-Uni. Motorisation recensée : 12 cylindres essence Liberty. Variante historique à vérifier avant validation définitive.</t>
        </is>
      </c>
    </row>
    <row r="185" ht="60" customHeight="1">
      <c r="A185" s="2" t="inlineStr">
        <is>
          <t>VEH-184</t>
        </is>
      </c>
      <c r="B185" s="2" t="inlineStr">
        <is>
          <t>Chars de croisière</t>
        </is>
      </c>
      <c r="C185" s="2" t="inlineStr">
        <is>
          <t>Covenanter A13 Mk III</t>
        </is>
      </c>
      <c r="D185" s="2" t="inlineStr">
        <is>
          <t>À distinguer si plusieurs variantes</t>
        </is>
      </c>
      <c r="E185" s="2" t="inlineStr">
        <is>
          <t>Royaume-Uni</t>
        </is>
      </c>
      <c r="F185" s="2" t="inlineStr">
        <is>
          <t>À documenter</t>
        </is>
      </c>
      <c r="G185" s="2" t="inlineStr">
        <is>
          <t>À confirmer</t>
        </is>
      </c>
      <c r="H185" s="2" t="inlineStr">
        <is>
          <t>Chars de croisière</t>
        </is>
      </c>
      <c r="I185" s="2" t="inlineStr">
        <is>
          <t>À définir</t>
        </is>
      </c>
      <c r="J185" s="2" t="n"/>
      <c r="K185" s="2" t="n"/>
      <c r="L185" s="2" t="n"/>
      <c r="M185" s="2" t="n"/>
      <c r="N185" s="2" t="n"/>
      <c r="O185" s="2" t="n"/>
      <c r="P185" s="2" t="inlineStr">
        <is>
          <t>12 cylindres essence Meadows DAV</t>
        </is>
      </c>
      <c r="Q185" s="2" t="n"/>
      <c r="R185" s="2" t="n"/>
      <c r="S185" s="2" t="inlineStr">
        <is>
          <t>À confirmer</t>
        </is>
      </c>
      <c r="T185" s="2" t="n"/>
      <c r="U185" s="2" t="n"/>
      <c r="V185" s="2" t="n"/>
      <c r="W185" s="2" t="n"/>
      <c r="X185" s="2" t="inlineStr">
        <is>
          <t>À documenter</t>
        </is>
      </c>
      <c r="Y185" s="2" t="inlineStr">
        <is>
          <t>À documenter</t>
        </is>
      </c>
      <c r="Z185" s="2" t="inlineStr">
        <is>
          <t>À documenter</t>
        </is>
      </c>
      <c r="AA185" s="2" t="inlineStr">
        <is>
          <t>À documenter</t>
        </is>
      </c>
      <c r="AB185" s="2" t="inlineStr">
        <is>
          <t>À documenter</t>
        </is>
      </c>
      <c r="AC185" s="2" t="inlineStr">
        <is>
          <t>Armement historique à déterminer précisément pour ce modèle/sa variante</t>
        </is>
      </c>
      <c r="AD185" s="2" t="inlineStr">
        <is>
          <t>À documenter</t>
        </is>
      </c>
      <c r="AE185" s="2" t="inlineStr">
        <is>
          <t>À documenter</t>
        </is>
      </c>
      <c r="AF185" s="2" t="inlineStr">
        <is>
          <t>À définir</t>
        </is>
      </c>
      <c r="AG185" s="2" t="inlineStr">
        <is>
          <t>À définir</t>
        </is>
      </c>
      <c r="AH185" s="2" t="inlineStr">
        <is>
          <t>Réparation d’origine si véhicule complet ; démontage si incomplet</t>
        </is>
      </c>
      <c r="AI185" s="2" t="inlineStr">
        <is>
          <t>À documenter</t>
        </is>
      </c>
      <c r="AJ185" s="2" t="inlineStr">
        <is>
          <t>À définir séparément des compatibilités historiques</t>
        </is>
      </c>
      <c r="AK185" s="2" t="inlineStr">
        <is>
          <t>À documenter</t>
        </is>
      </c>
      <c r="AL185" s="2" t="inlineStr">
        <is>
          <t>À rechercher / voir sources historiques</t>
        </is>
      </c>
      <c r="AM185" s="2" t="inlineStr">
        <is>
          <t>https://tanks-encyclopedia.com/ww2/gb/covenanter-cruiser-tank/</t>
        </is>
      </c>
      <c r="AN185" s="2" t="inlineStr">
        <is>
          <t>Source de niveau variable ; contrôle par variante nécessaire</t>
        </is>
      </c>
      <c r="AO185" s="2" t="inlineStr">
        <is>
          <t>Non renseigné</t>
        </is>
      </c>
      <c r="AP185" s="2" t="inlineStr">
        <is>
          <t>Faible</t>
        </is>
      </c>
      <c r="AQ185" s="2" t="inlineStr">
        <is>
          <t>À vérifier</t>
        </is>
      </c>
      <c r="AR185" s="2" t="inlineStr">
        <is>
          <t>Partiel — fiche à compléter</t>
        </is>
      </c>
      <c r="AS185" s="2" t="inlineStr">
        <is>
          <t>P2/P3</t>
        </is>
      </c>
      <c r="AT185" s="2" t="inlineStr">
        <is>
          <t>Moteur à refroidissement liquide ; compartiment moteur problématique.</t>
        </is>
      </c>
      <c r="AU185" s="2" t="inlineStr">
        <is>
          <t>À intégrer après validation du prototype</t>
        </is>
      </c>
      <c r="AV185" s="2" t="inlineStr">
        <is>
          <t>Covenanter A13 Mk III : véhicule de catégorie « Chars de croisière », d'origine Royaume-Uni. Motorisation recensée : 12 cylindres essence Meadows DAV. Fiche de catalogue à compléter avec le rôle tactique et les caractéristiques de jeu.</t>
        </is>
      </c>
    </row>
    <row r="186" ht="60" customHeight="1">
      <c r="A186" s="2" t="inlineStr">
        <is>
          <t>VEH-185</t>
        </is>
      </c>
      <c r="B186" s="2" t="inlineStr">
        <is>
          <t>Chars de croisière</t>
        </is>
      </c>
      <c r="C186" s="2" t="inlineStr">
        <is>
          <t>Crusader I/II</t>
        </is>
      </c>
      <c r="D186" s="2" t="inlineStr">
        <is>
          <t>À distinguer si plusieurs variantes</t>
        </is>
      </c>
      <c r="E186" s="2" t="inlineStr">
        <is>
          <t>Royaume-Uni</t>
        </is>
      </c>
      <c r="F186" s="2" t="inlineStr">
        <is>
          <t>À documenter</t>
        </is>
      </c>
      <c r="G186" s="2" t="inlineStr">
        <is>
          <t>À confirmer</t>
        </is>
      </c>
      <c r="H186" s="2" t="inlineStr">
        <is>
          <t>Chars de croisière</t>
        </is>
      </c>
      <c r="I186" s="2" t="inlineStr">
        <is>
          <t>À définir</t>
        </is>
      </c>
      <c r="J186" s="2" t="n"/>
      <c r="K186" s="2" t="n"/>
      <c r="L186" s="2" t="n"/>
      <c r="M186" s="2" t="n"/>
      <c r="N186" s="2" t="n"/>
      <c r="O186" s="2" t="n"/>
      <c r="P186" s="2" t="inlineStr">
        <is>
          <t>12 cylindres essence Liberty</t>
        </is>
      </c>
      <c r="Q186" s="2" t="n"/>
      <c r="R186" s="2" t="n"/>
      <c r="S186" s="2" t="inlineStr">
        <is>
          <t>À confirmer</t>
        </is>
      </c>
      <c r="T186" s="2" t="n"/>
      <c r="U186" s="2" t="n"/>
      <c r="V186" s="2" t="n"/>
      <c r="W186" s="2" t="n"/>
      <c r="X186" s="2" t="inlineStr">
        <is>
          <t>À documenter</t>
        </is>
      </c>
      <c r="Y186" s="2" t="inlineStr">
        <is>
          <t>À documenter</t>
        </is>
      </c>
      <c r="Z186" s="2" t="inlineStr">
        <is>
          <t>À documenter</t>
        </is>
      </c>
      <c r="AA186" s="2" t="inlineStr">
        <is>
          <t>À documenter</t>
        </is>
      </c>
      <c r="AB186" s="2" t="inlineStr">
        <is>
          <t>À documenter</t>
        </is>
      </c>
      <c r="AC186" s="2" t="inlineStr">
        <is>
          <t>Canon de 2-pdr ou 6-pdr selon version; mitrailleuse Besa 7,92 mm</t>
        </is>
      </c>
      <c r="AD186" s="2" t="inlineStr">
        <is>
          <t>À documenter</t>
        </is>
      </c>
      <c r="AE186" s="2" t="inlineStr">
        <is>
          <t>À documenter</t>
        </is>
      </c>
      <c r="AF186" s="2" t="inlineStr">
        <is>
          <t>À définir</t>
        </is>
      </c>
      <c r="AG186" s="2" t="inlineStr">
        <is>
          <t>À définir</t>
        </is>
      </c>
      <c r="AH186" s="2" t="inlineStr">
        <is>
          <t>Réparation d’origine si véhicule complet ; démontage si incomplet</t>
        </is>
      </c>
      <c r="AI186" s="2" t="inlineStr">
        <is>
          <t>À documenter</t>
        </is>
      </c>
      <c r="AJ186" s="2" t="inlineStr">
        <is>
          <t>À définir séparément des compatibilités historiques</t>
        </is>
      </c>
      <c r="AK186" s="2" t="inlineStr">
        <is>
          <t>À documenter</t>
        </is>
      </c>
      <c r="AL186" s="2" t="inlineStr">
        <is>
          <t>À rechercher / voir sources historiques</t>
        </is>
      </c>
      <c r="AM186" s="2" t="inlineStr">
        <is>
          <t>https://tanks-encyclopedia.com/ww2/gb/crusader-tank/</t>
        </is>
      </c>
      <c r="AN186" s="2" t="inlineStr">
        <is>
          <t>Source de niveau variable ; contrôle par variante nécessaire</t>
        </is>
      </c>
      <c r="AO186" s="2" t="inlineStr">
        <is>
          <t>Non renseigné</t>
        </is>
      </c>
      <c r="AP186" s="2" t="inlineStr">
        <is>
          <t>Faible</t>
        </is>
      </c>
      <c r="AQ186" s="2" t="inlineStr">
        <is>
          <t>Partiel</t>
        </is>
      </c>
      <c r="AR186" s="2" t="inlineStr">
        <is>
          <t>Partiel — fiche à compléter</t>
        </is>
      </c>
      <c r="AS186" s="2" t="inlineStr">
        <is>
          <t>P2/P3</t>
        </is>
      </c>
      <c r="AT186" s="2" t="inlineStr">
        <is>
          <t>Famille de moteur partagée avec plusieurs chars de croisière britanniques.</t>
        </is>
      </c>
      <c r="AU186" s="2" t="inlineStr">
        <is>
          <t>À intégrer après validation du prototype</t>
        </is>
      </c>
      <c r="AV186" s="2" t="inlineStr">
        <is>
          <t>Crusader I/II : véhicule de catégorie « Chars de croisière », d'origine Royaume-Uni. Motorisation recensée : 12 cylindres essence Liberty. Fiche de catalogue à compléter avec le rôle tactique et les caractéristiques de jeu.</t>
        </is>
      </c>
    </row>
    <row r="187" ht="60" customHeight="1">
      <c r="A187" s="2" t="inlineStr">
        <is>
          <t>VEH-186</t>
        </is>
      </c>
      <c r="B187" s="2" t="inlineStr">
        <is>
          <t>Chars de croisière</t>
        </is>
      </c>
      <c r="C187" s="2" t="inlineStr">
        <is>
          <t>Crusader III</t>
        </is>
      </c>
      <c r="D187" s="2" t="inlineStr">
        <is>
          <t>À distinguer si plusieurs variantes</t>
        </is>
      </c>
      <c r="E187" s="2" t="inlineStr">
        <is>
          <t>Royaume-Uni</t>
        </is>
      </c>
      <c r="F187" s="2" t="inlineStr">
        <is>
          <t>À documenter</t>
        </is>
      </c>
      <c r="G187" s="2" t="inlineStr">
        <is>
          <t>À confirmer</t>
        </is>
      </c>
      <c r="H187" s="2" t="inlineStr">
        <is>
          <t>Chars de croisière</t>
        </is>
      </c>
      <c r="I187" s="2" t="inlineStr">
        <is>
          <t>À définir</t>
        </is>
      </c>
      <c r="J187" s="2" t="n"/>
      <c r="K187" s="2" t="n"/>
      <c r="L187" s="2" t="n"/>
      <c r="M187" s="2" t="n"/>
      <c r="N187" s="2" t="n"/>
      <c r="O187" s="2" t="n"/>
      <c r="P187" s="2" t="inlineStr">
        <is>
          <t>12 cylindres essence Liberty</t>
        </is>
      </c>
      <c r="Q187" s="2" t="n"/>
      <c r="R187" s="2" t="n"/>
      <c r="S187" s="2" t="inlineStr">
        <is>
          <t>À confirmer</t>
        </is>
      </c>
      <c r="T187" s="2" t="n"/>
      <c r="U187" s="2" t="n"/>
      <c r="V187" s="2" t="n"/>
      <c r="W187" s="2" t="n"/>
      <c r="X187" s="2" t="inlineStr">
        <is>
          <t>À documenter</t>
        </is>
      </c>
      <c r="Y187" s="2" t="inlineStr">
        <is>
          <t>À documenter</t>
        </is>
      </c>
      <c r="Z187" s="2" t="inlineStr">
        <is>
          <t>À documenter</t>
        </is>
      </c>
      <c r="AA187" s="2" t="inlineStr">
        <is>
          <t>À documenter</t>
        </is>
      </c>
      <c r="AB187" s="2" t="inlineStr">
        <is>
          <t>À documenter</t>
        </is>
      </c>
      <c r="AC187" s="2" t="inlineStr">
        <is>
          <t>Canon de 2-pdr ou 6-pdr selon version; mitrailleuse Besa 7,92 mm</t>
        </is>
      </c>
      <c r="AD187" s="2" t="inlineStr">
        <is>
          <t>À documenter</t>
        </is>
      </c>
      <c r="AE187" s="2" t="inlineStr">
        <is>
          <t>À documenter</t>
        </is>
      </c>
      <c r="AF187" s="2" t="inlineStr">
        <is>
          <t>À définir</t>
        </is>
      </c>
      <c r="AG187" s="2" t="inlineStr">
        <is>
          <t>À définir</t>
        </is>
      </c>
      <c r="AH187" s="2" t="inlineStr">
        <is>
          <t>Réparation d’origine si véhicule complet ; démontage si incomplet</t>
        </is>
      </c>
      <c r="AI187" s="2" t="inlineStr">
        <is>
          <t>À documenter</t>
        </is>
      </c>
      <c r="AJ187" s="2" t="inlineStr">
        <is>
          <t>À définir séparément des compatibilités historiques</t>
        </is>
      </c>
      <c r="AK187" s="2" t="inlineStr">
        <is>
          <t>À documenter</t>
        </is>
      </c>
      <c r="AL187" s="2" t="inlineStr">
        <is>
          <t>À rechercher / voir sources historiques</t>
        </is>
      </c>
      <c r="AM187" s="2" t="inlineStr">
        <is>
          <t>https://tanks-encyclopedia.com/ww2/gb/crusader-tank/</t>
        </is>
      </c>
      <c r="AN187" s="2" t="inlineStr">
        <is>
          <t>Source de niveau variable ; contrôle par variante nécessaire</t>
        </is>
      </c>
      <c r="AO187" s="2" t="inlineStr">
        <is>
          <t>Non renseigné</t>
        </is>
      </c>
      <c r="AP187" s="2" t="inlineStr">
        <is>
          <t>Faible</t>
        </is>
      </c>
      <c r="AQ187" s="2" t="inlineStr">
        <is>
          <t>Partiel</t>
        </is>
      </c>
      <c r="AR187" s="2" t="inlineStr">
        <is>
          <t>Partiel — fiche à compléter</t>
        </is>
      </c>
      <c r="AS187" s="2" t="inlineStr">
        <is>
          <t>P2/P3</t>
        </is>
      </c>
      <c r="AT187" s="2" t="inlineStr">
        <is>
          <t>Version tardive armée plus lourdement.</t>
        </is>
      </c>
      <c r="AU187" s="2" t="inlineStr">
        <is>
          <t>À intégrer après validation du prototype</t>
        </is>
      </c>
      <c r="AV187" s="2" t="inlineStr">
        <is>
          <t>Crusader III : véhicule de catégorie « Chars de croisière », d'origine Royaume-Uni. Motorisation recensée : 12 cylindres essence Liberty. Fiche de catalogue à compléter avec le rôle tactique et les caractéristiques de jeu.</t>
        </is>
      </c>
    </row>
    <row r="188" ht="60" customHeight="1">
      <c r="A188" s="2" t="inlineStr">
        <is>
          <t>VEH-187</t>
        </is>
      </c>
      <c r="B188" s="2" t="inlineStr">
        <is>
          <t>Chars d'infanterie</t>
        </is>
      </c>
      <c r="C188" s="2" t="inlineStr">
        <is>
          <t>Churchill Mk I–III</t>
        </is>
      </c>
      <c r="D188" s="2" t="inlineStr">
        <is>
          <t>À distinguer si plusieurs variantes</t>
        </is>
      </c>
      <c r="E188" s="2" t="inlineStr">
        <is>
          <t>Royaume-Uni</t>
        </is>
      </c>
      <c r="F188" s="2" t="inlineStr">
        <is>
          <t>À documenter</t>
        </is>
      </c>
      <c r="G188" s="2" t="inlineStr">
        <is>
          <t>À confirmer</t>
        </is>
      </c>
      <c r="H188" s="2" t="inlineStr">
        <is>
          <t>Chars d'infanterie</t>
        </is>
      </c>
      <c r="I188" s="2" t="inlineStr">
        <is>
          <t>À définir</t>
        </is>
      </c>
      <c r="J188" s="2" t="n"/>
      <c r="K188" s="2" t="n"/>
      <c r="L188" s="2" t="n"/>
      <c r="M188" s="2" t="n"/>
      <c r="N188" s="2" t="n"/>
      <c r="O188" s="2" t="n"/>
      <c r="P188" s="2" t="inlineStr">
        <is>
          <t>12 cylindres essence Bedford flat-12</t>
        </is>
      </c>
      <c r="Q188" s="2" t="n"/>
      <c r="R188" s="2" t="n"/>
      <c r="S188" s="2" t="inlineStr">
        <is>
          <t>À confirmer</t>
        </is>
      </c>
      <c r="T188" s="2" t="n"/>
      <c r="U188" s="2" t="n"/>
      <c r="V188" s="2" t="n"/>
      <c r="W188" s="2" t="n"/>
      <c r="X188" s="2" t="inlineStr">
        <is>
          <t>À documenter</t>
        </is>
      </c>
      <c r="Y188" s="2" t="inlineStr">
        <is>
          <t>À documenter</t>
        </is>
      </c>
      <c r="Z188" s="2" t="inlineStr">
        <is>
          <t>À documenter</t>
        </is>
      </c>
      <c r="AA188" s="2" t="inlineStr">
        <is>
          <t>À documenter</t>
        </is>
      </c>
      <c r="AB188" s="2" t="inlineStr">
        <is>
          <t>À documenter</t>
        </is>
      </c>
      <c r="AC188" s="2" t="inlineStr">
        <is>
          <t>Canon de 2-pdr, 6-pdr ou 75 mm selon version; mitrailleuse Besa 7,92 mm; parfois obusier de 3 pouces</t>
        </is>
      </c>
      <c r="AD188" s="2" t="inlineStr">
        <is>
          <t>À documenter</t>
        </is>
      </c>
      <c r="AE188" s="2" t="inlineStr">
        <is>
          <t>À documenter</t>
        </is>
      </c>
      <c r="AF188" s="2" t="inlineStr">
        <is>
          <t>À définir</t>
        </is>
      </c>
      <c r="AG188" s="2" t="inlineStr">
        <is>
          <t>À définir</t>
        </is>
      </c>
      <c r="AH188" s="2" t="inlineStr">
        <is>
          <t>Réparation d’origine si véhicule complet ; démontage si incomplet</t>
        </is>
      </c>
      <c r="AI188" s="2" t="inlineStr">
        <is>
          <t>À documenter</t>
        </is>
      </c>
      <c r="AJ188" s="2" t="inlineStr">
        <is>
          <t>À définir séparément des compatibilités historiques</t>
        </is>
      </c>
      <c r="AK188" s="2" t="inlineStr">
        <is>
          <t>À documenter</t>
        </is>
      </c>
      <c r="AL188" s="2" t="inlineStr">
        <is>
          <t>À rechercher / voir sources historiques</t>
        </is>
      </c>
      <c r="AM188" s="2" t="inlineStr">
        <is>
          <t>https://tankmuseum.org/tank-nuts/tank-collection/churchill</t>
        </is>
      </c>
      <c r="AN188" s="2" t="inlineStr">
        <is>
          <t>Source de niveau variable ; contrôle par variante nécessaire</t>
        </is>
      </c>
      <c r="AO188" s="2" t="inlineStr">
        <is>
          <t>Non renseigné</t>
        </is>
      </c>
      <c r="AP188" s="2" t="inlineStr">
        <is>
          <t>Faible</t>
        </is>
      </c>
      <c r="AQ188" s="2" t="inlineStr">
        <is>
          <t>Partiel</t>
        </is>
      </c>
      <c r="AR188" s="2" t="inlineStr">
        <is>
          <t>Partiel — fiche à compléter</t>
        </is>
      </c>
      <c r="AS188" s="2" t="inlineStr">
        <is>
          <t>P2/P3</t>
        </is>
      </c>
      <c r="AT188" s="2" t="inlineStr">
        <is>
          <t>Moteur à plat 12 cylindres, architecture inhabituelle.</t>
        </is>
      </c>
      <c r="AU188" s="2" t="inlineStr">
        <is>
          <t>À intégrer après validation du prototype</t>
        </is>
      </c>
      <c r="AV188" s="2" t="inlineStr">
        <is>
          <t>Churchill Mk I–III : véhicule de catégorie « Chars d'infanterie », d'origine Royaume-Uni. Motorisation recensée : 12 cylindres essence Bedford flat-12. Fiche de catalogue à compléter avec le rôle tactique et les caractéristiques de jeu.</t>
        </is>
      </c>
    </row>
    <row r="189" ht="60" customHeight="1">
      <c r="A189" s="2" t="inlineStr">
        <is>
          <t>VEH-188</t>
        </is>
      </c>
      <c r="B189" s="2" t="inlineStr">
        <is>
          <t>Chars d'infanterie</t>
        </is>
      </c>
      <c r="C189" s="2" t="inlineStr">
        <is>
          <t>Churchill Mk IV–VII</t>
        </is>
      </c>
      <c r="D189" s="2" t="inlineStr">
        <is>
          <t>À distinguer si plusieurs variantes</t>
        </is>
      </c>
      <c r="E189" s="2" t="inlineStr">
        <is>
          <t>Royaume-Uni</t>
        </is>
      </c>
      <c r="F189" s="2" t="inlineStr">
        <is>
          <t>À documenter</t>
        </is>
      </c>
      <c r="G189" s="2" t="inlineStr">
        <is>
          <t>À confirmer</t>
        </is>
      </c>
      <c r="H189" s="2" t="inlineStr">
        <is>
          <t>Chars d'infanterie</t>
        </is>
      </c>
      <c r="I189" s="2" t="inlineStr">
        <is>
          <t>À définir</t>
        </is>
      </c>
      <c r="J189" s="2" t="n"/>
      <c r="K189" s="2" t="n"/>
      <c r="L189" s="2" t="n"/>
      <c r="M189" s="2" t="n"/>
      <c r="N189" s="2" t="n"/>
      <c r="O189" s="2" t="n"/>
      <c r="P189" s="2" t="inlineStr">
        <is>
          <t>12 cylindres essence Bedford flat-12</t>
        </is>
      </c>
      <c r="Q189" s="2" t="n"/>
      <c r="R189" s="2" t="n"/>
      <c r="S189" s="2" t="inlineStr">
        <is>
          <t>À confirmer</t>
        </is>
      </c>
      <c r="T189" s="2" t="n"/>
      <c r="U189" s="2" t="n"/>
      <c r="V189" s="2" t="n"/>
      <c r="W189" s="2" t="n"/>
      <c r="X189" s="2" t="inlineStr">
        <is>
          <t>À documenter</t>
        </is>
      </c>
      <c r="Y189" s="2" t="inlineStr">
        <is>
          <t>À documenter</t>
        </is>
      </c>
      <c r="Z189" s="2" t="inlineStr">
        <is>
          <t>À documenter</t>
        </is>
      </c>
      <c r="AA189" s="2" t="inlineStr">
        <is>
          <t>À documenter</t>
        </is>
      </c>
      <c r="AB189" s="2" t="inlineStr">
        <is>
          <t>À documenter</t>
        </is>
      </c>
      <c r="AC189" s="2" t="inlineStr">
        <is>
          <t>Canon de 2-pdr, 6-pdr ou 75 mm selon version; mitrailleuse Besa 7,92 mm; parfois obusier de 3 pouces</t>
        </is>
      </c>
      <c r="AD189" s="2" t="inlineStr">
        <is>
          <t>À documenter</t>
        </is>
      </c>
      <c r="AE189" s="2" t="inlineStr">
        <is>
          <t>À documenter</t>
        </is>
      </c>
      <c r="AF189" s="2" t="inlineStr">
        <is>
          <t>À définir</t>
        </is>
      </c>
      <c r="AG189" s="2" t="inlineStr">
        <is>
          <t>À définir</t>
        </is>
      </c>
      <c r="AH189" s="2" t="inlineStr">
        <is>
          <t>Réparation d’origine si véhicule complet ; démontage si incomplet</t>
        </is>
      </c>
      <c r="AI189" s="2" t="inlineStr">
        <is>
          <t>À documenter</t>
        </is>
      </c>
      <c r="AJ189" s="2" t="inlineStr">
        <is>
          <t>À définir séparément des compatibilités historiques</t>
        </is>
      </c>
      <c r="AK189" s="2" t="inlineStr">
        <is>
          <t>À documenter</t>
        </is>
      </c>
      <c r="AL189" s="2" t="inlineStr">
        <is>
          <t>À rechercher / voir sources historiques</t>
        </is>
      </c>
      <c r="AM189" s="2" t="inlineStr">
        <is>
          <t>https://tankmuseum.org/tank-nuts/tank-collection/churchill</t>
        </is>
      </c>
      <c r="AN189" s="2" t="inlineStr">
        <is>
          <t>Source de niveau variable ; contrôle par variante nécessaire</t>
        </is>
      </c>
      <c r="AO189" s="2" t="inlineStr">
        <is>
          <t>Non renseigné</t>
        </is>
      </c>
      <c r="AP189" s="2" t="inlineStr">
        <is>
          <t>Faible</t>
        </is>
      </c>
      <c r="AQ189" s="2" t="inlineStr">
        <is>
          <t>Partiel</t>
        </is>
      </c>
      <c r="AR189" s="2" t="inlineStr">
        <is>
          <t>Partiel — fiche à compléter</t>
        </is>
      </c>
      <c r="AS189" s="2" t="inlineStr">
        <is>
          <t>P2/P3</t>
        </is>
      </c>
      <c r="AT189" s="2" t="inlineStr">
        <is>
          <t>Famille Bedford flat-12 avec variantes d'amélioration.</t>
        </is>
      </c>
      <c r="AU189" s="2" t="inlineStr">
        <is>
          <t>À intégrer après validation du prototype</t>
        </is>
      </c>
      <c r="AV189" s="2" t="inlineStr">
        <is>
          <t>Churchill Mk IV–VII : véhicule de catégorie « Chars d'infanterie », d'origine Royaume-Uni. Motorisation recensée : 12 cylindres essence Bedford flat-12. Fiche de catalogue à compléter avec le rôle tactique et les caractéristiques de jeu.</t>
        </is>
      </c>
    </row>
    <row r="190" ht="60" customHeight="1">
      <c r="A190" s="2" t="inlineStr">
        <is>
          <t>VEH-189</t>
        </is>
      </c>
      <c r="B190" s="2" t="inlineStr">
        <is>
          <t>Chars de croisière</t>
        </is>
      </c>
      <c r="C190" s="2" t="inlineStr">
        <is>
          <t>Cromwell IV</t>
        </is>
      </c>
      <c r="D190" s="2" t="inlineStr">
        <is>
          <t>À distinguer si plusieurs variantes</t>
        </is>
      </c>
      <c r="E190" s="2" t="inlineStr">
        <is>
          <t>Royaume-Uni</t>
        </is>
      </c>
      <c r="F190" s="2" t="inlineStr">
        <is>
          <t>À documenter</t>
        </is>
      </c>
      <c r="G190" s="2" t="inlineStr">
        <is>
          <t>À confirmer</t>
        </is>
      </c>
      <c r="H190" s="2" t="inlineStr">
        <is>
          <t>Chars de croisière</t>
        </is>
      </c>
      <c r="I190" s="2" t="inlineStr">
        <is>
          <t>À définir</t>
        </is>
      </c>
      <c r="J190" s="2" t="n"/>
      <c r="K190" s="2" t="n"/>
      <c r="L190" s="2" t="n"/>
      <c r="M190" s="2" t="n"/>
      <c r="N190" s="2" t="n"/>
      <c r="O190" s="2" t="n"/>
      <c r="P190" s="2" t="inlineStr">
        <is>
          <t>V12 essence Rolls-Royce Meteor</t>
        </is>
      </c>
      <c r="Q190" s="2" t="n"/>
      <c r="R190" s="2" t="n"/>
      <c r="S190" s="2" t="inlineStr">
        <is>
          <t>À confirmer</t>
        </is>
      </c>
      <c r="T190" s="2" t="n"/>
      <c r="U190" s="2" t="n"/>
      <c r="V190" s="2" t="n"/>
      <c r="W190" s="2" t="n"/>
      <c r="X190" s="2" t="inlineStr">
        <is>
          <t>À documenter</t>
        </is>
      </c>
      <c r="Y190" s="2" t="inlineStr">
        <is>
          <t>À documenter</t>
        </is>
      </c>
      <c r="Z190" s="2" t="inlineStr">
        <is>
          <t>À documenter</t>
        </is>
      </c>
      <c r="AA190" s="2" t="inlineStr">
        <is>
          <t>À documenter</t>
        </is>
      </c>
      <c r="AB190" s="2" t="inlineStr">
        <is>
          <t>À documenter</t>
        </is>
      </c>
      <c r="AC190" s="2" t="inlineStr">
        <is>
          <t>Canon de 6-pdr ou 75 mm selon version; mitrailleuses Besa 7,92 mm</t>
        </is>
      </c>
      <c r="AD190" s="2" t="inlineStr">
        <is>
          <t>À documenter</t>
        </is>
      </c>
      <c r="AE190" s="2" t="inlineStr">
        <is>
          <t>À documenter</t>
        </is>
      </c>
      <c r="AF190" s="2" t="inlineStr">
        <is>
          <t>À définir</t>
        </is>
      </c>
      <c r="AG190" s="2" t="inlineStr">
        <is>
          <t>À définir</t>
        </is>
      </c>
      <c r="AH190" s="2" t="inlineStr">
        <is>
          <t>Réparation d’origine si véhicule complet ; démontage si incomplet</t>
        </is>
      </c>
      <c r="AI190" s="2" t="inlineStr">
        <is>
          <t>À documenter</t>
        </is>
      </c>
      <c r="AJ190" s="2" t="inlineStr">
        <is>
          <t>À définir séparément des compatibilités historiques</t>
        </is>
      </c>
      <c r="AK190" s="2" t="inlineStr">
        <is>
          <t>À documenter</t>
        </is>
      </c>
      <c r="AL190" s="2" t="inlineStr">
        <is>
          <t>À rechercher / voir sources historiques</t>
        </is>
      </c>
      <c r="AM190" s="2" t="inlineStr">
        <is>
          <t>https://tankmuseum.org/tank-nuts/tank-collection/cromwell</t>
        </is>
      </c>
      <c r="AN190" s="2" t="inlineStr">
        <is>
          <t>Source de niveau variable ; contrôle par variante nécessaire</t>
        </is>
      </c>
      <c r="AO190" s="2" t="inlineStr">
        <is>
          <t>Non renseigné</t>
        </is>
      </c>
      <c r="AP190" s="2" t="inlineStr">
        <is>
          <t>Faible</t>
        </is>
      </c>
      <c r="AQ190" s="2" t="inlineStr">
        <is>
          <t>Partiel</t>
        </is>
      </c>
      <c r="AR190" s="2" t="inlineStr">
        <is>
          <t>Partiel — fiche à compléter</t>
        </is>
      </c>
      <c r="AS190" s="2" t="inlineStr">
        <is>
          <t>P2/P3</t>
        </is>
      </c>
      <c r="AT190" s="2" t="inlineStr">
        <is>
          <t>Dérivé du moteur aéronautique Merlin ; excellent moteur de jeu hautes performances.</t>
        </is>
      </c>
      <c r="AU190" s="2" t="inlineStr">
        <is>
          <t>À intégrer après validation du prototype</t>
        </is>
      </c>
      <c r="AV190" s="2" t="inlineStr">
        <is>
          <t>Cromwell IV : véhicule de catégorie « Chars de croisière », d'origine Royaume-Uni. Motorisation recensée : V12 essence Rolls-Royce Meteor. Fiche de catalogue à compléter avec le rôle tactique et les caractéristiques de jeu.</t>
        </is>
      </c>
    </row>
    <row r="191" ht="60" customHeight="1">
      <c r="A191" s="2" t="inlineStr">
        <is>
          <t>VEH-190</t>
        </is>
      </c>
      <c r="B191" s="2" t="inlineStr">
        <is>
          <t>Chars de croisière</t>
        </is>
      </c>
      <c r="C191" s="2" t="inlineStr">
        <is>
          <t>Centaur IV</t>
        </is>
      </c>
      <c r="D191" s="2" t="inlineStr">
        <is>
          <t>À distinguer si plusieurs variantes</t>
        </is>
      </c>
      <c r="E191" s="2" t="inlineStr">
        <is>
          <t>Royaume-Uni</t>
        </is>
      </c>
      <c r="F191" s="2" t="inlineStr">
        <is>
          <t>À documenter</t>
        </is>
      </c>
      <c r="G191" s="2" t="inlineStr">
        <is>
          <t>À confirmer</t>
        </is>
      </c>
      <c r="H191" s="2" t="inlineStr">
        <is>
          <t>Chars de croisière</t>
        </is>
      </c>
      <c r="I191" s="2" t="inlineStr">
        <is>
          <t>À définir</t>
        </is>
      </c>
      <c r="J191" s="2" t="n"/>
      <c r="K191" s="2" t="n"/>
      <c r="L191" s="2" t="n"/>
      <c r="M191" s="2" t="n"/>
      <c r="N191" s="2" t="n"/>
      <c r="O191" s="2" t="n"/>
      <c r="P191" s="2" t="inlineStr">
        <is>
          <t>V12 essence Liberty (Centaur)</t>
        </is>
      </c>
      <c r="Q191" s="2" t="n"/>
      <c r="R191" s="2" t="n"/>
      <c r="S191" s="2" t="inlineStr">
        <is>
          <t>À confirmer</t>
        </is>
      </c>
      <c r="T191" s="2" t="n"/>
      <c r="U191" s="2" t="n"/>
      <c r="V191" s="2" t="n"/>
      <c r="W191" s="2" t="n"/>
      <c r="X191" s="2" t="inlineStr">
        <is>
          <t>À documenter</t>
        </is>
      </c>
      <c r="Y191" s="2" t="inlineStr">
        <is>
          <t>À documenter</t>
        </is>
      </c>
      <c r="Z191" s="2" t="inlineStr">
        <is>
          <t>À documenter</t>
        </is>
      </c>
      <c r="AA191" s="2" t="inlineStr">
        <is>
          <t>À documenter</t>
        </is>
      </c>
      <c r="AB191" s="2" t="inlineStr">
        <is>
          <t>À documenter</t>
        </is>
      </c>
      <c r="AC191" s="2" t="inlineStr">
        <is>
          <t>Armement historique à déterminer précisément pour ce modèle/sa variante</t>
        </is>
      </c>
      <c r="AD191" s="2" t="inlineStr">
        <is>
          <t>À documenter</t>
        </is>
      </c>
      <c r="AE191" s="2" t="inlineStr">
        <is>
          <t>À documenter</t>
        </is>
      </c>
      <c r="AF191" s="2" t="inlineStr">
        <is>
          <t>À définir</t>
        </is>
      </c>
      <c r="AG191" s="2" t="inlineStr">
        <is>
          <t>À définir</t>
        </is>
      </c>
      <c r="AH191" s="2" t="inlineStr">
        <is>
          <t>Réparation d’origine si véhicule complet ; démontage si incomplet</t>
        </is>
      </c>
      <c r="AI191" s="2" t="inlineStr">
        <is>
          <t>À documenter</t>
        </is>
      </c>
      <c r="AJ191" s="2" t="inlineStr">
        <is>
          <t>À définir séparément des compatibilités historiques</t>
        </is>
      </c>
      <c r="AK191" s="2" t="inlineStr">
        <is>
          <t>À documenter</t>
        </is>
      </c>
      <c r="AL191" s="2" t="inlineStr">
        <is>
          <t>À rechercher / voir sources historiques</t>
        </is>
      </c>
      <c r="AM191" s="2" t="inlineStr">
        <is>
          <t>https://tankmuseum.org/tank-nuts/tank-collection/centaur</t>
        </is>
      </c>
      <c r="AN191" s="2" t="inlineStr">
        <is>
          <t>Source de niveau variable ; contrôle par variante nécessaire</t>
        </is>
      </c>
      <c r="AO191" s="2" t="inlineStr">
        <is>
          <t>Non renseigné</t>
        </is>
      </c>
      <c r="AP191" s="2" t="inlineStr">
        <is>
          <t>Faible</t>
        </is>
      </c>
      <c r="AQ191" s="2" t="inlineStr">
        <is>
          <t>À vérifier</t>
        </is>
      </c>
      <c r="AR191" s="2" t="inlineStr">
        <is>
          <t>Partiel — fiche à compléter</t>
        </is>
      </c>
      <c r="AS191" s="2" t="inlineStr">
        <is>
          <t>P2/P3</t>
        </is>
      </c>
      <c r="AT191" s="2" t="inlineStr">
        <is>
          <t>À distinguer du Cromwell équipé du Meteor.</t>
        </is>
      </c>
      <c r="AU191" s="2" t="inlineStr">
        <is>
          <t>À intégrer après validation du prototype</t>
        </is>
      </c>
      <c r="AV191" s="2" t="inlineStr">
        <is>
          <t>Centaur IV : véhicule de catégorie « Chars de croisière », d'origine Royaume-Uni. Motorisation recensée : V12 essence Liberty (Centaur). Variante historique à vérifier avant validation définitive.</t>
        </is>
      </c>
    </row>
    <row r="192" ht="60" customHeight="1">
      <c r="A192" s="2" t="inlineStr">
        <is>
          <t>VEH-191</t>
        </is>
      </c>
      <c r="B192" s="2" t="inlineStr">
        <is>
          <t>Chars de croisière</t>
        </is>
      </c>
      <c r="C192" s="2" t="inlineStr">
        <is>
          <t>Comet A34</t>
        </is>
      </c>
      <c r="D192" s="2" t="inlineStr">
        <is>
          <t>À distinguer si plusieurs variantes</t>
        </is>
      </c>
      <c r="E192" s="2" t="inlineStr">
        <is>
          <t>Royaume-Uni</t>
        </is>
      </c>
      <c r="F192" s="2" t="inlineStr">
        <is>
          <t>À documenter</t>
        </is>
      </c>
      <c r="G192" s="2" t="inlineStr">
        <is>
          <t>À confirmer</t>
        </is>
      </c>
      <c r="H192" s="2" t="inlineStr">
        <is>
          <t>Chars de croisière</t>
        </is>
      </c>
      <c r="I192" s="2" t="inlineStr">
        <is>
          <t>À définir</t>
        </is>
      </c>
      <c r="J192" s="2" t="n"/>
      <c r="K192" s="2" t="n"/>
      <c r="L192" s="2" t="n"/>
      <c r="M192" s="2" t="n"/>
      <c r="N192" s="2" t="n"/>
      <c r="O192" s="2" t="n"/>
      <c r="P192" s="2" t="inlineStr">
        <is>
          <t>V12 essence Rolls-Royce Meteor</t>
        </is>
      </c>
      <c r="Q192" s="2" t="n"/>
      <c r="R192" s="2" t="n"/>
      <c r="S192" s="2" t="inlineStr">
        <is>
          <t>À confirmer</t>
        </is>
      </c>
      <c r="T192" s="2" t="n"/>
      <c r="U192" s="2" t="n"/>
      <c r="V192" s="2" t="n"/>
      <c r="W192" s="2" t="n"/>
      <c r="X192" s="2" t="inlineStr">
        <is>
          <t>À documenter</t>
        </is>
      </c>
      <c r="Y192" s="2" t="inlineStr">
        <is>
          <t>À documenter</t>
        </is>
      </c>
      <c r="Z192" s="2" t="inlineStr">
        <is>
          <t>À documenter</t>
        </is>
      </c>
      <c r="AA192" s="2" t="inlineStr">
        <is>
          <t>À documenter</t>
        </is>
      </c>
      <c r="AB192" s="2" t="inlineStr">
        <is>
          <t>À documenter</t>
        </is>
      </c>
      <c r="AC192" s="2" t="inlineStr">
        <is>
          <t>Armement historique à déterminer précisément pour ce modèle/sa variante</t>
        </is>
      </c>
      <c r="AD192" s="2" t="inlineStr">
        <is>
          <t>À documenter</t>
        </is>
      </c>
      <c r="AE192" s="2" t="inlineStr">
        <is>
          <t>À documenter</t>
        </is>
      </c>
      <c r="AF192" s="2" t="inlineStr">
        <is>
          <t>À définir</t>
        </is>
      </c>
      <c r="AG192" s="2" t="inlineStr">
        <is>
          <t>À définir</t>
        </is>
      </c>
      <c r="AH192" s="2" t="inlineStr">
        <is>
          <t>Réparation d’origine si véhicule complet ; démontage si incomplet</t>
        </is>
      </c>
      <c r="AI192" s="2" t="inlineStr">
        <is>
          <t>À documenter</t>
        </is>
      </c>
      <c r="AJ192" s="2" t="inlineStr">
        <is>
          <t>À définir séparément des compatibilités historiques</t>
        </is>
      </c>
      <c r="AK192" s="2" t="inlineStr">
        <is>
          <t>À documenter</t>
        </is>
      </c>
      <c r="AL192" s="2" t="inlineStr">
        <is>
          <t>À rechercher / voir sources historiques</t>
        </is>
      </c>
      <c r="AM192" s="2" t="inlineStr">
        <is>
          <t>https://tankmuseum.org/tank-nuts/tank-collection/comet</t>
        </is>
      </c>
      <c r="AN192" s="2" t="inlineStr">
        <is>
          <t>Source de niveau variable ; contrôle par variante nécessaire</t>
        </is>
      </c>
      <c r="AO192" s="2" t="inlineStr">
        <is>
          <t>Non renseigné</t>
        </is>
      </c>
      <c r="AP192" s="2" t="inlineStr">
        <is>
          <t>Faible</t>
        </is>
      </c>
      <c r="AQ192" s="2" t="inlineStr">
        <is>
          <t>À vérifier</t>
        </is>
      </c>
      <c r="AR192" s="2" t="inlineStr">
        <is>
          <t>Partiel — fiche à compléter</t>
        </is>
      </c>
      <c r="AS192" s="2" t="inlineStr">
        <is>
          <t>P2/P3</t>
        </is>
      </c>
      <c r="AT192" s="2" t="inlineStr">
        <is>
          <t>Famille Meteor, conception antérieure à 1945.</t>
        </is>
      </c>
      <c r="AU192" s="2" t="inlineStr">
        <is>
          <t>À intégrer après validation du prototype</t>
        </is>
      </c>
      <c r="AV192" s="2" t="inlineStr">
        <is>
          <t>Comet A34 : véhicule de catégorie « Chars de croisière », d'origine Royaume-Uni. Motorisation recensée : V12 essence Rolls-Royce Meteor. Fiche de catalogue à compléter avec le rôle tactique et les caractéristiques de jeu.</t>
        </is>
      </c>
    </row>
    <row r="193" ht="60" customHeight="1">
      <c r="A193" s="2" t="inlineStr">
        <is>
          <t>VEH-192</t>
        </is>
      </c>
      <c r="B193" s="2" t="inlineStr">
        <is>
          <t>Chars légers et chars anciens</t>
        </is>
      </c>
      <c r="C193" s="2" t="inlineStr">
        <is>
          <t>Tetrarch</t>
        </is>
      </c>
      <c r="D193" s="2" t="inlineStr">
        <is>
          <t>À distinguer si plusieurs variantes</t>
        </is>
      </c>
      <c r="E193" s="2" t="inlineStr">
        <is>
          <t>Royaume-Uni</t>
        </is>
      </c>
      <c r="F193" s="2" t="inlineStr">
        <is>
          <t>À documenter</t>
        </is>
      </c>
      <c r="G193" s="2" t="inlineStr">
        <is>
          <t>À confirmer</t>
        </is>
      </c>
      <c r="H193" s="2" t="inlineStr">
        <is>
          <t>Chars légers et chars anciens</t>
        </is>
      </c>
      <c r="I193" s="2" t="inlineStr">
        <is>
          <t>À définir</t>
        </is>
      </c>
      <c r="J193" s="2" t="n"/>
      <c r="K193" s="2" t="n"/>
      <c r="L193" s="2" t="n"/>
      <c r="M193" s="2" t="n"/>
      <c r="N193" s="2" t="n"/>
      <c r="O193" s="2" t="n"/>
      <c r="P193" s="2" t="inlineStr">
        <is>
          <t>12 cylindres essence Meadows</t>
        </is>
      </c>
      <c r="Q193" s="2" t="n"/>
      <c r="R193" s="2" t="n"/>
      <c r="S193" s="2" t="inlineStr">
        <is>
          <t>À confirmer</t>
        </is>
      </c>
      <c r="T193" s="2" t="n"/>
      <c r="U193" s="2" t="n"/>
      <c r="V193" s="2" t="n"/>
      <c r="W193" s="2" t="n"/>
      <c r="X193" s="2" t="inlineStr">
        <is>
          <t>À documenter</t>
        </is>
      </c>
      <c r="Y193" s="2" t="inlineStr">
        <is>
          <t>À documenter</t>
        </is>
      </c>
      <c r="Z193" s="2" t="inlineStr">
        <is>
          <t>À documenter</t>
        </is>
      </c>
      <c r="AA193" s="2" t="inlineStr">
        <is>
          <t>À documenter</t>
        </is>
      </c>
      <c r="AB193" s="2" t="inlineStr">
        <is>
          <t>À documenter</t>
        </is>
      </c>
      <c r="AC193" s="2" t="inlineStr">
        <is>
          <t>Armement historique à déterminer précisément pour ce modèle/sa variante</t>
        </is>
      </c>
      <c r="AD193" s="2" t="inlineStr">
        <is>
          <t>À documenter</t>
        </is>
      </c>
      <c r="AE193" s="2" t="inlineStr">
        <is>
          <t>À documenter</t>
        </is>
      </c>
      <c r="AF193" s="2" t="inlineStr">
        <is>
          <t>À définir</t>
        </is>
      </c>
      <c r="AG193" s="2" t="inlineStr">
        <is>
          <t>À définir</t>
        </is>
      </c>
      <c r="AH193" s="2" t="inlineStr">
        <is>
          <t>Réparation d’origine si véhicule complet ; démontage si incomplet</t>
        </is>
      </c>
      <c r="AI193" s="2" t="inlineStr">
        <is>
          <t>À documenter</t>
        </is>
      </c>
      <c r="AJ193" s="2" t="inlineStr">
        <is>
          <t>À définir séparément des compatibilités historiques</t>
        </is>
      </c>
      <c r="AK193" s="2" t="inlineStr">
        <is>
          <t>À documenter</t>
        </is>
      </c>
      <c r="AL193" s="2" t="inlineStr">
        <is>
          <t>À rechercher / voir sources historiques</t>
        </is>
      </c>
      <c r="AM193" s="2" t="inlineStr">
        <is>
          <t>https://tankmuseum.org/tank-nuts/tank-collection/tetrarch</t>
        </is>
      </c>
      <c r="AN193" s="2" t="inlineStr">
        <is>
          <t>Source de niveau variable ; contrôle par variante nécessaire</t>
        </is>
      </c>
      <c r="AO193" s="2" t="inlineStr">
        <is>
          <t>Non renseigné</t>
        </is>
      </c>
      <c r="AP193" s="2" t="inlineStr">
        <is>
          <t>Faible</t>
        </is>
      </c>
      <c r="AQ193" s="2" t="inlineStr">
        <is>
          <t>À vérifier</t>
        </is>
      </c>
      <c r="AR193" s="2" t="inlineStr">
        <is>
          <t>Partiel — fiche à compléter</t>
        </is>
      </c>
      <c r="AS193" s="2" t="inlineStr">
        <is>
          <t>P2/P3</t>
        </is>
      </c>
      <c r="AT193" s="2" t="inlineStr">
        <is>
          <t>Char léger aéroportable.</t>
        </is>
      </c>
      <c r="AU193" s="2" t="inlineStr">
        <is>
          <t>À intégrer après validation du prototype</t>
        </is>
      </c>
      <c r="AV193" s="2" t="inlineStr">
        <is>
          <t>Tetrarch : véhicule de catégorie « Chars légers et chars anciens », d'origine Royaume-Uni. Motorisation recensée : 12 cylindres essence Meadows. Variante historique à vérifier avant validation définitive.</t>
        </is>
      </c>
    </row>
    <row r="194" ht="60" customHeight="1">
      <c r="A194" s="2" t="inlineStr">
        <is>
          <t>VEH-193</t>
        </is>
      </c>
      <c r="B194" s="2" t="inlineStr">
        <is>
          <t>Chasseurs de chars et canons automoteurs</t>
        </is>
      </c>
      <c r="C194" s="2" t="inlineStr">
        <is>
          <t>Archer</t>
        </is>
      </c>
      <c r="D194" s="2" t="inlineStr">
        <is>
          <t>À distinguer si plusieurs variantes</t>
        </is>
      </c>
      <c r="E194" s="2" t="inlineStr">
        <is>
          <t>Royaume-Uni</t>
        </is>
      </c>
      <c r="F194" s="2" t="inlineStr">
        <is>
          <t>À documenter</t>
        </is>
      </c>
      <c r="G194" s="2" t="inlineStr">
        <is>
          <t>À confirmer</t>
        </is>
      </c>
      <c r="H194" s="2" t="inlineStr">
        <is>
          <t>Chasseurs de chars et canons automoteurs</t>
        </is>
      </c>
      <c r="I194" s="2" t="inlineStr">
        <is>
          <t>À définir</t>
        </is>
      </c>
      <c r="J194" s="2" t="n"/>
      <c r="K194" s="2" t="n"/>
      <c r="L194" s="2" t="n"/>
      <c r="M194" s="2" t="n"/>
      <c r="N194" s="2" t="n"/>
      <c r="O194" s="2" t="n"/>
      <c r="P194" s="2" t="inlineStr">
        <is>
          <t>6 cylindres diesel GMC (famille à confirmer)</t>
        </is>
      </c>
      <c r="Q194" s="2" t="n"/>
      <c r="R194" s="2" t="n"/>
      <c r="S194" s="2" t="inlineStr">
        <is>
          <t>À confirmer</t>
        </is>
      </c>
      <c r="T194" s="2" t="n"/>
      <c r="U194" s="2" t="n"/>
      <c r="V194" s="2" t="n"/>
      <c r="W194" s="2" t="n"/>
      <c r="X194" s="2" t="inlineStr">
        <is>
          <t>À documenter</t>
        </is>
      </c>
      <c r="Y194" s="2" t="inlineStr">
        <is>
          <t>À documenter</t>
        </is>
      </c>
      <c r="Z194" s="2" t="inlineStr">
        <is>
          <t>À documenter</t>
        </is>
      </c>
      <c r="AA194" s="2" t="inlineStr">
        <is>
          <t>À documenter</t>
        </is>
      </c>
      <c r="AB194" s="2" t="inlineStr">
        <is>
          <t>À documenter</t>
        </is>
      </c>
      <c r="AC194" s="2" t="inlineStr">
        <is>
          <t>Armement historique à déterminer précisément pour ce modèle/sa variante</t>
        </is>
      </c>
      <c r="AD194" s="2" t="inlineStr">
        <is>
          <t>À documenter</t>
        </is>
      </c>
      <c r="AE194" s="2" t="inlineStr">
        <is>
          <t>À documenter</t>
        </is>
      </c>
      <c r="AF194" s="2" t="inlineStr">
        <is>
          <t>À définir</t>
        </is>
      </c>
      <c r="AG194" s="2" t="inlineStr">
        <is>
          <t>À définir</t>
        </is>
      </c>
      <c r="AH194" s="2" t="inlineStr">
        <is>
          <t>Réparation d’origine si véhicule complet ; démontage si incomplet</t>
        </is>
      </c>
      <c r="AI194" s="2" t="inlineStr">
        <is>
          <t>À documenter</t>
        </is>
      </c>
      <c r="AJ194" s="2" t="inlineStr">
        <is>
          <t>À définir séparément des compatibilités historiques</t>
        </is>
      </c>
      <c r="AK194" s="2" t="inlineStr">
        <is>
          <t>À documenter</t>
        </is>
      </c>
      <c r="AL194" s="2" t="inlineStr">
        <is>
          <t>À rechercher / voir sources historiques</t>
        </is>
      </c>
      <c r="AM194" s="2" t="inlineStr">
        <is>
          <t>https://tankmuseum.org/tank-nuts/tank-collection/archer</t>
        </is>
      </c>
      <c r="AN194" s="2" t="inlineStr">
        <is>
          <t>Source de niveau variable ; contrôle par variante nécessaire</t>
        </is>
      </c>
      <c r="AO194" s="2" t="inlineStr">
        <is>
          <t>Non renseigné</t>
        </is>
      </c>
      <c r="AP194" s="2" t="inlineStr">
        <is>
          <t>Faible</t>
        </is>
      </c>
      <c r="AQ194" s="2" t="inlineStr">
        <is>
          <t>À vérifier</t>
        </is>
      </c>
      <c r="AR194" s="2" t="inlineStr">
        <is>
          <t>Partiel — fiche à compléter</t>
        </is>
      </c>
      <c r="AS194" s="2" t="inlineStr">
        <is>
          <t>P2/P3</t>
        </is>
      </c>
      <c r="AT194" s="2" t="inlineStr">
        <is>
          <t>Canon automoteur à canon orienté vers l'arrière.</t>
        </is>
      </c>
      <c r="AU194" s="2" t="inlineStr">
        <is>
          <t>À intégrer après validation du prototype</t>
        </is>
      </c>
      <c r="AV194" s="2" t="inlineStr">
        <is>
          <t>Archer : véhicule de catégorie « Chasseurs de chars et canons automoteurs », d'origine Royaume-Uni. Motorisation recensée : 6 cylindres diesel GMC (famille à confirmer). Variante historique à vérifier avant validation définitive.</t>
        </is>
      </c>
    </row>
    <row r="195" ht="60" customHeight="1">
      <c r="A195" s="2" t="inlineStr">
        <is>
          <t>VEH-194</t>
        </is>
      </c>
      <c r="B195" s="2" t="inlineStr">
        <is>
          <t>Chasseurs de chars et canons automoteurs</t>
        </is>
      </c>
      <c r="C195" s="2" t="inlineStr">
        <is>
          <t>Bishop</t>
        </is>
      </c>
      <c r="D195" s="2" t="inlineStr">
        <is>
          <t>À distinguer si plusieurs variantes</t>
        </is>
      </c>
      <c r="E195" s="2" t="inlineStr">
        <is>
          <t>Royaume-Uni</t>
        </is>
      </c>
      <c r="F195" s="2" t="inlineStr">
        <is>
          <t>À documenter</t>
        </is>
      </c>
      <c r="G195" s="2" t="inlineStr">
        <is>
          <t>À confirmer</t>
        </is>
      </c>
      <c r="H195" s="2" t="inlineStr">
        <is>
          <t>Chasseurs de chars et canons automoteurs</t>
        </is>
      </c>
      <c r="I195" s="2" t="inlineStr">
        <is>
          <t>À définir</t>
        </is>
      </c>
      <c r="J195" s="2" t="n"/>
      <c r="K195" s="2" t="n"/>
      <c r="L195" s="2" t="n"/>
      <c r="M195" s="2" t="n"/>
      <c r="N195" s="2" t="n"/>
      <c r="O195" s="2" t="n"/>
      <c r="P195" s="2" t="inlineStr">
        <is>
          <t>V12 essence Bedford flat-12</t>
        </is>
      </c>
      <c r="Q195" s="2" t="n"/>
      <c r="R195" s="2" t="n"/>
      <c r="S195" s="2" t="inlineStr">
        <is>
          <t>À confirmer</t>
        </is>
      </c>
      <c r="T195" s="2" t="n"/>
      <c r="U195" s="2" t="n"/>
      <c r="V195" s="2" t="n"/>
      <c r="W195" s="2" t="n"/>
      <c r="X195" s="2" t="inlineStr">
        <is>
          <t>À documenter</t>
        </is>
      </c>
      <c r="Y195" s="2" t="inlineStr">
        <is>
          <t>À documenter</t>
        </is>
      </c>
      <c r="Z195" s="2" t="inlineStr">
        <is>
          <t>À documenter</t>
        </is>
      </c>
      <c r="AA195" s="2" t="inlineStr">
        <is>
          <t>À documenter</t>
        </is>
      </c>
      <c r="AB195" s="2" t="inlineStr">
        <is>
          <t>À documenter</t>
        </is>
      </c>
      <c r="AC195" s="2" t="inlineStr">
        <is>
          <t>Armement historique à déterminer précisément pour ce modèle/sa variante</t>
        </is>
      </c>
      <c r="AD195" s="2" t="inlineStr">
        <is>
          <t>À documenter</t>
        </is>
      </c>
      <c r="AE195" s="2" t="inlineStr">
        <is>
          <t>À documenter</t>
        </is>
      </c>
      <c r="AF195" s="2" t="inlineStr">
        <is>
          <t>À définir</t>
        </is>
      </c>
      <c r="AG195" s="2" t="inlineStr">
        <is>
          <t>À définir</t>
        </is>
      </c>
      <c r="AH195" s="2" t="inlineStr">
        <is>
          <t>Réparation d’origine si véhicule complet ; démontage si incomplet</t>
        </is>
      </c>
      <c r="AI195" s="2" t="inlineStr">
        <is>
          <t>À documenter</t>
        </is>
      </c>
      <c r="AJ195" s="2" t="inlineStr">
        <is>
          <t>À définir séparément des compatibilités historiques</t>
        </is>
      </c>
      <c r="AK195" s="2" t="inlineStr">
        <is>
          <t>À documenter</t>
        </is>
      </c>
      <c r="AL195" s="2" t="inlineStr">
        <is>
          <t>À rechercher / voir sources historiques</t>
        </is>
      </c>
      <c r="AM195" s="2" t="inlineStr">
        <is>
          <t>https://tanks-encyclopedia.com/ww2/gb/bishop/</t>
        </is>
      </c>
      <c r="AN195" s="2" t="inlineStr">
        <is>
          <t>Source de niveau variable ; contrôle par variante nécessaire</t>
        </is>
      </c>
      <c r="AO195" s="2" t="inlineStr">
        <is>
          <t>Non renseigné</t>
        </is>
      </c>
      <c r="AP195" s="2" t="inlineStr">
        <is>
          <t>Faible</t>
        </is>
      </c>
      <c r="AQ195" s="2" t="inlineStr">
        <is>
          <t>À vérifier</t>
        </is>
      </c>
      <c r="AR195" s="2" t="inlineStr">
        <is>
          <t>Partiel — fiche à compléter</t>
        </is>
      </c>
      <c r="AS195" s="2" t="inlineStr">
        <is>
          <t>P2/P3</t>
        </is>
      </c>
      <c r="AT195" s="2" t="inlineStr">
        <is>
          <t>Canon automoteur sur châssis Valentine.</t>
        </is>
      </c>
      <c r="AU195" s="2" t="inlineStr">
        <is>
          <t>À intégrer après validation du prototype</t>
        </is>
      </c>
      <c r="AV195" s="2" t="inlineStr">
        <is>
          <t>Bishop : véhicule de catégorie « Chasseurs de chars et canons automoteurs », d'origine Royaume-Uni. Motorisation recensée : V12 essence Bedford flat-12. Variante historique à vérifier avant validation définitive.</t>
        </is>
      </c>
    </row>
    <row r="196" ht="60" customHeight="1">
      <c r="A196" s="2" t="inlineStr">
        <is>
          <t>VEH-195</t>
        </is>
      </c>
      <c r="B196" s="2" t="inlineStr">
        <is>
          <t>Chasseurs de chars et canons automoteurs</t>
        </is>
      </c>
      <c r="C196" s="2" t="inlineStr">
        <is>
          <t>Sexton</t>
        </is>
      </c>
      <c r="D196" s="2" t="inlineStr">
        <is>
          <t>À distinguer si plusieurs variantes</t>
        </is>
      </c>
      <c r="E196" s="2" t="inlineStr">
        <is>
          <t>Canada/Royaume-Uni</t>
        </is>
      </c>
      <c r="F196" s="2" t="inlineStr">
        <is>
          <t>À documenter</t>
        </is>
      </c>
      <c r="G196" s="2" t="inlineStr">
        <is>
          <t>À confirmer</t>
        </is>
      </c>
      <c r="H196" s="2" t="inlineStr">
        <is>
          <t>Chasseurs de chars et canons automoteurs</t>
        </is>
      </c>
      <c r="I196" s="2" t="inlineStr">
        <is>
          <t>À définir</t>
        </is>
      </c>
      <c r="J196" s="2" t="n"/>
      <c r="K196" s="2" t="n"/>
      <c r="L196" s="2" t="n"/>
      <c r="M196" s="2" t="n"/>
      <c r="N196" s="2" t="n"/>
      <c r="O196" s="2" t="n"/>
      <c r="P196" s="2" t="inlineStr">
        <is>
          <t>2 moteurs 6 cylindres essence GMC 6046 sur variantes canadiennes (à confirmer)</t>
        </is>
      </c>
      <c r="Q196" s="2" t="n"/>
      <c r="R196" s="2" t="n"/>
      <c r="S196" s="2" t="inlineStr">
        <is>
          <t>À confirmer</t>
        </is>
      </c>
      <c r="T196" s="2" t="n"/>
      <c r="U196" s="2" t="n"/>
      <c r="V196" s="2" t="n"/>
      <c r="W196" s="2" t="n"/>
      <c r="X196" s="2" t="inlineStr">
        <is>
          <t>À documenter</t>
        </is>
      </c>
      <c r="Y196" s="2" t="inlineStr">
        <is>
          <t>À documenter</t>
        </is>
      </c>
      <c r="Z196" s="2" t="inlineStr">
        <is>
          <t>À documenter</t>
        </is>
      </c>
      <c r="AA196" s="2" t="inlineStr">
        <is>
          <t>À documenter</t>
        </is>
      </c>
      <c r="AB196" s="2" t="inlineStr">
        <is>
          <t>À documenter</t>
        </is>
      </c>
      <c r="AC196" s="2" t="inlineStr">
        <is>
          <t>Armement historique à déterminer précisément pour ce modèle/sa variante</t>
        </is>
      </c>
      <c r="AD196" s="2" t="inlineStr">
        <is>
          <t>À documenter</t>
        </is>
      </c>
      <c r="AE196" s="2" t="inlineStr">
        <is>
          <t>À documenter</t>
        </is>
      </c>
      <c r="AF196" s="2" t="inlineStr">
        <is>
          <t>À définir</t>
        </is>
      </c>
      <c r="AG196" s="2" t="inlineStr">
        <is>
          <t>À définir</t>
        </is>
      </c>
      <c r="AH196" s="2" t="inlineStr">
        <is>
          <t>Réparation d’origine si véhicule complet ; démontage si incomplet</t>
        </is>
      </c>
      <c r="AI196" s="2" t="inlineStr">
        <is>
          <t>À documenter</t>
        </is>
      </c>
      <c r="AJ196" s="2" t="inlineStr">
        <is>
          <t>À définir séparément des compatibilités historiques</t>
        </is>
      </c>
      <c r="AK196" s="2" t="inlineStr">
        <is>
          <t>À documenter</t>
        </is>
      </c>
      <c r="AL196" s="2" t="inlineStr">
        <is>
          <t>À rechercher / voir sources historiques</t>
        </is>
      </c>
      <c r="AM196" s="2" t="inlineStr">
        <is>
          <t>https://tanks-encyclopedia.com/ww2/canada/ram-sexton/</t>
        </is>
      </c>
      <c r="AN196" s="2" t="inlineStr">
        <is>
          <t>Source de niveau variable ; contrôle par variante nécessaire</t>
        </is>
      </c>
      <c r="AO196" s="2" t="inlineStr">
        <is>
          <t>Non renseigné</t>
        </is>
      </c>
      <c r="AP196" s="2" t="inlineStr">
        <is>
          <t>Faible</t>
        </is>
      </c>
      <c r="AQ196" s="2" t="inlineStr">
        <is>
          <t>À vérifier</t>
        </is>
      </c>
      <c r="AR196" s="2" t="inlineStr">
        <is>
          <t>Partiel — fiche à compléter</t>
        </is>
      </c>
      <c r="AS196" s="2" t="inlineStr">
        <is>
          <t>P2/P3</t>
        </is>
      </c>
      <c r="AT196" s="2" t="inlineStr">
        <is>
          <t>Châssis Ram ; distinguer variantes et groupe moteur.</t>
        </is>
      </c>
      <c r="AU196" s="2" t="inlineStr">
        <is>
          <t>À intégrer après validation du prototype</t>
        </is>
      </c>
      <c r="AV196" s="2" t="inlineStr">
        <is>
          <t>Sexton : véhicule de catégorie « Chasseurs de chars et canons automoteurs », d'origine Canada/Royaume-Uni. Motorisation recensée : 2 moteurs 6 cylindres essence GMC 6046 sur variantes canadiennes (à confirmer). Variante historique à vérifier avant validation définitive.</t>
        </is>
      </c>
    </row>
    <row r="197" ht="60" customHeight="1">
      <c r="A197" s="2" t="inlineStr">
        <is>
          <t>VEH-196</t>
        </is>
      </c>
      <c r="B197" s="2" t="inlineStr">
        <is>
          <t>Chars légers et chars anciens</t>
        </is>
      </c>
      <c r="C197" s="2" t="inlineStr">
        <is>
          <t>M2 Light Tank</t>
        </is>
      </c>
      <c r="D197" s="2" t="inlineStr">
        <is>
          <t>À distinguer si plusieurs variantes</t>
        </is>
      </c>
      <c r="E197" s="2" t="inlineStr">
        <is>
          <t>États-Unis</t>
        </is>
      </c>
      <c r="F197" s="2" t="inlineStr">
        <is>
          <t>À documenter</t>
        </is>
      </c>
      <c r="G197" s="2" t="inlineStr">
        <is>
          <t>À confirmer</t>
        </is>
      </c>
      <c r="H197" s="2" t="inlineStr">
        <is>
          <t>Chars légers et chars anciens</t>
        </is>
      </c>
      <c r="I197" s="2" t="inlineStr">
        <is>
          <t>À définir</t>
        </is>
      </c>
      <c r="J197" s="2" t="n"/>
      <c r="K197" s="2" t="n"/>
      <c r="L197" s="2" t="n"/>
      <c r="M197" s="2" t="n"/>
      <c r="N197" s="2" t="n"/>
      <c r="O197" s="2" t="n"/>
      <c r="P197" s="2" t="inlineStr">
        <is>
          <t>7 cylindres en étoile essence Continental W-670</t>
        </is>
      </c>
      <c r="Q197" s="2" t="n"/>
      <c r="R197" s="2" t="n"/>
      <c r="S197" s="2" t="inlineStr">
        <is>
          <t>À confirmer</t>
        </is>
      </c>
      <c r="T197" s="2" t="n"/>
      <c r="U197" s="2" t="n"/>
      <c r="V197" s="2" t="n"/>
      <c r="W197" s="2" t="n"/>
      <c r="X197" s="2" t="inlineStr">
        <is>
          <t>À documenter</t>
        </is>
      </c>
      <c r="Y197" s="2" t="inlineStr">
        <is>
          <t>À documenter</t>
        </is>
      </c>
      <c r="Z197" s="2" t="inlineStr">
        <is>
          <t>À documenter</t>
        </is>
      </c>
      <c r="AA197" s="2" t="inlineStr">
        <is>
          <t>À documenter</t>
        </is>
      </c>
      <c r="AB197" s="2" t="inlineStr">
        <is>
          <t>À documenter</t>
        </is>
      </c>
      <c r="AC197" s="2" t="inlineStr">
        <is>
          <t>Mitrailleuses Browning .30; armement variable selon variante</t>
        </is>
      </c>
      <c r="AD197" s="2" t="inlineStr">
        <is>
          <t>À documenter</t>
        </is>
      </c>
      <c r="AE197" s="2" t="inlineStr">
        <is>
          <t>À documenter</t>
        </is>
      </c>
      <c r="AF197" s="2" t="inlineStr">
        <is>
          <t>À définir</t>
        </is>
      </c>
      <c r="AG197" s="2" t="inlineStr">
        <is>
          <t>À définir</t>
        </is>
      </c>
      <c r="AH197" s="2" t="inlineStr">
        <is>
          <t>Réparation d’origine si véhicule complet ; démontage si incomplet</t>
        </is>
      </c>
      <c r="AI197" s="2" t="inlineStr">
        <is>
          <t>À documenter</t>
        </is>
      </c>
      <c r="AJ197" s="2" t="inlineStr">
        <is>
          <t>À définir séparément des compatibilités historiques</t>
        </is>
      </c>
      <c r="AK197" s="2" t="inlineStr">
        <is>
          <t>À documenter</t>
        </is>
      </c>
      <c r="AL197" s="2" t="inlineStr">
        <is>
          <t>À rechercher / voir sources historiques</t>
        </is>
      </c>
      <c r="AM197" s="2" t="inlineStr">
        <is>
          <t>https://tanks-encyclopedia.com/ww2/us/m2-light-tank/</t>
        </is>
      </c>
      <c r="AN197" s="2" t="inlineStr">
        <is>
          <t>Source de niveau variable ; contrôle par variante nécessaire</t>
        </is>
      </c>
      <c r="AO197" s="2" t="inlineStr">
        <is>
          <t>Non renseigné</t>
        </is>
      </c>
      <c r="AP197" s="2" t="inlineStr">
        <is>
          <t>Faible</t>
        </is>
      </c>
      <c r="AQ197" s="2" t="inlineStr">
        <is>
          <t>Partiel</t>
        </is>
      </c>
      <c r="AR197" s="2" t="inlineStr">
        <is>
          <t>Partiel — fiche à compléter</t>
        </is>
      </c>
      <c r="AS197" s="2" t="inlineStr">
        <is>
          <t>P2/P3</t>
        </is>
      </c>
      <c r="AT197" s="2" t="inlineStr">
        <is>
          <t>Moteur radial ; famille intéressante et visuellement distinctive.</t>
        </is>
      </c>
      <c r="AU197" s="2" t="inlineStr">
        <is>
          <t>À intégrer après validation du prototype</t>
        </is>
      </c>
      <c r="AV197" s="2" t="inlineStr">
        <is>
          <t>M2 Light Tank : véhicule de catégorie « Chars légers et chars anciens », d'origine États-Unis. Motorisation recensée : 7 cylindres en étoile essence Continental W-670. Fiche de catalogue à compléter avec le rôle tactique et les caractéristiques de jeu.</t>
        </is>
      </c>
    </row>
    <row r="198" ht="60" customHeight="1">
      <c r="A198" s="2" t="inlineStr">
        <is>
          <t>VEH-197</t>
        </is>
      </c>
      <c r="B198" s="2" t="inlineStr">
        <is>
          <t>Chars moyens</t>
        </is>
      </c>
      <c r="C198" s="2" t="inlineStr">
        <is>
          <t>M2 Medium Tank</t>
        </is>
      </c>
      <c r="D198" s="2" t="inlineStr">
        <is>
          <t>À distinguer si plusieurs variantes</t>
        </is>
      </c>
      <c r="E198" s="2" t="inlineStr">
        <is>
          <t>États-Unis</t>
        </is>
      </c>
      <c r="F198" s="2" t="inlineStr">
        <is>
          <t>À documenter</t>
        </is>
      </c>
      <c r="G198" s="2" t="inlineStr">
        <is>
          <t>À confirmer</t>
        </is>
      </c>
      <c r="H198" s="2" t="inlineStr">
        <is>
          <t>Chars moyens</t>
        </is>
      </c>
      <c r="I198" s="2" t="inlineStr">
        <is>
          <t>À définir</t>
        </is>
      </c>
      <c r="J198" s="2" t="n"/>
      <c r="K198" s="2" t="n"/>
      <c r="L198" s="2" t="n"/>
      <c r="M198" s="2" t="n"/>
      <c r="N198" s="2" t="n"/>
      <c r="O198" s="2" t="n"/>
      <c r="P198" s="2" t="inlineStr">
        <is>
          <t>9 cylindres en étoile essence Wright R-975</t>
        </is>
      </c>
      <c r="Q198" s="2" t="n"/>
      <c r="R198" s="2" t="n"/>
      <c r="S198" s="2" t="inlineStr">
        <is>
          <t>À confirmer</t>
        </is>
      </c>
      <c r="T198" s="2" t="n"/>
      <c r="U198" s="2" t="n"/>
      <c r="V198" s="2" t="n"/>
      <c r="W198" s="2" t="n"/>
      <c r="X198" s="2" t="inlineStr">
        <is>
          <t>À documenter</t>
        </is>
      </c>
      <c r="Y198" s="2" t="inlineStr">
        <is>
          <t>À documenter</t>
        </is>
      </c>
      <c r="Z198" s="2" t="inlineStr">
        <is>
          <t>À documenter</t>
        </is>
      </c>
      <c r="AA198" s="2" t="inlineStr">
        <is>
          <t>À documenter</t>
        </is>
      </c>
      <c r="AB198" s="2" t="inlineStr">
        <is>
          <t>À documenter</t>
        </is>
      </c>
      <c r="AC198" s="2" t="inlineStr">
        <is>
          <t>Armement historique à déterminer précisément pour ce modèle/sa variante</t>
        </is>
      </c>
      <c r="AD198" s="2" t="inlineStr">
        <is>
          <t>À documenter</t>
        </is>
      </c>
      <c r="AE198" s="2" t="inlineStr">
        <is>
          <t>À documenter</t>
        </is>
      </c>
      <c r="AF198" s="2" t="inlineStr">
        <is>
          <t>À définir</t>
        </is>
      </c>
      <c r="AG198" s="2" t="inlineStr">
        <is>
          <t>À définir</t>
        </is>
      </c>
      <c r="AH198" s="2" t="inlineStr">
        <is>
          <t>Réparation d’origine si véhicule complet ; démontage si incomplet</t>
        </is>
      </c>
      <c r="AI198" s="2" t="inlineStr">
        <is>
          <t>À documenter</t>
        </is>
      </c>
      <c r="AJ198" s="2" t="inlineStr">
        <is>
          <t>À définir séparément des compatibilités historiques</t>
        </is>
      </c>
      <c r="AK198" s="2" t="inlineStr">
        <is>
          <t>À documenter</t>
        </is>
      </c>
      <c r="AL198" s="2" t="inlineStr">
        <is>
          <t>À rechercher / voir sources historiques</t>
        </is>
      </c>
      <c r="AM198" s="2" t="inlineStr">
        <is>
          <t>https://tanks-encyclopedia.com/ww2/us/m2-medium-tank/</t>
        </is>
      </c>
      <c r="AN198" s="2" t="inlineStr">
        <is>
          <t>Source de niveau variable ; contrôle par variante nécessaire</t>
        </is>
      </c>
      <c r="AO198" s="2" t="inlineStr">
        <is>
          <t>Non renseigné</t>
        </is>
      </c>
      <c r="AP198" s="2" t="inlineStr">
        <is>
          <t>Faible</t>
        </is>
      </c>
      <c r="AQ198" s="2" t="inlineStr">
        <is>
          <t>À vérifier</t>
        </is>
      </c>
      <c r="AR198" s="2" t="inlineStr">
        <is>
          <t>Partiel — fiche à compléter</t>
        </is>
      </c>
      <c r="AS198" s="2" t="inlineStr">
        <is>
          <t>P2/P3</t>
        </is>
      </c>
      <c r="AT198" s="2" t="inlineStr">
        <is>
          <t>Moteur radial réutilisé sur plusieurs véhicules américains.</t>
        </is>
      </c>
      <c r="AU198" s="2" t="inlineStr">
        <is>
          <t>À intégrer après validation du prototype</t>
        </is>
      </c>
      <c r="AV198" s="2" t="inlineStr">
        <is>
          <t>M2 Medium Tank : véhicule de catégorie « Chars moyens », d'origine États-Unis. Motorisation recensée : 9 cylindres en étoile essence Wright R-975. Fiche de catalogue à compléter avec le rôle tactique et les caractéristiques de jeu.</t>
        </is>
      </c>
    </row>
    <row r="199" ht="60" customHeight="1">
      <c r="A199" s="2" t="inlineStr">
        <is>
          <t>VEH-198</t>
        </is>
      </c>
      <c r="B199" s="2" t="inlineStr">
        <is>
          <t>Chars moyens</t>
        </is>
      </c>
      <c r="C199" s="2" t="inlineStr">
        <is>
          <t>M4 Sherman M4/M4A1</t>
        </is>
      </c>
      <c r="D199" s="2" t="inlineStr">
        <is>
          <t>À distinguer si plusieurs variantes</t>
        </is>
      </c>
      <c r="E199" s="2" t="inlineStr">
        <is>
          <t>États-Unis</t>
        </is>
      </c>
      <c r="F199" s="2" t="inlineStr">
        <is>
          <t>À documenter</t>
        </is>
      </c>
      <c r="G199" s="2" t="inlineStr">
        <is>
          <t>À confirmer</t>
        </is>
      </c>
      <c r="H199" s="2" t="inlineStr">
        <is>
          <t>Chars moyens</t>
        </is>
      </c>
      <c r="I199" s="2" t="inlineStr">
        <is>
          <t>À définir</t>
        </is>
      </c>
      <c r="J199" s="2" t="n">
        <v>30300</v>
      </c>
      <c r="K199" s="2" t="n"/>
      <c r="L199" s="2" t="n">
        <v>5.89</v>
      </c>
      <c r="M199" s="2" t="n">
        <v>2.62</v>
      </c>
      <c r="N199" s="2" t="n">
        <v>2.74</v>
      </c>
      <c r="O199" s="2" t="n"/>
      <c r="P199" s="2" t="inlineStr">
        <is>
          <t>M4 : radial Continental R975 essence ; M4A1 : moteur radial Continental R975 selon série</t>
        </is>
      </c>
      <c r="Q199" s="2" t="n">
        <v>15.9</v>
      </c>
      <c r="R199" s="2" t="n">
        <v>400</v>
      </c>
      <c r="S199" s="2" t="inlineStr">
        <is>
          <t>Essence</t>
        </is>
      </c>
      <c r="T199" s="2" t="n"/>
      <c r="U199" s="2" t="n"/>
      <c r="V199" s="2" t="n">
        <v>38</v>
      </c>
      <c r="W199" s="2" t="n"/>
      <c r="X199" s="2" t="inlineStr">
        <is>
          <t>5</t>
        </is>
      </c>
      <c r="Y199" s="2" t="inlineStr">
        <is>
          <t>À documenter</t>
        </is>
      </c>
      <c r="Z199" s="2" t="inlineStr">
        <is>
          <t>À documenter</t>
        </is>
      </c>
      <c r="AA199" s="2" t="inlineStr">
        <is>
          <t>À documenter</t>
        </is>
      </c>
      <c r="AB199" s="2" t="inlineStr">
        <is>
          <t>Blindage variable selon sous-version, série de production et améliorations</t>
        </is>
      </c>
      <c r="AC199" s="2" t="inlineStr">
        <is>
          <t>Canon de 75 mm M3 sur la configuration de référence initiale</t>
        </is>
      </c>
      <c r="AD199" s="2" t="inlineStr">
        <is>
          <t>Mitrailleuses M1919 .30 et M2 .50 selon montage</t>
        </is>
      </c>
      <c r="AE199" s="2" t="inlineStr">
        <is>
          <t>À documenter</t>
        </is>
      </c>
      <c r="AF199" s="2" t="inlineStr">
        <is>
          <t>À définir</t>
        </is>
      </c>
      <c r="AG199" s="2" t="inlineStr">
        <is>
          <t>À définir</t>
        </is>
      </c>
      <c r="AH199" s="2" t="inlineStr">
        <is>
          <t>Réparation d’origine si véhicule complet ; démontage si incomplet</t>
        </is>
      </c>
      <c r="AI199" s="2" t="inlineStr">
        <is>
          <t>Moteur, transmission, chenilles, bogies, tourelle, canon, réservoirs, rangement de munitions</t>
        </is>
      </c>
      <c r="AJ199" s="2" t="inlineStr">
        <is>
          <t>À définir séparément des compatibilités historiques</t>
        </is>
      </c>
      <c r="AK199" s="2" t="inlineStr">
        <is>
          <t>M4 caisse soudée et M4A1 caisse moulée sont des variantes distinctes ; changements de canon, blindage et suspension doivent être modélisés séparément</t>
        </is>
      </c>
      <c r="AL199" s="2" t="inlineStr">
        <is>
          <t>https://www.wardrawings.be/WW2/Files/1-Vehicles/Allies/1-USA/02-MediumTanks/M4-Sherman/Data/M4%28mid%29.htm</t>
        </is>
      </c>
      <c r="AM199" s="2" t="inlineStr">
        <is>
          <t>https://www.rdgmuseum.org.uk/history-and-research/tanks-and-vehicles/the-1940s/the-m4-sherman-medium-tank/</t>
        </is>
      </c>
      <c r="AN199" s="2" t="inlineStr">
        <is>
          <t>Fiche technique secondaire détaillée + musée</t>
        </is>
      </c>
      <c r="AO199" s="2" t="inlineStr">
        <is>
          <t>Moyen — gabarit représentatif d’une variante moyenne de production</t>
        </is>
      </c>
      <c r="AP199" s="2" t="inlineStr">
        <is>
          <t>Moyen — moteur exact à lier à M4 ou M4A1 et série</t>
        </is>
      </c>
      <c r="AQ199" s="2" t="inlineStr">
        <is>
          <t>Moyen — canon et mitrailleuses dépendent de la variante</t>
        </is>
      </c>
      <c r="AR199" s="2" t="inlineStr">
        <is>
          <t>Partiel — référence M4/M4A1 provisoire, scinder les fiches si les variantes sont jouables séparément</t>
        </is>
      </c>
      <c r="AS199" s="2" t="inlineStr">
        <is>
          <t>P1</t>
        </is>
      </c>
      <c r="AT199" s="2" t="inlineStr">
        <is>
          <t>Ne pas attribuer un unique moteur à toute la famille Sherman. Cette ligne doit être scindée si le jeu expose M4 et M4A1 comme modèles distincts.</t>
        </is>
      </c>
      <c r="AU199" s="2" t="inlineStr">
        <is>
          <t>Char de combat polyvalent</t>
        </is>
      </c>
      <c r="AV199" s="2" t="inlineStr">
        <is>
          <t>M4 Sherman M4/M4A1 : véhicule de catégorie « Chars moyens », d'origine États-Unis. Motorisation recensée : 9 cylindres en étoile Continental R-975. Fiche de catalogue à compléter avec le rôle tactique et les caractéristiques de jeu.</t>
        </is>
      </c>
    </row>
    <row r="200" ht="60" customHeight="1">
      <c r="A200" s="2" t="inlineStr">
        <is>
          <t>VEH-199</t>
        </is>
      </c>
      <c r="B200" s="2" t="inlineStr">
        <is>
          <t>Chars moyens</t>
        </is>
      </c>
      <c r="C200" s="2" t="inlineStr">
        <is>
          <t>M4 Sherman M4A2</t>
        </is>
      </c>
      <c r="D200" s="2" t="inlineStr">
        <is>
          <t>À distinguer si plusieurs variantes</t>
        </is>
      </c>
      <c r="E200" s="2" t="inlineStr">
        <is>
          <t>États-Unis</t>
        </is>
      </c>
      <c r="F200" s="2" t="inlineStr">
        <is>
          <t>À documenter</t>
        </is>
      </c>
      <c r="G200" s="2" t="inlineStr">
        <is>
          <t>À confirmer</t>
        </is>
      </c>
      <c r="H200" s="2" t="inlineStr">
        <is>
          <t>Chars moyens</t>
        </is>
      </c>
      <c r="I200" s="2" t="inlineStr">
        <is>
          <t>À définir</t>
        </is>
      </c>
      <c r="J200" s="2" t="n">
        <v>30300</v>
      </c>
      <c r="K200" s="2" t="n"/>
      <c r="L200" s="2" t="n">
        <v>5.92</v>
      </c>
      <c r="M200" s="2" t="n">
        <v>2.62</v>
      </c>
      <c r="N200" s="2" t="n">
        <v>2.74</v>
      </c>
      <c r="O200" s="2" t="n"/>
      <c r="P200" s="2" t="inlineStr">
        <is>
          <t>GM 6046, deux moteurs diesel 6 cylindres en ligne accouplés</t>
        </is>
      </c>
      <c r="Q200" s="2" t="n">
        <v>13.9</v>
      </c>
      <c r="R200" s="2" t="n">
        <v>375</v>
      </c>
      <c r="S200" s="2" t="inlineStr">
        <is>
          <t>Diesel</t>
        </is>
      </c>
      <c r="T200" s="2" t="n">
        <v>673</v>
      </c>
      <c r="U200" s="2" t="n"/>
      <c r="V200" s="2" t="n">
        <v>34</v>
      </c>
      <c r="W200" s="2" t="n">
        <v>241</v>
      </c>
      <c r="X200" s="2" t="inlineStr">
        <is>
          <t>5</t>
        </is>
      </c>
      <c r="Y200" s="2" t="inlineStr">
        <is>
          <t>À documenter</t>
        </is>
      </c>
      <c r="Z200" s="2" t="inlineStr">
        <is>
          <t>À documenter</t>
        </is>
      </c>
      <c r="AA200" s="2" t="inlineStr">
        <is>
          <t>À documenter</t>
        </is>
      </c>
      <c r="AB200" s="2" t="inlineStr">
        <is>
          <t>Blindage variable selon série et sous-version</t>
        </is>
      </c>
      <c r="AC200" s="2" t="inlineStr">
        <is>
          <t>Canon de 75 mm sur les premières configurations ; 76 mm sur certaines versions ultérieures</t>
        </is>
      </c>
      <c r="AD200" s="2" t="inlineStr">
        <is>
          <t>Deux mitrailleuses M1919 .30 et une M2 .50 selon configuration</t>
        </is>
      </c>
      <c r="AE200" s="2" t="inlineStr">
        <is>
          <t>À documenter</t>
        </is>
      </c>
      <c r="AF200" s="2" t="inlineStr">
        <is>
          <t>À définir</t>
        </is>
      </c>
      <c r="AG200" s="2" t="inlineStr">
        <is>
          <t>À définir</t>
        </is>
      </c>
      <c r="AH200" s="2" t="inlineStr">
        <is>
          <t>Réparation d’origine si véhicule complet ; démontage si incomplet</t>
        </is>
      </c>
      <c r="AI200" s="2" t="inlineStr">
        <is>
          <t>Deux moteurs diesel, transmission, chenilles, bogies, tourelle, canon, réservoirs</t>
        </is>
      </c>
      <c r="AJ200" s="2" t="inlineStr">
        <is>
          <t>À définir séparément des compatibilités historiques</t>
        </is>
      </c>
      <c r="AK200" s="2" t="inlineStr">
        <is>
          <t>M4A2 75 mm, M4A2 76 mm, wet/dry stowage et VVSS/HVSS sont des distinctions utiles selon le niveau de détail du jeu</t>
        </is>
      </c>
      <c r="AL200" s="2" t="inlineStr">
        <is>
          <t>https://www.theshermantank.com/wp-content/uploads/M4A2-76w-spec-sheet.pdf</t>
        </is>
      </c>
      <c r="AM200" s="2" t="inlineStr">
        <is>
          <t>https://www.mvcgfrance.org/sherman-m4a2/ ; https://www.wardrawings.be/WW2/Files/1-Vehicles/Allies/1-USA/02-MediumTanks/M4-Sherman/Data/M4A2%28late%29.htm</t>
        </is>
      </c>
      <c r="AN200" s="2" t="inlineStr">
        <is>
          <t>Fiche technique de variante + fiche de collection</t>
        </is>
      </c>
      <c r="AO200" s="2" t="inlineStr">
        <is>
          <t>Moyen — données d’une variante 76 mm tardive ; ne pas appliquer sans distinction à toute M4A2</t>
        </is>
      </c>
      <c r="AP200" s="2" t="inlineStr">
        <is>
          <t>Élevé pour GM 6046 diesel ; puissance dépend de la convention de mesure</t>
        </is>
      </c>
      <c r="AQ200" s="2" t="inlineStr">
        <is>
          <t>Moyen — dépend du canon et de la tourelle</t>
        </is>
      </c>
      <c r="AR200" s="2" t="inlineStr">
        <is>
          <t>Partiel — données de référence de variante tardive</t>
        </is>
      </c>
      <c r="AS200" s="2" t="inlineStr">
        <is>
          <t>P1</t>
        </is>
      </c>
      <c r="AT200" s="2" t="inlineStr">
        <is>
          <t>Les dimensions de la fiche de référence concernent un M4A2(76)W ; la capacité carburant dépend de la version et de la définition des réservoirs.</t>
        </is>
      </c>
      <c r="AU200" s="2" t="inlineStr">
        <is>
          <t>Char de combat polyvalent</t>
        </is>
      </c>
      <c r="AV200" s="2" t="inlineStr">
        <is>
          <t>M4 Sherman M4A2 : véhicule de catégorie « Chars moyens », d'origine États-Unis. Motorisation recensée : 2 moteurs diesel 6 cylindres en ligne GM 6-71 couplés. Fiche de catalogue à compléter avec le rôle tactique et les caractéristiques de jeu.</t>
        </is>
      </c>
    </row>
    <row r="201" ht="60" customHeight="1">
      <c r="A201" s="2" t="inlineStr">
        <is>
          <t>VEH-200</t>
        </is>
      </c>
      <c r="B201" s="2" t="inlineStr">
        <is>
          <t>Chars moyens</t>
        </is>
      </c>
      <c r="C201" s="2" t="inlineStr">
        <is>
          <t>M4 Sherman M4A3</t>
        </is>
      </c>
      <c r="D201" s="2" t="inlineStr">
        <is>
          <t>À distinguer si plusieurs variantes</t>
        </is>
      </c>
      <c r="E201" s="2" t="inlineStr">
        <is>
          <t>États-Unis</t>
        </is>
      </c>
      <c r="F201" s="2" t="inlineStr">
        <is>
          <t>À documenter</t>
        </is>
      </c>
      <c r="G201" s="2" t="inlineStr">
        <is>
          <t>À confirmer</t>
        </is>
      </c>
      <c r="H201" s="2" t="inlineStr">
        <is>
          <t>Chars moyens</t>
        </is>
      </c>
      <c r="I201" s="2" t="inlineStr">
        <is>
          <t>À définir</t>
        </is>
      </c>
      <c r="J201" s="2" t="n">
        <v>30800</v>
      </c>
      <c r="K201" s="2" t="n"/>
      <c r="L201" s="2" t="n">
        <v>5.92</v>
      </c>
      <c r="M201" s="2" t="n">
        <v>2.62</v>
      </c>
      <c r="N201" s="2" t="n">
        <v>2.74</v>
      </c>
      <c r="O201" s="2" t="n"/>
      <c r="P201" s="2" t="inlineStr">
        <is>
          <t>Ford GAA V8 essence, refroidi par liquide</t>
        </is>
      </c>
      <c r="Q201" s="2" t="n">
        <v>18</v>
      </c>
      <c r="R201" s="2" t="n">
        <v>500</v>
      </c>
      <c r="S201" s="2" t="inlineStr">
        <is>
          <t>Essence</t>
        </is>
      </c>
      <c r="T201" s="2" t="n"/>
      <c r="U201" s="2" t="n"/>
      <c r="V201" s="2" t="n">
        <v>42</v>
      </c>
      <c r="W201" s="2" t="n"/>
      <c r="X201" s="2" t="inlineStr">
        <is>
          <t>5</t>
        </is>
      </c>
      <c r="Y201" s="2" t="inlineStr">
        <is>
          <t>À documenter</t>
        </is>
      </c>
      <c r="Z201" s="2" t="inlineStr">
        <is>
          <t>À documenter</t>
        </is>
      </c>
      <c r="AA201" s="2" t="inlineStr">
        <is>
          <t>À documenter</t>
        </is>
      </c>
      <c r="AB201" s="2" t="inlineStr">
        <is>
          <t>Blindage variable selon série et éventuels blindages rapportés</t>
        </is>
      </c>
      <c r="AC201" s="2" t="inlineStr">
        <is>
          <t>Canon de 75 mm sur versions initiales ; 76 mm ou obusier de 105 mm selon variante</t>
        </is>
      </c>
      <c r="AD201" s="2" t="inlineStr">
        <is>
          <t>Mitrailleuses M1919 .30 et M2 .50 selon configuration</t>
        </is>
      </c>
      <c r="AE201" s="2" t="inlineStr">
        <is>
          <t>À documenter</t>
        </is>
      </c>
      <c r="AF201" s="2" t="inlineStr">
        <is>
          <t>À définir</t>
        </is>
      </c>
      <c r="AG201" s="2" t="inlineStr">
        <is>
          <t>À définir</t>
        </is>
      </c>
      <c r="AH201" s="2" t="inlineStr">
        <is>
          <t>Réparation d’origine si véhicule complet ; démontage si incomplet</t>
        </is>
      </c>
      <c r="AI201" s="2" t="inlineStr">
        <is>
          <t>Ford GAA, transmission, chenilles, bogies, tourelle, canon, réservoirs et rangement de munitions</t>
        </is>
      </c>
      <c r="AJ201" s="2" t="inlineStr">
        <is>
          <t>À définir séparément des compatibilités historiques</t>
        </is>
      </c>
      <c r="AK201" s="2" t="inlineStr">
        <is>
          <t>M4A3 75 mm, M4A3(76)W, M4A3E2 Jumbo et M4A3E8 ne doivent pas être fusionnés en une seule fiche de configuration</t>
        </is>
      </c>
      <c r="AL201" s="2" t="inlineStr">
        <is>
          <t>https://www.nationalww2museum.org/visit/museum-campus/us-freedom-pavilion/vehicles-war/m4-sherman-tank</t>
        </is>
      </c>
      <c r="AM201" s="2" t="inlineStr">
        <is>
          <t>https://www.pansermuseet.dk/en/the-exhibition/tanks/sherman/</t>
        </is>
      </c>
      <c r="AN201" s="2" t="inlineStr">
        <is>
          <t>Musée national + musée de chars</t>
        </is>
      </c>
      <c r="AO201" s="2" t="inlineStr">
        <is>
          <t>Moyen — la source décrit une configuration spécifique</t>
        </is>
      </c>
      <c r="AP201" s="2" t="inlineStr">
        <is>
          <t>Élevé pour le Ford GAA V8 de l’exemplaire M4A3 documenté ; puissance varie selon réglage</t>
        </is>
      </c>
      <c r="AQ201" s="2" t="inlineStr">
        <is>
          <t>Moyen — dépend de la sous-version</t>
        </is>
      </c>
      <c r="AR201" s="2" t="inlineStr">
        <is>
          <t>Partiel — données d’un M4A3 de référence, sous-versions à séparer</t>
        </is>
      </c>
      <c r="AS201" s="2" t="inlineStr">
        <is>
          <t>P1</t>
        </is>
      </c>
      <c r="AT201" s="2" t="inlineStr">
        <is>
          <t>La source du National WWII Museum décrit un M4A3 de 1943 avec Ford GAA et environ 500 ch. Les valeurs de masse et de vitesse doivent rester associées à la variante et à la définition de charge.</t>
        </is>
      </c>
      <c r="AU201" s="2" t="inlineStr">
        <is>
          <t>Char de combat polyvalent</t>
        </is>
      </c>
      <c r="AV201" s="2" t="inlineStr">
        <is>
          <t>M4 Sherman M4A3 : véhicule de catégorie « Chars moyens », d'origine États-Unis. Motorisation recensée : V8 essence Ford GAA. Fiche de catalogue à compléter avec le rôle tactique et les caractéristiques de jeu.</t>
        </is>
      </c>
    </row>
    <row r="202" ht="60" customHeight="1">
      <c r="A202" s="2" t="inlineStr">
        <is>
          <t>VEH-201</t>
        </is>
      </c>
      <c r="B202" s="2" t="inlineStr">
        <is>
          <t>Chars moyens</t>
        </is>
      </c>
      <c r="C202" s="2" t="inlineStr">
        <is>
          <t>M4 Sherman M4A4</t>
        </is>
      </c>
      <c r="D202" s="2" t="inlineStr">
        <is>
          <t>À distinguer si plusieurs variantes</t>
        </is>
      </c>
      <c r="E202" s="2" t="inlineStr">
        <is>
          <t>États-Unis</t>
        </is>
      </c>
      <c r="F202" s="2" t="inlineStr">
        <is>
          <t>À documenter</t>
        </is>
      </c>
      <c r="G202" s="2" t="inlineStr">
        <is>
          <t>À confirmer</t>
        </is>
      </c>
      <c r="H202" s="2" t="inlineStr">
        <is>
          <t>Chars moyens</t>
        </is>
      </c>
      <c r="I202" s="2" t="inlineStr">
        <is>
          <t>À définir</t>
        </is>
      </c>
      <c r="J202" s="2" t="n">
        <v>31600</v>
      </c>
      <c r="K202" s="2" t="n"/>
      <c r="L202" s="2" t="n">
        <v>6.06</v>
      </c>
      <c r="M202" s="2" t="n">
        <v>2.62</v>
      </c>
      <c r="N202" s="2" t="n">
        <v>2.74</v>
      </c>
      <c r="O202" s="2" t="n"/>
      <c r="P202" s="2" t="inlineStr">
        <is>
          <t>Chrysler A57 Multibank, 30 cylindres en 5 groupes de 6, essence</t>
        </is>
      </c>
      <c r="Q202" s="2" t="n">
        <v>20.5</v>
      </c>
      <c r="R202" s="2" t="n">
        <v>425</v>
      </c>
      <c r="S202" s="2" t="inlineStr">
        <is>
          <t>Essence</t>
        </is>
      </c>
      <c r="T202" s="2" t="n">
        <v>727</v>
      </c>
      <c r="U202" s="2" t="n"/>
      <c r="V202" s="2" t="n">
        <v>32</v>
      </c>
      <c r="W202" s="2" t="n">
        <v>161</v>
      </c>
      <c r="X202" s="2" t="inlineStr">
        <is>
          <t>5</t>
        </is>
      </c>
      <c r="Y202" s="2" t="inlineStr">
        <is>
          <t>À documenter</t>
        </is>
      </c>
      <c r="Z202" s="2" t="inlineStr">
        <is>
          <t>À documenter</t>
        </is>
      </c>
      <c r="AA202" s="2" t="inlineStr">
        <is>
          <t>À documenter</t>
        </is>
      </c>
      <c r="AB202" s="2" t="inlineStr">
        <is>
          <t>Blindage variable selon série et améliorations</t>
        </is>
      </c>
      <c r="AC202" s="2" t="inlineStr">
        <is>
          <t>Canon de 75 mm sur la configuration de référence ; certaines conversions britanniques Firefly portent un canon de 17 livres</t>
        </is>
      </c>
      <c r="AD202" s="2" t="inlineStr">
        <is>
          <t>Mitrailleuses M1919 .30 et M2 .50 selon montage</t>
        </is>
      </c>
      <c r="AE202" s="2" t="inlineStr">
        <is>
          <t>À documenter</t>
        </is>
      </c>
      <c r="AF202" s="2" t="inlineStr">
        <is>
          <t>À définir</t>
        </is>
      </c>
      <c r="AG202" s="2" t="inlineStr">
        <is>
          <t>À définir</t>
        </is>
      </c>
      <c r="AH202" s="2" t="inlineStr">
        <is>
          <t>Réparation d’origine si véhicule complet ; démontage si incomplet</t>
        </is>
      </c>
      <c r="AI202" s="2" t="inlineStr">
        <is>
          <t>Moteur A57 Multibank, transmission, chenilles, bogies, tourelle, canon, réservoirs</t>
        </is>
      </c>
      <c r="AJ202" s="2" t="inlineStr">
        <is>
          <t>À définir séparément des compatibilités historiques</t>
        </is>
      </c>
      <c r="AK202" s="2" t="inlineStr">
        <is>
          <t>M4A4 standard et Firefly VC doivent être distingués : la Firefly est une conversion avec armement principal différent et modifications internes</t>
        </is>
      </c>
      <c r="AL202" s="2" t="inlineStr">
        <is>
          <t>https://www.unabcc.org/app/download/8279667/Sherman.pdf</t>
        </is>
      </c>
      <c r="AM202" s="2" t="inlineStr">
        <is>
          <t>https://www.rdgmuseum.org.uk/history-and-research/tanks-and-vehicles/the-1940s/the-m4-sherman-medium-tank/</t>
        </is>
      </c>
      <c r="AN202" s="2" t="inlineStr">
        <is>
          <t>Dossier technique secondaire spécialisé</t>
        </is>
      </c>
      <c r="AO202" s="2" t="inlineStr">
        <is>
          <t>Moyen — données d’une configuration de référence M4A4</t>
        </is>
      </c>
      <c r="AP202" s="2" t="inlineStr">
        <is>
          <t>Élevé pour le Chrysler A57 et l’essence ; vérifier les valeurs selon série</t>
        </is>
      </c>
      <c r="AQ202" s="2" t="inlineStr">
        <is>
          <t>Moyen — armement de base vs conversion Firefly</t>
        </is>
      </c>
      <c r="AR202" s="2" t="inlineStr">
        <is>
          <t>Partiel — données de référence M4A4, conversion Firefly à séparer</t>
        </is>
      </c>
      <c r="AS202" s="2" t="inlineStr">
        <is>
          <t>P1</t>
        </is>
      </c>
      <c r="AT202" s="2" t="inlineStr">
        <is>
          <t>M4A4 est plus long que d’autres Sherman pour loger le moteur Multibank. La conversion Firefly n’est pas une simple amélioration d’arme interchangeable sans modification.</t>
        </is>
      </c>
      <c r="AU202" s="2" t="inlineStr">
        <is>
          <t>Char de combat polyvalent</t>
        </is>
      </c>
      <c r="AV202" s="2" t="inlineStr">
        <is>
          <t>M4 Sherman M4A4 : véhicule de catégorie « Chars moyens », d'origine États-Unis. Motorisation recensée : 5 moteurs 6 cylindres en ligne Chrysler A57 Multibank assemblés. Fiche de catalogue à compléter avec le rôle tactique et les caractéristiques de jeu.</t>
        </is>
      </c>
    </row>
    <row r="203" ht="60" customHeight="1">
      <c r="A203" s="2" t="inlineStr">
        <is>
          <t>VEH-202</t>
        </is>
      </c>
      <c r="B203" s="2" t="inlineStr">
        <is>
          <t>Chars lourds et prototypes</t>
        </is>
      </c>
      <c r="C203" s="2" t="inlineStr">
        <is>
          <t>M6 Heavy Tank</t>
        </is>
      </c>
      <c r="D203" s="2" t="inlineStr">
        <is>
          <t>À distinguer si plusieurs variantes</t>
        </is>
      </c>
      <c r="E203" s="2" t="inlineStr">
        <is>
          <t>États-Unis</t>
        </is>
      </c>
      <c r="F203" s="2" t="inlineStr">
        <is>
          <t>À documenter</t>
        </is>
      </c>
      <c r="G203" s="2" t="inlineStr">
        <is>
          <t>À confirmer</t>
        </is>
      </c>
      <c r="H203" s="2" t="inlineStr">
        <is>
          <t>Chars lourds et prototypes</t>
        </is>
      </c>
      <c r="I203" s="2" t="inlineStr">
        <is>
          <t>À définir</t>
        </is>
      </c>
      <c r="J203" s="2" t="n"/>
      <c r="K203" s="2" t="n"/>
      <c r="L203" s="2" t="n"/>
      <c r="M203" s="2" t="n"/>
      <c r="N203" s="2" t="n"/>
      <c r="O203" s="2" t="n"/>
      <c r="P203" s="2" t="inlineStr">
        <is>
          <t>V8 essence Wright G-200 (famille à confirmer)</t>
        </is>
      </c>
      <c r="Q203" s="2" t="n"/>
      <c r="R203" s="2" t="n"/>
      <c r="S203" s="2" t="inlineStr">
        <is>
          <t>À confirmer</t>
        </is>
      </c>
      <c r="T203" s="2" t="n"/>
      <c r="U203" s="2" t="n"/>
      <c r="V203" s="2" t="n"/>
      <c r="W203" s="2" t="n"/>
      <c r="X203" s="2" t="inlineStr">
        <is>
          <t>À documenter</t>
        </is>
      </c>
      <c r="Y203" s="2" t="inlineStr">
        <is>
          <t>À documenter</t>
        </is>
      </c>
      <c r="Z203" s="2" t="inlineStr">
        <is>
          <t>À documenter</t>
        </is>
      </c>
      <c r="AA203" s="2" t="inlineStr">
        <is>
          <t>À documenter</t>
        </is>
      </c>
      <c r="AB203" s="2" t="inlineStr">
        <is>
          <t>À documenter</t>
        </is>
      </c>
      <c r="AC203" s="2" t="inlineStr">
        <is>
          <t>Armement historique à déterminer précisément pour ce modèle/sa variante</t>
        </is>
      </c>
      <c r="AD203" s="2" t="inlineStr">
        <is>
          <t>À documenter</t>
        </is>
      </c>
      <c r="AE203" s="2" t="inlineStr">
        <is>
          <t>À documenter</t>
        </is>
      </c>
      <c r="AF203" s="2" t="inlineStr">
        <is>
          <t>À définir</t>
        </is>
      </c>
      <c r="AG203" s="2" t="inlineStr">
        <is>
          <t>À définir</t>
        </is>
      </c>
      <c r="AH203" s="2" t="inlineStr">
        <is>
          <t>Réparation d’origine si véhicule complet ; démontage si incomplet</t>
        </is>
      </c>
      <c r="AI203" s="2" t="inlineStr">
        <is>
          <t>À documenter</t>
        </is>
      </c>
      <c r="AJ203" s="2" t="inlineStr">
        <is>
          <t>À définir séparément des compatibilités historiques</t>
        </is>
      </c>
      <c r="AK203" s="2" t="inlineStr">
        <is>
          <t>À documenter</t>
        </is>
      </c>
      <c r="AL203" s="2" t="inlineStr">
        <is>
          <t>À rechercher / voir sources historiques</t>
        </is>
      </c>
      <c r="AM203" s="2" t="inlineStr">
        <is>
          <t>https://tanks-encyclopedia.com/ww2/us/m6-heavy-tank/</t>
        </is>
      </c>
      <c r="AN203" s="2" t="inlineStr">
        <is>
          <t>Source de niveau variable ; contrôle par variante nécessaire</t>
        </is>
      </c>
      <c r="AO203" s="2" t="inlineStr">
        <is>
          <t>Non renseigné</t>
        </is>
      </c>
      <c r="AP203" s="2" t="inlineStr">
        <is>
          <t>Faible</t>
        </is>
      </c>
      <c r="AQ203" s="2" t="inlineStr">
        <is>
          <t>À vérifier</t>
        </is>
      </c>
      <c r="AR203" s="2" t="inlineStr">
        <is>
          <t>Partiel — fiche à compléter</t>
        </is>
      </c>
      <c r="AS203" s="2" t="inlineStr">
        <is>
          <t>P2/P3</t>
        </is>
      </c>
      <c r="AT203" s="2" t="inlineStr">
        <is>
          <t>Char lourd produit en faible nombre.</t>
        </is>
      </c>
      <c r="AU203" s="2" t="inlineStr">
        <is>
          <t>À intégrer après validation du prototype</t>
        </is>
      </c>
      <c r="AV203" s="2" t="inlineStr">
        <is>
          <t>M6 Heavy Tank : véhicule de catégorie « Chars lourds et prototypes », d'origine États-Unis. Motorisation recensée : V8 essence Wright G-200 (famille à confirmer). Variante historique à vérifier avant validation définitive.</t>
        </is>
      </c>
    </row>
    <row r="204" ht="60" customHeight="1">
      <c r="A204" s="2" t="inlineStr">
        <is>
          <t>VEH-203</t>
        </is>
      </c>
      <c r="B204" s="2" t="inlineStr">
        <is>
          <t>Chars lourds et prototypes</t>
        </is>
      </c>
      <c r="C204" s="2" t="inlineStr">
        <is>
          <t>M26 Pershing</t>
        </is>
      </c>
      <c r="D204" s="2" t="inlineStr">
        <is>
          <t>À distinguer si plusieurs variantes</t>
        </is>
      </c>
      <c r="E204" s="2" t="inlineStr">
        <is>
          <t>États-Unis</t>
        </is>
      </c>
      <c r="F204" s="2" t="inlineStr">
        <is>
          <t>À documenter</t>
        </is>
      </c>
      <c r="G204" s="2" t="inlineStr">
        <is>
          <t>À confirmer</t>
        </is>
      </c>
      <c r="H204" s="2" t="inlineStr">
        <is>
          <t>Chars lourds et prototypes</t>
        </is>
      </c>
      <c r="I204" s="2" t="inlineStr">
        <is>
          <t>À définir</t>
        </is>
      </c>
      <c r="J204" s="2" t="n"/>
      <c r="K204" s="2" t="n"/>
      <c r="L204" s="2" t="n"/>
      <c r="M204" s="2" t="n"/>
      <c r="N204" s="2" t="n"/>
      <c r="O204" s="2" t="n"/>
      <c r="P204" s="2" t="inlineStr">
        <is>
          <t>V8 essence Ford GAF</t>
        </is>
      </c>
      <c r="Q204" s="2" t="n"/>
      <c r="R204" s="2" t="n"/>
      <c r="S204" s="2" t="inlineStr">
        <is>
          <t>À confirmer</t>
        </is>
      </c>
      <c r="T204" s="2" t="n"/>
      <c r="U204" s="2" t="n"/>
      <c r="V204" s="2" t="n"/>
      <c r="W204" s="2" t="n"/>
      <c r="X204" s="2" t="inlineStr">
        <is>
          <t>À documenter</t>
        </is>
      </c>
      <c r="Y204" s="2" t="inlineStr">
        <is>
          <t>À documenter</t>
        </is>
      </c>
      <c r="Z204" s="2" t="inlineStr">
        <is>
          <t>À documenter</t>
        </is>
      </c>
      <c r="AA204" s="2" t="inlineStr">
        <is>
          <t>À documenter</t>
        </is>
      </c>
      <c r="AB204" s="2" t="inlineStr">
        <is>
          <t>À documenter</t>
        </is>
      </c>
      <c r="AC204" s="2" t="inlineStr">
        <is>
          <t>Armement historique à déterminer précisément pour ce modèle/sa variante</t>
        </is>
      </c>
      <c r="AD204" s="2" t="inlineStr">
        <is>
          <t>À documenter</t>
        </is>
      </c>
      <c r="AE204" s="2" t="inlineStr">
        <is>
          <t>À documenter</t>
        </is>
      </c>
      <c r="AF204" s="2" t="inlineStr">
        <is>
          <t>À définir</t>
        </is>
      </c>
      <c r="AG204" s="2" t="inlineStr">
        <is>
          <t>À définir</t>
        </is>
      </c>
      <c r="AH204" s="2" t="inlineStr">
        <is>
          <t>Réparation d’origine si véhicule complet ; démontage si incomplet</t>
        </is>
      </c>
      <c r="AI204" s="2" t="inlineStr">
        <is>
          <t>À documenter</t>
        </is>
      </c>
      <c r="AJ204" s="2" t="inlineStr">
        <is>
          <t>À définir séparément des compatibilités historiques</t>
        </is>
      </c>
      <c r="AK204" s="2" t="inlineStr">
        <is>
          <t>À documenter</t>
        </is>
      </c>
      <c r="AL204" s="2" t="inlineStr">
        <is>
          <t>À rechercher / voir sources historiques</t>
        </is>
      </c>
      <c r="AM204" s="2" t="inlineStr">
        <is>
          <t>https://tanks-encyclopedia.com/ww2/us/m26-pershing/</t>
        </is>
      </c>
      <c r="AN204" s="2" t="inlineStr">
        <is>
          <t>Source de niveau variable ; contrôle par variante nécessaire</t>
        </is>
      </c>
      <c r="AO204" s="2" t="inlineStr">
        <is>
          <t>Non renseigné</t>
        </is>
      </c>
      <c r="AP204" s="2" t="inlineStr">
        <is>
          <t>Faible</t>
        </is>
      </c>
      <c r="AQ204" s="2" t="inlineStr">
        <is>
          <t>À vérifier</t>
        </is>
      </c>
      <c r="AR204" s="2" t="inlineStr">
        <is>
          <t>Partiel — fiche à compléter</t>
        </is>
      </c>
      <c r="AS204" s="2" t="inlineStr">
        <is>
          <t>P2/P3</t>
        </is>
      </c>
      <c r="AT204" s="2" t="inlineStr">
        <is>
          <t>Conçu pendant la guerre ; service limité en 1945.</t>
        </is>
      </c>
      <c r="AU204" s="2" t="inlineStr">
        <is>
          <t>À intégrer après validation du prototype</t>
        </is>
      </c>
      <c r="AV204" s="2" t="inlineStr">
        <is>
          <t>M26 Pershing : véhicule de catégorie « Chars lourds et prototypes », d'origine États-Unis. Motorisation recensée : V8 essence Ford GAF. Fiche de catalogue à compléter avec le rôle tactique et les caractéristiques de jeu.</t>
        </is>
      </c>
    </row>
    <row r="205" ht="60" customHeight="1">
      <c r="A205" s="2" t="inlineStr">
        <is>
          <t>VEH-204</t>
        </is>
      </c>
      <c r="B205" s="2" t="inlineStr">
        <is>
          <t>Chasseurs de chars et canons automoteurs</t>
        </is>
      </c>
      <c r="C205" s="2" t="inlineStr">
        <is>
          <t>M7 Priest</t>
        </is>
      </c>
      <c r="D205" s="2" t="inlineStr">
        <is>
          <t>À distinguer si plusieurs variantes</t>
        </is>
      </c>
      <c r="E205" s="2" t="inlineStr">
        <is>
          <t>États-Unis</t>
        </is>
      </c>
      <c r="F205" s="2" t="inlineStr">
        <is>
          <t>À documenter</t>
        </is>
      </c>
      <c r="G205" s="2" t="inlineStr">
        <is>
          <t>À confirmer</t>
        </is>
      </c>
      <c r="H205" s="2" t="inlineStr">
        <is>
          <t>Chasseurs de chars et canons automoteurs</t>
        </is>
      </c>
      <c r="I205" s="2" t="inlineStr">
        <is>
          <t>À définir</t>
        </is>
      </c>
      <c r="J205" s="2" t="n"/>
      <c r="K205" s="2" t="n"/>
      <c r="L205" s="2" t="n"/>
      <c r="M205" s="2" t="n"/>
      <c r="N205" s="2" t="n"/>
      <c r="O205" s="2" t="n"/>
      <c r="P205" s="2" t="inlineStr">
        <is>
          <t>9 cylindres en étoile Continental R-975</t>
        </is>
      </c>
      <c r="Q205" s="2" t="n"/>
      <c r="R205" s="2" t="n"/>
      <c r="S205" s="2" t="inlineStr">
        <is>
          <t>À confirmer</t>
        </is>
      </c>
      <c r="T205" s="2" t="n"/>
      <c r="U205" s="2" t="n"/>
      <c r="V205" s="2" t="n"/>
      <c r="W205" s="2" t="n"/>
      <c r="X205" s="2" t="inlineStr">
        <is>
          <t>À documenter</t>
        </is>
      </c>
      <c r="Y205" s="2" t="inlineStr">
        <is>
          <t>À documenter</t>
        </is>
      </c>
      <c r="Z205" s="2" t="inlineStr">
        <is>
          <t>À documenter</t>
        </is>
      </c>
      <c r="AA205" s="2" t="inlineStr">
        <is>
          <t>À documenter</t>
        </is>
      </c>
      <c r="AB205" s="2" t="inlineStr">
        <is>
          <t>À documenter</t>
        </is>
      </c>
      <c r="AC205" s="2" t="inlineStr">
        <is>
          <t>Armement historique à déterminer précisément pour ce modèle/sa variante</t>
        </is>
      </c>
      <c r="AD205" s="2" t="inlineStr">
        <is>
          <t>À documenter</t>
        </is>
      </c>
      <c r="AE205" s="2" t="inlineStr">
        <is>
          <t>À documenter</t>
        </is>
      </c>
      <c r="AF205" s="2" t="inlineStr">
        <is>
          <t>À définir</t>
        </is>
      </c>
      <c r="AG205" s="2" t="inlineStr">
        <is>
          <t>À définir</t>
        </is>
      </c>
      <c r="AH205" s="2" t="inlineStr">
        <is>
          <t>Réparation d’origine si véhicule complet ; démontage si incomplet</t>
        </is>
      </c>
      <c r="AI205" s="2" t="inlineStr">
        <is>
          <t>À documenter</t>
        </is>
      </c>
      <c r="AJ205" s="2" t="inlineStr">
        <is>
          <t>À définir séparément des compatibilités historiques</t>
        </is>
      </c>
      <c r="AK205" s="2" t="inlineStr">
        <is>
          <t>À documenter</t>
        </is>
      </c>
      <c r="AL205" s="2" t="inlineStr">
        <is>
          <t>À rechercher / voir sources historiques</t>
        </is>
      </c>
      <c r="AM205" s="2" t="inlineStr">
        <is>
          <t>https://tanks-encyclopedia.com/ww2/us/m7-priest/</t>
        </is>
      </c>
      <c r="AN205" s="2" t="inlineStr">
        <is>
          <t>Source de niveau variable ; contrôle par variante nécessaire</t>
        </is>
      </c>
      <c r="AO205" s="2" t="inlineStr">
        <is>
          <t>Non renseigné</t>
        </is>
      </c>
      <c r="AP205" s="2" t="inlineStr">
        <is>
          <t>Faible</t>
        </is>
      </c>
      <c r="AQ205" s="2" t="inlineStr">
        <is>
          <t>À vérifier</t>
        </is>
      </c>
      <c r="AR205" s="2" t="inlineStr">
        <is>
          <t>Partiel — fiche à compléter</t>
        </is>
      </c>
      <c r="AS205" s="2" t="inlineStr">
        <is>
          <t>P2/P3</t>
        </is>
      </c>
      <c r="AT205" s="2" t="inlineStr">
        <is>
          <t>Canon automoteur sur châssis M3/M4.</t>
        </is>
      </c>
      <c r="AU205" s="2" t="inlineStr">
        <is>
          <t>À intégrer après validation du prototype</t>
        </is>
      </c>
      <c r="AV205" s="2" t="inlineStr">
        <is>
          <t>M7 Priest : véhicule de catégorie « Chasseurs de chars et canons automoteurs », d'origine États-Unis. Motorisation recensée : 9 cylindres en étoile Continental R-975. Variante historique à vérifier avant validation définitive.</t>
        </is>
      </c>
    </row>
    <row r="206" ht="60" customHeight="1">
      <c r="A206" s="2" t="inlineStr">
        <is>
          <t>VEH-205</t>
        </is>
      </c>
      <c r="B206" s="2" t="inlineStr">
        <is>
          <t>Chasseurs de chars et canons automoteurs</t>
        </is>
      </c>
      <c r="C206" s="2" t="inlineStr">
        <is>
          <t>M8 Scott</t>
        </is>
      </c>
      <c r="D206" s="2" t="inlineStr">
        <is>
          <t>À distinguer si plusieurs variantes</t>
        </is>
      </c>
      <c r="E206" s="2" t="inlineStr">
        <is>
          <t>États-Unis</t>
        </is>
      </c>
      <c r="F206" s="2" t="inlineStr">
        <is>
          <t>À documenter</t>
        </is>
      </c>
      <c r="G206" s="2" t="inlineStr">
        <is>
          <t>À confirmer</t>
        </is>
      </c>
      <c r="H206" s="2" t="inlineStr">
        <is>
          <t>Chasseurs de chars et canons automoteurs</t>
        </is>
      </c>
      <c r="I206" s="2" t="inlineStr">
        <is>
          <t>À définir</t>
        </is>
      </c>
      <c r="J206" s="2" t="n"/>
      <c r="K206" s="2" t="n"/>
      <c r="L206" s="2" t="n"/>
      <c r="M206" s="2" t="n"/>
      <c r="N206" s="2" t="n"/>
      <c r="O206" s="2" t="n"/>
      <c r="P206" s="2" t="inlineStr">
        <is>
          <t>9 cylindres en étoile Continental R-975</t>
        </is>
      </c>
      <c r="Q206" s="2" t="n"/>
      <c r="R206" s="2" t="n"/>
      <c r="S206" s="2" t="inlineStr">
        <is>
          <t>À confirmer</t>
        </is>
      </c>
      <c r="T206" s="2" t="n"/>
      <c r="U206" s="2" t="n"/>
      <c r="V206" s="2" t="n"/>
      <c r="W206" s="2" t="n"/>
      <c r="X206" s="2" t="inlineStr">
        <is>
          <t>À documenter</t>
        </is>
      </c>
      <c r="Y206" s="2" t="inlineStr">
        <is>
          <t>À documenter</t>
        </is>
      </c>
      <c r="Z206" s="2" t="inlineStr">
        <is>
          <t>À documenter</t>
        </is>
      </c>
      <c r="AA206" s="2" t="inlineStr">
        <is>
          <t>À documenter</t>
        </is>
      </c>
      <c r="AB206" s="2" t="inlineStr">
        <is>
          <t>À documenter</t>
        </is>
      </c>
      <c r="AC206" s="2" t="inlineStr">
        <is>
          <t>Armement historique à déterminer précisément pour ce modèle/sa variante</t>
        </is>
      </c>
      <c r="AD206" s="2" t="inlineStr">
        <is>
          <t>À documenter</t>
        </is>
      </c>
      <c r="AE206" s="2" t="inlineStr">
        <is>
          <t>À documenter</t>
        </is>
      </c>
      <c r="AF206" s="2" t="inlineStr">
        <is>
          <t>À définir</t>
        </is>
      </c>
      <c r="AG206" s="2" t="inlineStr">
        <is>
          <t>À définir</t>
        </is>
      </c>
      <c r="AH206" s="2" t="inlineStr">
        <is>
          <t>Réparation d’origine si véhicule complet ; démontage si incomplet</t>
        </is>
      </c>
      <c r="AI206" s="2" t="inlineStr">
        <is>
          <t>À documenter</t>
        </is>
      </c>
      <c r="AJ206" s="2" t="inlineStr">
        <is>
          <t>À définir séparément des compatibilités historiques</t>
        </is>
      </c>
      <c r="AK206" s="2" t="inlineStr">
        <is>
          <t>À documenter</t>
        </is>
      </c>
      <c r="AL206" s="2" t="inlineStr">
        <is>
          <t>À rechercher / voir sources historiques</t>
        </is>
      </c>
      <c r="AM206" s="2" t="inlineStr">
        <is>
          <t>https://tanks-encyclopedia.com/ww2/us/m8-scott/</t>
        </is>
      </c>
      <c r="AN206" s="2" t="inlineStr">
        <is>
          <t>Source de niveau variable ; contrôle par variante nécessaire</t>
        </is>
      </c>
      <c r="AO206" s="2" t="inlineStr">
        <is>
          <t>Non renseigné</t>
        </is>
      </c>
      <c r="AP206" s="2" t="inlineStr">
        <is>
          <t>Faible</t>
        </is>
      </c>
      <c r="AQ206" s="2" t="inlineStr">
        <is>
          <t>À vérifier</t>
        </is>
      </c>
      <c r="AR206" s="2" t="inlineStr">
        <is>
          <t>Partiel — fiche à compléter</t>
        </is>
      </c>
      <c r="AS206" s="2" t="inlineStr">
        <is>
          <t>P2/P3</t>
        </is>
      </c>
      <c r="AT206" s="2" t="inlineStr">
        <is>
          <t>Canon automoteur léger.</t>
        </is>
      </c>
      <c r="AU206" s="2" t="inlineStr">
        <is>
          <t>À intégrer après validation du prototype</t>
        </is>
      </c>
      <c r="AV206" s="2" t="inlineStr">
        <is>
          <t>M8 Scott : véhicule de catégorie « Chasseurs de chars et canons automoteurs », d'origine États-Unis. Motorisation recensée : 9 cylindres en étoile Continental R-975. Variante historique à vérifier avant validation définitive.</t>
        </is>
      </c>
    </row>
    <row r="207" ht="60" customHeight="1">
      <c r="A207" s="2" t="inlineStr">
        <is>
          <t>VEH-206</t>
        </is>
      </c>
      <c r="B207" s="2" t="inlineStr">
        <is>
          <t>Chars lourds et prototypes</t>
        </is>
      </c>
      <c r="C207" s="2" t="inlineStr">
        <is>
          <t>T28 / T95 Super Heavy Tank</t>
        </is>
      </c>
      <c r="D207" s="2" t="inlineStr">
        <is>
          <t>À distinguer si plusieurs variantes</t>
        </is>
      </c>
      <c r="E207" s="2" t="inlineStr">
        <is>
          <t>États-Unis</t>
        </is>
      </c>
      <c r="F207" s="2" t="inlineStr">
        <is>
          <t>À documenter</t>
        </is>
      </c>
      <c r="G207" s="2" t="inlineStr">
        <is>
          <t>À confirmer</t>
        </is>
      </c>
      <c r="H207" s="2" t="inlineStr">
        <is>
          <t>Chars lourds et prototypes</t>
        </is>
      </c>
      <c r="I207" s="2" t="inlineStr">
        <is>
          <t>À définir</t>
        </is>
      </c>
      <c r="J207" s="2" t="n"/>
      <c r="K207" s="2" t="n"/>
      <c r="L207" s="2" t="n"/>
      <c r="M207" s="2" t="n"/>
      <c r="N207" s="2" t="n"/>
      <c r="O207" s="2" t="n"/>
      <c r="P207" s="2" t="inlineStr">
        <is>
          <t>V8 essence Ford GAF</t>
        </is>
      </c>
      <c r="Q207" s="2" t="n"/>
      <c r="R207" s="2" t="n"/>
      <c r="S207" s="2" t="inlineStr">
        <is>
          <t>À confirmer</t>
        </is>
      </c>
      <c r="T207" s="2" t="n"/>
      <c r="U207" s="2" t="n"/>
      <c r="V207" s="2" t="n"/>
      <c r="W207" s="2" t="n"/>
      <c r="X207" s="2" t="inlineStr">
        <is>
          <t>À documenter</t>
        </is>
      </c>
      <c r="Y207" s="2" t="inlineStr">
        <is>
          <t>À documenter</t>
        </is>
      </c>
      <c r="Z207" s="2" t="inlineStr">
        <is>
          <t>À documenter</t>
        </is>
      </c>
      <c r="AA207" s="2" t="inlineStr">
        <is>
          <t>À documenter</t>
        </is>
      </c>
      <c r="AB207" s="2" t="inlineStr">
        <is>
          <t>À documenter</t>
        </is>
      </c>
      <c r="AC207" s="2" t="inlineStr">
        <is>
          <t>Armement historique à déterminer précisément pour ce modèle/sa variante</t>
        </is>
      </c>
      <c r="AD207" s="2" t="inlineStr">
        <is>
          <t>À documenter</t>
        </is>
      </c>
      <c r="AE207" s="2" t="inlineStr">
        <is>
          <t>À documenter</t>
        </is>
      </c>
      <c r="AF207" s="2" t="inlineStr">
        <is>
          <t>À définir</t>
        </is>
      </c>
      <c r="AG207" s="2" t="inlineStr">
        <is>
          <t>À définir</t>
        </is>
      </c>
      <c r="AH207" s="2" t="inlineStr">
        <is>
          <t>Réparation d’origine si véhicule complet ; démontage si incomplet</t>
        </is>
      </c>
      <c r="AI207" s="2" t="inlineStr">
        <is>
          <t>À documenter</t>
        </is>
      </c>
      <c r="AJ207" s="2" t="inlineStr">
        <is>
          <t>À définir séparément des compatibilités historiques</t>
        </is>
      </c>
      <c r="AK207" s="2" t="inlineStr">
        <is>
          <t>À documenter</t>
        </is>
      </c>
      <c r="AL207" s="2" t="inlineStr">
        <is>
          <t>À rechercher / voir sources historiques</t>
        </is>
      </c>
      <c r="AM207" s="2" t="inlineStr">
        <is>
          <t>https://tanks-encyclopedia.com/ww2/us/t28-super-heavy-tank/</t>
        </is>
      </c>
      <c r="AN207" s="2" t="inlineStr">
        <is>
          <t>Source de niveau variable ; contrôle par variante nécessaire</t>
        </is>
      </c>
      <c r="AO207" s="2" t="inlineStr">
        <is>
          <t>Non renseigné</t>
        </is>
      </c>
      <c r="AP207" s="2" t="inlineStr">
        <is>
          <t>Faible</t>
        </is>
      </c>
      <c r="AQ207" s="2" t="inlineStr">
        <is>
          <t>À vérifier</t>
        </is>
      </c>
      <c r="AR207" s="2" t="inlineStr">
        <is>
          <t>Partiel — fiche à compléter</t>
        </is>
      </c>
      <c r="AS207" s="2" t="inlineStr">
        <is>
          <t>P2/P3</t>
        </is>
      </c>
      <c r="AT207" s="2" t="inlineStr">
        <is>
          <t>Projet développé avant 1945 ; quatre chenilles et architecture de propulsion complexe.</t>
        </is>
      </c>
      <c r="AU207" s="2" t="inlineStr">
        <is>
          <t>À intégrer après validation du prototype</t>
        </is>
      </c>
      <c r="AV207" s="2" t="inlineStr">
        <is>
          <t>T28 / T95 Super Heavy Tank : véhicule de catégorie « Chars lourds et prototypes », d'origine États-Unis. Motorisation recensée : V8 essence Ford GAF. Variante historique à vérifier avant validation définitive.</t>
        </is>
      </c>
    </row>
    <row r="208" ht="60" customHeight="1">
      <c r="A208" s="2" t="inlineStr">
        <is>
          <t>VEH-207</t>
        </is>
      </c>
      <c r="B208" s="2" t="inlineStr">
        <is>
          <t>Chars légers et chars anciens</t>
        </is>
      </c>
      <c r="C208" s="2" t="inlineStr">
        <is>
          <t>BT-2</t>
        </is>
      </c>
      <c r="D208" s="2" t="inlineStr">
        <is>
          <t>À distinguer si plusieurs variantes</t>
        </is>
      </c>
      <c r="E208" s="2" t="inlineStr">
        <is>
          <t>URSS</t>
        </is>
      </c>
      <c r="F208" s="2" t="inlineStr">
        <is>
          <t>À documenter</t>
        </is>
      </c>
      <c r="G208" s="2" t="inlineStr">
        <is>
          <t>À confirmer</t>
        </is>
      </c>
      <c r="H208" s="2" t="inlineStr">
        <is>
          <t>Chars légers et chars anciens</t>
        </is>
      </c>
      <c r="I208" s="2" t="inlineStr">
        <is>
          <t>À définir</t>
        </is>
      </c>
      <c r="J208" s="2" t="n"/>
      <c r="K208" s="2" t="n"/>
      <c r="L208" s="2" t="n"/>
      <c r="M208" s="2" t="n"/>
      <c r="N208" s="2" t="n"/>
      <c r="O208" s="2" t="n"/>
      <c r="P208" s="2" t="inlineStr">
        <is>
          <t>12 cylindres en V essence Liberty L-12</t>
        </is>
      </c>
      <c r="Q208" s="2" t="n"/>
      <c r="R208" s="2" t="n"/>
      <c r="S208" s="2" t="inlineStr">
        <is>
          <t>À confirmer</t>
        </is>
      </c>
      <c r="T208" s="2" t="n"/>
      <c r="U208" s="2" t="n"/>
      <c r="V208" s="2" t="n"/>
      <c r="W208" s="2" t="n"/>
      <c r="X208" s="2" t="inlineStr">
        <is>
          <t>À documenter</t>
        </is>
      </c>
      <c r="Y208" s="2" t="inlineStr">
        <is>
          <t>À documenter</t>
        </is>
      </c>
      <c r="Z208" s="2" t="inlineStr">
        <is>
          <t>À documenter</t>
        </is>
      </c>
      <c r="AA208" s="2" t="inlineStr">
        <is>
          <t>À documenter</t>
        </is>
      </c>
      <c r="AB208" s="2" t="inlineStr">
        <is>
          <t>À documenter</t>
        </is>
      </c>
      <c r="AC208" s="2" t="inlineStr">
        <is>
          <t>Armement historique à déterminer précisément pour ce modèle/sa variante</t>
        </is>
      </c>
      <c r="AD208" s="2" t="inlineStr">
        <is>
          <t>À documenter</t>
        </is>
      </c>
      <c r="AE208" s="2" t="inlineStr">
        <is>
          <t>À documenter</t>
        </is>
      </c>
      <c r="AF208" s="2" t="inlineStr">
        <is>
          <t>À définir</t>
        </is>
      </c>
      <c r="AG208" s="2" t="inlineStr">
        <is>
          <t>À définir</t>
        </is>
      </c>
      <c r="AH208" s="2" t="inlineStr">
        <is>
          <t>Réparation d’origine si véhicule complet ; démontage si incomplet</t>
        </is>
      </c>
      <c r="AI208" s="2" t="inlineStr">
        <is>
          <t>À documenter</t>
        </is>
      </c>
      <c r="AJ208" s="2" t="inlineStr">
        <is>
          <t>À définir séparément des compatibilités historiques</t>
        </is>
      </c>
      <c r="AK208" s="2" t="inlineStr">
        <is>
          <t>À documenter</t>
        </is>
      </c>
      <c r="AL208" s="2" t="inlineStr">
        <is>
          <t>À rechercher / voir sources historiques</t>
        </is>
      </c>
      <c r="AM208" s="2" t="inlineStr">
        <is>
          <t>https://tanks-encyclopedia.com/ww2/soviet/bt-2/</t>
        </is>
      </c>
      <c r="AN208" s="2" t="inlineStr">
        <is>
          <t>Source de niveau variable ; contrôle par variante nécessaire</t>
        </is>
      </c>
      <c r="AO208" s="2" t="inlineStr">
        <is>
          <t>Non renseigné</t>
        </is>
      </c>
      <c r="AP208" s="2" t="inlineStr">
        <is>
          <t>Faible</t>
        </is>
      </c>
      <c r="AQ208" s="2" t="inlineStr">
        <is>
          <t>À vérifier</t>
        </is>
      </c>
      <c r="AR208" s="2" t="inlineStr">
        <is>
          <t>Partiel — fiche à compléter</t>
        </is>
      </c>
      <c r="AS208" s="2" t="inlineStr">
        <is>
          <t>P2/P3</t>
        </is>
      </c>
      <c r="AT208" s="2" t="inlineStr">
        <is>
          <t>Moteur d'origine aéronautique ; variantes moteur à suivre.</t>
        </is>
      </c>
      <c r="AU208" s="2" t="inlineStr">
        <is>
          <t>À intégrer après validation du prototype</t>
        </is>
      </c>
      <c r="AV208" s="2" t="inlineStr">
        <is>
          <t>BT-2 : véhicule de catégorie « Chars légers et chars anciens », d'origine URSS. Motorisation recensée : 12 cylindres en V essence Liberty L-12. Fiche de catalogue à compléter avec le rôle tactique et les caractéristiques de jeu.</t>
        </is>
      </c>
    </row>
    <row r="209" ht="60" customHeight="1">
      <c r="A209" s="2" t="inlineStr">
        <is>
          <t>VEH-208</t>
        </is>
      </c>
      <c r="B209" s="2" t="inlineStr">
        <is>
          <t>Chars légers et chars anciens</t>
        </is>
      </c>
      <c r="C209" s="2" t="inlineStr">
        <is>
          <t>BT-5</t>
        </is>
      </c>
      <c r="D209" s="2" t="inlineStr">
        <is>
          <t>À distinguer si plusieurs variantes</t>
        </is>
      </c>
      <c r="E209" s="2" t="inlineStr">
        <is>
          <t>URSS</t>
        </is>
      </c>
      <c r="F209" s="2" t="inlineStr">
        <is>
          <t>À documenter</t>
        </is>
      </c>
      <c r="G209" s="2" t="inlineStr">
        <is>
          <t>À confirmer</t>
        </is>
      </c>
      <c r="H209" s="2" t="inlineStr">
        <is>
          <t>Chars légers et chars anciens</t>
        </is>
      </c>
      <c r="I209" s="2" t="inlineStr">
        <is>
          <t>À définir</t>
        </is>
      </c>
      <c r="J209" s="2" t="n"/>
      <c r="K209" s="2" t="n"/>
      <c r="L209" s="2" t="n"/>
      <c r="M209" s="2" t="n"/>
      <c r="N209" s="2" t="n"/>
      <c r="O209" s="2" t="n"/>
      <c r="P209" s="2" t="inlineStr">
        <is>
          <t>12 cylindres en V essence M-5 (famille Liberty)</t>
        </is>
      </c>
      <c r="Q209" s="2" t="n"/>
      <c r="R209" s="2" t="n"/>
      <c r="S209" s="2" t="inlineStr">
        <is>
          <t>À confirmer</t>
        </is>
      </c>
      <c r="T209" s="2" t="n"/>
      <c r="U209" s="2" t="n"/>
      <c r="V209" s="2" t="n"/>
      <c r="W209" s="2" t="n"/>
      <c r="X209" s="2" t="inlineStr">
        <is>
          <t>À documenter</t>
        </is>
      </c>
      <c r="Y209" s="2" t="inlineStr">
        <is>
          <t>À documenter</t>
        </is>
      </c>
      <c r="Z209" s="2" t="inlineStr">
        <is>
          <t>À documenter</t>
        </is>
      </c>
      <c r="AA209" s="2" t="inlineStr">
        <is>
          <t>À documenter</t>
        </is>
      </c>
      <c r="AB209" s="2" t="inlineStr">
        <is>
          <t>À documenter</t>
        </is>
      </c>
      <c r="AC209" s="2" t="inlineStr">
        <is>
          <t>Canon de 45 mm 20-K; mitrailleuse DT de 7,62 mm</t>
        </is>
      </c>
      <c r="AD209" s="2" t="inlineStr">
        <is>
          <t>À documenter</t>
        </is>
      </c>
      <c r="AE209" s="2" t="inlineStr">
        <is>
          <t>À documenter</t>
        </is>
      </c>
      <c r="AF209" s="2" t="inlineStr">
        <is>
          <t>À définir</t>
        </is>
      </c>
      <c r="AG209" s="2" t="inlineStr">
        <is>
          <t>À définir</t>
        </is>
      </c>
      <c r="AH209" s="2" t="inlineStr">
        <is>
          <t>Réparation d’origine si véhicule complet ; démontage si incomplet</t>
        </is>
      </c>
      <c r="AI209" s="2" t="inlineStr">
        <is>
          <t>À documenter</t>
        </is>
      </c>
      <c r="AJ209" s="2" t="inlineStr">
        <is>
          <t>À définir séparément des compatibilités historiques</t>
        </is>
      </c>
      <c r="AK209" s="2" t="inlineStr">
        <is>
          <t>À documenter</t>
        </is>
      </c>
      <c r="AL209" s="2" t="inlineStr">
        <is>
          <t>À rechercher / voir sources historiques</t>
        </is>
      </c>
      <c r="AM209" s="2" t="inlineStr">
        <is>
          <t>https://tanks-encyclopedia.com/ww2/soviet/bt-5/</t>
        </is>
      </c>
      <c r="AN209" s="2" t="inlineStr">
        <is>
          <t>Source de niveau variable ; contrôle par variante nécessaire</t>
        </is>
      </c>
      <c r="AO209" s="2" t="inlineStr">
        <is>
          <t>Non renseigné</t>
        </is>
      </c>
      <c r="AP209" s="2" t="inlineStr">
        <is>
          <t>Faible</t>
        </is>
      </c>
      <c r="AQ209" s="2" t="inlineStr">
        <is>
          <t>Élevé</t>
        </is>
      </c>
      <c r="AR209" s="2" t="inlineStr">
        <is>
          <t>Partiel — fiche à compléter</t>
        </is>
      </c>
      <c r="AS209" s="2" t="inlineStr">
        <is>
          <t>P2/P3</t>
        </is>
      </c>
      <c r="AT209" s="2" t="inlineStr">
        <is>
          <t>Proche du BT-2, mais les détails de moteur et montage varient.</t>
        </is>
      </c>
      <c r="AU209" s="2" t="inlineStr">
        <is>
          <t>À intégrer après validation du prototype</t>
        </is>
      </c>
      <c r="AV209" s="2" t="inlineStr">
        <is>
          <t>BT-5 : véhicule de catégorie « Chars légers et chars anciens », d'origine URSS. Motorisation recensée : 12 cylindres en V essence M-5 (famille Liberty). Fiche de catalogue à compléter avec le rôle tactique et les caractéristiques de jeu.</t>
        </is>
      </c>
    </row>
    <row r="210" ht="60" customHeight="1">
      <c r="A210" s="2" t="inlineStr">
        <is>
          <t>VEH-209</t>
        </is>
      </c>
      <c r="B210" s="2" t="inlineStr">
        <is>
          <t>Chars légers et chars anciens</t>
        </is>
      </c>
      <c r="C210" s="2" t="inlineStr">
        <is>
          <t>BT-7</t>
        </is>
      </c>
      <c r="D210" s="2" t="inlineStr">
        <is>
          <t>À distinguer si plusieurs variantes</t>
        </is>
      </c>
      <c r="E210" s="2" t="inlineStr">
        <is>
          <t>URSS</t>
        </is>
      </c>
      <c r="F210" s="2" t="inlineStr">
        <is>
          <t>À documenter</t>
        </is>
      </c>
      <c r="G210" s="2" t="inlineStr">
        <is>
          <t>À confirmer</t>
        </is>
      </c>
      <c r="H210" s="2" t="inlineStr">
        <is>
          <t>Chars légers et chars anciens</t>
        </is>
      </c>
      <c r="I210" s="2" t="inlineStr">
        <is>
          <t>À définir</t>
        </is>
      </c>
      <c r="J210" s="2" t="n"/>
      <c r="K210" s="2" t="n"/>
      <c r="L210" s="2" t="n"/>
      <c r="M210" s="2" t="n"/>
      <c r="N210" s="2" t="n"/>
      <c r="O210" s="2" t="n"/>
      <c r="P210" s="2" t="inlineStr">
        <is>
          <t>12 cylindres en V essence M-17T sur premières versions ; diesel sur BT-7M</t>
        </is>
      </c>
      <c r="Q210" s="2" t="n"/>
      <c r="R210" s="2" t="n"/>
      <c r="S210" s="2" t="inlineStr">
        <is>
          <t>À confirmer</t>
        </is>
      </c>
      <c r="T210" s="2" t="n"/>
      <c r="U210" s="2" t="n"/>
      <c r="V210" s="2" t="n"/>
      <c r="W210" s="2" t="n"/>
      <c r="X210" s="2" t="inlineStr">
        <is>
          <t>À documenter</t>
        </is>
      </c>
      <c r="Y210" s="2" t="inlineStr">
        <is>
          <t>À documenter</t>
        </is>
      </c>
      <c r="Z210" s="2" t="inlineStr">
        <is>
          <t>À documenter</t>
        </is>
      </c>
      <c r="AA210" s="2" t="inlineStr">
        <is>
          <t>À documenter</t>
        </is>
      </c>
      <c r="AB210" s="2" t="inlineStr">
        <is>
          <t>À documenter</t>
        </is>
      </c>
      <c r="AC210" s="2" t="inlineStr">
        <is>
          <t>Canon de 45 mm 20-K; mitrailleuse DT de 7,62 mm</t>
        </is>
      </c>
      <c r="AD210" s="2" t="inlineStr">
        <is>
          <t>À documenter</t>
        </is>
      </c>
      <c r="AE210" s="2" t="inlineStr">
        <is>
          <t>À documenter</t>
        </is>
      </c>
      <c r="AF210" s="2" t="inlineStr">
        <is>
          <t>À définir</t>
        </is>
      </c>
      <c r="AG210" s="2" t="inlineStr">
        <is>
          <t>À définir</t>
        </is>
      </c>
      <c r="AH210" s="2" t="inlineStr">
        <is>
          <t>Réparation d’origine si véhicule complet ; démontage si incomplet</t>
        </is>
      </c>
      <c r="AI210" s="2" t="inlineStr">
        <is>
          <t>À documenter</t>
        </is>
      </c>
      <c r="AJ210" s="2" t="inlineStr">
        <is>
          <t>À définir séparément des compatibilités historiques</t>
        </is>
      </c>
      <c r="AK210" s="2" t="inlineStr">
        <is>
          <t>À documenter</t>
        </is>
      </c>
      <c r="AL210" s="2" t="inlineStr">
        <is>
          <t>À rechercher / voir sources historiques</t>
        </is>
      </c>
      <c r="AM210" s="2" t="inlineStr">
        <is>
          <t>https://tanks-encyclopedia.com/ww2/soviet/bt-7/</t>
        </is>
      </c>
      <c r="AN210" s="2" t="inlineStr">
        <is>
          <t>Source de niveau variable ; contrôle par variante nécessaire</t>
        </is>
      </c>
      <c r="AO210" s="2" t="inlineStr">
        <is>
          <t>Non renseigné</t>
        </is>
      </c>
      <c r="AP210" s="2" t="inlineStr">
        <is>
          <t>Faible</t>
        </is>
      </c>
      <c r="AQ210" s="2" t="inlineStr">
        <is>
          <t>Élevé</t>
        </is>
      </c>
      <c r="AR210" s="2" t="inlineStr">
        <is>
          <t>Partiel — fiche à compléter</t>
        </is>
      </c>
      <c r="AS210" s="2" t="inlineStr">
        <is>
          <t>P2/P3</t>
        </is>
      </c>
      <c r="AT210" s="2" t="inlineStr">
        <is>
          <t>Important de séparer essence V12 et diesel.</t>
        </is>
      </c>
      <c r="AU210" s="2" t="inlineStr">
        <is>
          <t>À intégrer après validation du prototype</t>
        </is>
      </c>
      <c r="AV210" s="2" t="inlineStr">
        <is>
          <t>BT-7 : véhicule de catégorie « Chars légers et chars anciens », d'origine URSS. Motorisation recensée : 12 cylindres en V essence M-17T sur premières versions. Fiche de catalogue à compléter avec le rôle tactique et les caractéristiques de jeu.</t>
        </is>
      </c>
    </row>
    <row r="211" ht="60" customHeight="1">
      <c r="A211" s="2" t="inlineStr">
        <is>
          <t>VEH-210</t>
        </is>
      </c>
      <c r="B211" s="2" t="inlineStr">
        <is>
          <t>Chars moyens</t>
        </is>
      </c>
      <c r="C211" s="2" t="inlineStr">
        <is>
          <t>T-28</t>
        </is>
      </c>
      <c r="D211" s="2" t="inlineStr">
        <is>
          <t>À distinguer si plusieurs variantes</t>
        </is>
      </c>
      <c r="E211" s="2" t="inlineStr">
        <is>
          <t>URSS</t>
        </is>
      </c>
      <c r="F211" s="2" t="inlineStr">
        <is>
          <t>À documenter</t>
        </is>
      </c>
      <c r="G211" s="2" t="inlineStr">
        <is>
          <t>À confirmer</t>
        </is>
      </c>
      <c r="H211" s="2" t="inlineStr">
        <is>
          <t>Chars moyens</t>
        </is>
      </c>
      <c r="I211" s="2" t="inlineStr">
        <is>
          <t>À définir</t>
        </is>
      </c>
      <c r="J211" s="2" t="n"/>
      <c r="K211" s="2" t="n"/>
      <c r="L211" s="2" t="n"/>
      <c r="M211" s="2" t="n"/>
      <c r="N211" s="2" t="n"/>
      <c r="O211" s="2" t="n"/>
      <c r="P211" s="2" t="inlineStr">
        <is>
          <t>12 cylindres en V essence M-17</t>
        </is>
      </c>
      <c r="Q211" s="2" t="n"/>
      <c r="R211" s="2" t="n"/>
      <c r="S211" s="2" t="inlineStr">
        <is>
          <t>À confirmer</t>
        </is>
      </c>
      <c r="T211" s="2" t="n"/>
      <c r="U211" s="2" t="n"/>
      <c r="V211" s="2" t="n"/>
      <c r="W211" s="2" t="n"/>
      <c r="X211" s="2" t="inlineStr">
        <is>
          <t>À documenter</t>
        </is>
      </c>
      <c r="Y211" s="2" t="inlineStr">
        <is>
          <t>À documenter</t>
        </is>
      </c>
      <c r="Z211" s="2" t="inlineStr">
        <is>
          <t>À documenter</t>
        </is>
      </c>
      <c r="AA211" s="2" t="inlineStr">
        <is>
          <t>À documenter</t>
        </is>
      </c>
      <c r="AB211" s="2" t="inlineStr">
        <is>
          <t>À documenter</t>
        </is>
      </c>
      <c r="AC211" s="2" t="inlineStr">
        <is>
          <t>Canon de 76,2 mm KT-28 ou L-10 selon version; mitrailleuses DT</t>
        </is>
      </c>
      <c r="AD211" s="2" t="inlineStr">
        <is>
          <t>À documenter</t>
        </is>
      </c>
      <c r="AE211" s="2" t="inlineStr">
        <is>
          <t>À documenter</t>
        </is>
      </c>
      <c r="AF211" s="2" t="inlineStr">
        <is>
          <t>À définir</t>
        </is>
      </c>
      <c r="AG211" s="2" t="inlineStr">
        <is>
          <t>À définir</t>
        </is>
      </c>
      <c r="AH211" s="2" t="inlineStr">
        <is>
          <t>Réparation d’origine si véhicule complet ; démontage si incomplet</t>
        </is>
      </c>
      <c r="AI211" s="2" t="inlineStr">
        <is>
          <t>À documenter</t>
        </is>
      </c>
      <c r="AJ211" s="2" t="inlineStr">
        <is>
          <t>À définir séparément des compatibilités historiques</t>
        </is>
      </c>
      <c r="AK211" s="2" t="inlineStr">
        <is>
          <t>À documenter</t>
        </is>
      </c>
      <c r="AL211" s="2" t="inlineStr">
        <is>
          <t>À rechercher / voir sources historiques</t>
        </is>
      </c>
      <c r="AM211" s="2" t="inlineStr">
        <is>
          <t>https://tanks-encyclopedia.com/ww2/soviet/t-28/</t>
        </is>
      </c>
      <c r="AN211" s="2" t="inlineStr">
        <is>
          <t>Source de niveau variable ; contrôle par variante nécessaire</t>
        </is>
      </c>
      <c r="AO211" s="2" t="inlineStr">
        <is>
          <t>Non renseigné</t>
        </is>
      </c>
      <c r="AP211" s="2" t="inlineStr">
        <is>
          <t>Faible</t>
        </is>
      </c>
      <c r="AQ211" s="2" t="inlineStr">
        <is>
          <t>Partiel</t>
        </is>
      </c>
      <c r="AR211" s="2" t="inlineStr">
        <is>
          <t>Partiel — fiche à compléter</t>
        </is>
      </c>
      <c r="AS211" s="2" t="inlineStr">
        <is>
          <t>P2/P3</t>
        </is>
      </c>
      <c r="AT211" s="2" t="inlineStr">
        <is>
          <t>Char moyen multi-tourelles.</t>
        </is>
      </c>
      <c r="AU211" s="2" t="inlineStr">
        <is>
          <t>À intégrer après validation du prototype</t>
        </is>
      </c>
      <c r="AV211" s="2" t="inlineStr">
        <is>
          <t>T-28 : véhicule de catégorie « Chars moyens », d'origine URSS. Motorisation recensée : 12 cylindres en V essence M-17. Fiche de catalogue à compléter avec le rôle tactique et les caractéristiques de jeu.</t>
        </is>
      </c>
    </row>
    <row r="212" ht="60" customHeight="1">
      <c r="A212" s="2" t="inlineStr">
        <is>
          <t>VEH-211</t>
        </is>
      </c>
      <c r="B212" s="2" t="inlineStr">
        <is>
          <t>Chars lourds et prototypes</t>
        </is>
      </c>
      <c r="C212" s="2" t="inlineStr">
        <is>
          <t>T-35</t>
        </is>
      </c>
      <c r="D212" s="2" t="inlineStr">
        <is>
          <t>À distinguer si plusieurs variantes</t>
        </is>
      </c>
      <c r="E212" s="2" t="inlineStr">
        <is>
          <t>URSS</t>
        </is>
      </c>
      <c r="F212" s="2" t="inlineStr">
        <is>
          <t>À documenter</t>
        </is>
      </c>
      <c r="G212" s="2" t="inlineStr">
        <is>
          <t>À confirmer</t>
        </is>
      </c>
      <c r="H212" s="2" t="inlineStr">
        <is>
          <t>Chars lourds et prototypes</t>
        </is>
      </c>
      <c r="I212" s="2" t="inlineStr">
        <is>
          <t>À définir</t>
        </is>
      </c>
      <c r="J212" s="2" t="n"/>
      <c r="K212" s="2" t="n"/>
      <c r="L212" s="2" t="n"/>
      <c r="M212" s="2" t="n"/>
      <c r="N212" s="2" t="n"/>
      <c r="O212" s="2" t="n"/>
      <c r="P212" s="2" t="inlineStr">
        <is>
          <t>12 cylindres en V essence M-17</t>
        </is>
      </c>
      <c r="Q212" s="2" t="n"/>
      <c r="R212" s="2" t="n"/>
      <c r="S212" s="2" t="inlineStr">
        <is>
          <t>À confirmer</t>
        </is>
      </c>
      <c r="T212" s="2" t="n"/>
      <c r="U212" s="2" t="n"/>
      <c r="V212" s="2" t="n"/>
      <c r="W212" s="2" t="n"/>
      <c r="X212" s="2" t="inlineStr">
        <is>
          <t>À documenter</t>
        </is>
      </c>
      <c r="Y212" s="2" t="inlineStr">
        <is>
          <t>À documenter</t>
        </is>
      </c>
      <c r="Z212" s="2" t="inlineStr">
        <is>
          <t>À documenter</t>
        </is>
      </c>
      <c r="AA212" s="2" t="inlineStr">
        <is>
          <t>À documenter</t>
        </is>
      </c>
      <c r="AB212" s="2" t="inlineStr">
        <is>
          <t>À documenter</t>
        </is>
      </c>
      <c r="AC212" s="2" t="inlineStr">
        <is>
          <t>Canon de 76,2 mm + canons de 45 mm et mitrailleuses DT selon disposition multi-tourelles</t>
        </is>
      </c>
      <c r="AD212" s="2" t="inlineStr">
        <is>
          <t>À documenter</t>
        </is>
      </c>
      <c r="AE212" s="2" t="inlineStr">
        <is>
          <t>À documenter</t>
        </is>
      </c>
      <c r="AF212" s="2" t="inlineStr">
        <is>
          <t>À définir</t>
        </is>
      </c>
      <c r="AG212" s="2" t="inlineStr">
        <is>
          <t>À définir</t>
        </is>
      </c>
      <c r="AH212" s="2" t="inlineStr">
        <is>
          <t>Réparation d’origine si véhicule complet ; démontage si incomplet</t>
        </is>
      </c>
      <c r="AI212" s="2" t="inlineStr">
        <is>
          <t>À documenter</t>
        </is>
      </c>
      <c r="AJ212" s="2" t="inlineStr">
        <is>
          <t>À définir séparément des compatibilités historiques</t>
        </is>
      </c>
      <c r="AK212" s="2" t="inlineStr">
        <is>
          <t>À documenter</t>
        </is>
      </c>
      <c r="AL212" s="2" t="inlineStr">
        <is>
          <t>À rechercher / voir sources historiques</t>
        </is>
      </c>
      <c r="AM212" s="2" t="inlineStr">
        <is>
          <t>https://tanks-encyclopedia.com/ww2/soviet/t-35/</t>
        </is>
      </c>
      <c r="AN212" s="2" t="inlineStr">
        <is>
          <t>Source de niveau variable ; contrôle par variante nécessaire</t>
        </is>
      </c>
      <c r="AO212" s="2" t="inlineStr">
        <is>
          <t>Non renseigné</t>
        </is>
      </c>
      <c r="AP212" s="2" t="inlineStr">
        <is>
          <t>Faible</t>
        </is>
      </c>
      <c r="AQ212" s="2" t="inlineStr">
        <is>
          <t>Partiel</t>
        </is>
      </c>
      <c r="AR212" s="2" t="inlineStr">
        <is>
          <t>Partiel — fiche à compléter</t>
        </is>
      </c>
      <c r="AS212" s="2" t="inlineStr">
        <is>
          <t>P2/P3</t>
        </is>
      </c>
      <c r="AT212" s="2" t="inlineStr">
        <is>
          <t>Char lourd multi-tourelles, grand encombrement.</t>
        </is>
      </c>
      <c r="AU212" s="2" t="inlineStr">
        <is>
          <t>À intégrer après validation du prototype</t>
        </is>
      </c>
      <c r="AV212" s="2" t="inlineStr">
        <is>
          <t>T-35 : véhicule de catégorie « Chars lourds et prototypes », d'origine URSS. Motorisation recensée : 12 cylindres en V essence M-17. Fiche de catalogue à compléter avec le rôle tactique et les caractéristiques de jeu.</t>
        </is>
      </c>
    </row>
    <row r="213" ht="60" customHeight="1">
      <c r="A213" s="2" t="inlineStr">
        <is>
          <t>VEH-212</t>
        </is>
      </c>
      <c r="B213" s="2" t="inlineStr">
        <is>
          <t>Chars amphibies et spécialisés</t>
        </is>
      </c>
      <c r="C213" s="2" t="inlineStr">
        <is>
          <t>T-37A</t>
        </is>
      </c>
      <c r="D213" s="2" t="inlineStr">
        <is>
          <t>À distinguer si plusieurs variantes</t>
        </is>
      </c>
      <c r="E213" s="2" t="inlineStr">
        <is>
          <t>URSS</t>
        </is>
      </c>
      <c r="F213" s="2" t="inlineStr">
        <is>
          <t>À documenter</t>
        </is>
      </c>
      <c r="G213" s="2" t="inlineStr">
        <is>
          <t>À confirmer</t>
        </is>
      </c>
      <c r="H213" s="2" t="inlineStr">
        <is>
          <t>Chars amphibies et spécialisés</t>
        </is>
      </c>
      <c r="I213" s="2" t="inlineStr">
        <is>
          <t>À définir</t>
        </is>
      </c>
      <c r="J213" s="2" t="n"/>
      <c r="K213" s="2" t="n"/>
      <c r="L213" s="2" t="n"/>
      <c r="M213" s="2" t="n"/>
      <c r="N213" s="2" t="n"/>
      <c r="O213" s="2" t="n"/>
      <c r="P213" s="2" t="inlineStr">
        <is>
          <t>4 cylindres essence GAZ-AA adapté</t>
        </is>
      </c>
      <c r="Q213" s="2" t="n"/>
      <c r="R213" s="2" t="n"/>
      <c r="S213" s="2" t="inlineStr">
        <is>
          <t>À confirmer</t>
        </is>
      </c>
      <c r="T213" s="2" t="n"/>
      <c r="U213" s="2" t="n"/>
      <c r="V213" s="2" t="n"/>
      <c r="W213" s="2" t="n"/>
      <c r="X213" s="2" t="inlineStr">
        <is>
          <t>À documenter</t>
        </is>
      </c>
      <c r="Y213" s="2" t="inlineStr">
        <is>
          <t>À documenter</t>
        </is>
      </c>
      <c r="Z213" s="2" t="inlineStr">
        <is>
          <t>À documenter</t>
        </is>
      </c>
      <c r="AA213" s="2" t="inlineStr">
        <is>
          <t>À documenter</t>
        </is>
      </c>
      <c r="AB213" s="2" t="inlineStr">
        <is>
          <t>À documenter</t>
        </is>
      </c>
      <c r="AC213" s="2" t="inlineStr">
        <is>
          <t>Armement historique à déterminer précisément pour ce modèle/sa variante</t>
        </is>
      </c>
      <c r="AD213" s="2" t="inlineStr">
        <is>
          <t>À documenter</t>
        </is>
      </c>
      <c r="AE213" s="2" t="inlineStr">
        <is>
          <t>À documenter</t>
        </is>
      </c>
      <c r="AF213" s="2" t="inlineStr">
        <is>
          <t>À définir</t>
        </is>
      </c>
      <c r="AG213" s="2" t="inlineStr">
        <is>
          <t>À définir</t>
        </is>
      </c>
      <c r="AH213" s="2" t="inlineStr">
        <is>
          <t>Réparation d’origine si véhicule complet ; démontage si incomplet</t>
        </is>
      </c>
      <c r="AI213" s="2" t="inlineStr">
        <is>
          <t>À documenter</t>
        </is>
      </c>
      <c r="AJ213" s="2" t="inlineStr">
        <is>
          <t>À définir séparément des compatibilités historiques</t>
        </is>
      </c>
      <c r="AK213" s="2" t="inlineStr">
        <is>
          <t>À documenter</t>
        </is>
      </c>
      <c r="AL213" s="2" t="inlineStr">
        <is>
          <t>À rechercher / voir sources historiques</t>
        </is>
      </c>
      <c r="AM213" s="2" t="inlineStr">
        <is>
          <t>https://tanks-encyclopedia.com/ww2/soviet/t-37/</t>
        </is>
      </c>
      <c r="AN213" s="2" t="inlineStr">
        <is>
          <t>Source de niveau variable ; contrôle par variante nécessaire</t>
        </is>
      </c>
      <c r="AO213" s="2" t="inlineStr">
        <is>
          <t>Non renseigné</t>
        </is>
      </c>
      <c r="AP213" s="2" t="inlineStr">
        <is>
          <t>Faible</t>
        </is>
      </c>
      <c r="AQ213" s="2" t="inlineStr">
        <is>
          <t>À vérifier</t>
        </is>
      </c>
      <c r="AR213" s="2" t="inlineStr">
        <is>
          <t>Partiel — fiche à compléter</t>
        </is>
      </c>
      <c r="AS213" s="2" t="inlineStr">
        <is>
          <t>P2/P3</t>
        </is>
      </c>
      <c r="AT213" s="2" t="inlineStr">
        <is>
          <t>Char amphibie léger.</t>
        </is>
      </c>
      <c r="AU213" s="2" t="inlineStr">
        <is>
          <t>À intégrer après validation du prototype</t>
        </is>
      </c>
      <c r="AV213" s="2" t="inlineStr">
        <is>
          <t>T-37A : véhicule de catégorie « Chars amphibies et spécialisés », d'origine URSS. Motorisation recensée : 4 cylindres essence GAZ-AA adapté. Variante historique à vérifier avant validation définitive.</t>
        </is>
      </c>
    </row>
    <row r="214" ht="60" customHeight="1">
      <c r="A214" s="2" t="inlineStr">
        <is>
          <t>VEH-213</t>
        </is>
      </c>
      <c r="B214" s="2" t="inlineStr">
        <is>
          <t>Chars amphibies et spécialisés</t>
        </is>
      </c>
      <c r="C214" s="2" t="inlineStr">
        <is>
          <t>T-38</t>
        </is>
      </c>
      <c r="D214" s="2" t="inlineStr">
        <is>
          <t>À distinguer si plusieurs variantes</t>
        </is>
      </c>
      <c r="E214" s="2" t="inlineStr">
        <is>
          <t>URSS</t>
        </is>
      </c>
      <c r="F214" s="2" t="inlineStr">
        <is>
          <t>À documenter</t>
        </is>
      </c>
      <c r="G214" s="2" t="inlineStr">
        <is>
          <t>À confirmer</t>
        </is>
      </c>
      <c r="H214" s="2" t="inlineStr">
        <is>
          <t>Chars amphibies et spécialisés</t>
        </is>
      </c>
      <c r="I214" s="2" t="inlineStr">
        <is>
          <t>À définir</t>
        </is>
      </c>
      <c r="J214" s="2" t="n"/>
      <c r="K214" s="2" t="n"/>
      <c r="L214" s="2" t="n"/>
      <c r="M214" s="2" t="n"/>
      <c r="N214" s="2" t="n"/>
      <c r="O214" s="2" t="n"/>
      <c r="P214" s="2" t="inlineStr">
        <is>
          <t>4 cylindres essence GAZ-AA adapté</t>
        </is>
      </c>
      <c r="Q214" s="2" t="n"/>
      <c r="R214" s="2" t="n"/>
      <c r="S214" s="2" t="inlineStr">
        <is>
          <t>À confirmer</t>
        </is>
      </c>
      <c r="T214" s="2" t="n"/>
      <c r="U214" s="2" t="n"/>
      <c r="V214" s="2" t="n"/>
      <c r="W214" s="2" t="n"/>
      <c r="X214" s="2" t="inlineStr">
        <is>
          <t>À documenter</t>
        </is>
      </c>
      <c r="Y214" s="2" t="inlineStr">
        <is>
          <t>À documenter</t>
        </is>
      </c>
      <c r="Z214" s="2" t="inlineStr">
        <is>
          <t>À documenter</t>
        </is>
      </c>
      <c r="AA214" s="2" t="inlineStr">
        <is>
          <t>À documenter</t>
        </is>
      </c>
      <c r="AB214" s="2" t="inlineStr">
        <is>
          <t>À documenter</t>
        </is>
      </c>
      <c r="AC214" s="2" t="inlineStr">
        <is>
          <t>Armement historique à déterminer précisément pour ce modèle/sa variante</t>
        </is>
      </c>
      <c r="AD214" s="2" t="inlineStr">
        <is>
          <t>À documenter</t>
        </is>
      </c>
      <c r="AE214" s="2" t="inlineStr">
        <is>
          <t>À documenter</t>
        </is>
      </c>
      <c r="AF214" s="2" t="inlineStr">
        <is>
          <t>À définir</t>
        </is>
      </c>
      <c r="AG214" s="2" t="inlineStr">
        <is>
          <t>À définir</t>
        </is>
      </c>
      <c r="AH214" s="2" t="inlineStr">
        <is>
          <t>Réparation d’origine si véhicule complet ; démontage si incomplet</t>
        </is>
      </c>
      <c r="AI214" s="2" t="inlineStr">
        <is>
          <t>À documenter</t>
        </is>
      </c>
      <c r="AJ214" s="2" t="inlineStr">
        <is>
          <t>À définir séparément des compatibilités historiques</t>
        </is>
      </c>
      <c r="AK214" s="2" t="inlineStr">
        <is>
          <t>À documenter</t>
        </is>
      </c>
      <c r="AL214" s="2" t="inlineStr">
        <is>
          <t>À rechercher / voir sources historiques</t>
        </is>
      </c>
      <c r="AM214" s="2" t="inlineStr">
        <is>
          <t>https://tanks-encyclopedia.com/ww2/soviet/t-38/</t>
        </is>
      </c>
      <c r="AN214" s="2" t="inlineStr">
        <is>
          <t>Source de niveau variable ; contrôle par variante nécessaire</t>
        </is>
      </c>
      <c r="AO214" s="2" t="inlineStr">
        <is>
          <t>Non renseigné</t>
        </is>
      </c>
      <c r="AP214" s="2" t="inlineStr">
        <is>
          <t>Faible</t>
        </is>
      </c>
      <c r="AQ214" s="2" t="inlineStr">
        <is>
          <t>À vérifier</t>
        </is>
      </c>
      <c r="AR214" s="2" t="inlineStr">
        <is>
          <t>Partiel — fiche à compléter</t>
        </is>
      </c>
      <c r="AS214" s="2" t="inlineStr">
        <is>
          <t>P2/P3</t>
        </is>
      </c>
      <c r="AT214" s="2" t="inlineStr">
        <is>
          <t>Évolution du T-37.</t>
        </is>
      </c>
      <c r="AU214" s="2" t="inlineStr">
        <is>
          <t>À intégrer après validation du prototype</t>
        </is>
      </c>
      <c r="AV214" s="2" t="inlineStr">
        <is>
          <t>T-38 : véhicule de catégorie « Chars amphibies et spécialisés », d'origine URSS. Motorisation recensée : 4 cylindres essence GAZ-AA adapté. Variante historique à vérifier avant validation définitive.</t>
        </is>
      </c>
    </row>
    <row r="215" ht="60" customHeight="1">
      <c r="A215" s="2" t="inlineStr">
        <is>
          <t>VEH-214</t>
        </is>
      </c>
      <c r="B215" s="2" t="inlineStr">
        <is>
          <t>Chars amphibies et spécialisés</t>
        </is>
      </c>
      <c r="C215" s="2" t="inlineStr">
        <is>
          <t>T-40</t>
        </is>
      </c>
      <c r="D215" s="2" t="inlineStr">
        <is>
          <t>À distinguer si plusieurs variantes</t>
        </is>
      </c>
      <c r="E215" s="2" t="inlineStr">
        <is>
          <t>URSS</t>
        </is>
      </c>
      <c r="F215" s="2" t="inlineStr">
        <is>
          <t>À documenter</t>
        </is>
      </c>
      <c r="G215" s="2" t="inlineStr">
        <is>
          <t>À confirmer</t>
        </is>
      </c>
      <c r="H215" s="2" t="inlineStr">
        <is>
          <t>Chars amphibies et spécialisés</t>
        </is>
      </c>
      <c r="I215" s="2" t="inlineStr">
        <is>
          <t>À définir</t>
        </is>
      </c>
      <c r="J215" s="2" t="n"/>
      <c r="K215" s="2" t="n"/>
      <c r="L215" s="2" t="n"/>
      <c r="M215" s="2" t="n"/>
      <c r="N215" s="2" t="n"/>
      <c r="O215" s="2" t="n"/>
      <c r="P215" s="2" t="inlineStr">
        <is>
          <t>6 cylindres essence GAZ-11</t>
        </is>
      </c>
      <c r="Q215" s="2" t="n"/>
      <c r="R215" s="2" t="n"/>
      <c r="S215" s="2" t="inlineStr">
        <is>
          <t>À confirmer</t>
        </is>
      </c>
      <c r="T215" s="2" t="n"/>
      <c r="U215" s="2" t="n"/>
      <c r="V215" s="2" t="n"/>
      <c r="W215" s="2" t="n"/>
      <c r="X215" s="2" t="inlineStr">
        <is>
          <t>À documenter</t>
        </is>
      </c>
      <c r="Y215" s="2" t="inlineStr">
        <is>
          <t>À documenter</t>
        </is>
      </c>
      <c r="Z215" s="2" t="inlineStr">
        <is>
          <t>À documenter</t>
        </is>
      </c>
      <c r="AA215" s="2" t="inlineStr">
        <is>
          <t>À documenter</t>
        </is>
      </c>
      <c r="AB215" s="2" t="inlineStr">
        <is>
          <t>À documenter</t>
        </is>
      </c>
      <c r="AC215" s="2" t="inlineStr">
        <is>
          <t>Armement historique à déterminer précisément pour ce modèle/sa variante</t>
        </is>
      </c>
      <c r="AD215" s="2" t="inlineStr">
        <is>
          <t>À documenter</t>
        </is>
      </c>
      <c r="AE215" s="2" t="inlineStr">
        <is>
          <t>À documenter</t>
        </is>
      </c>
      <c r="AF215" s="2" t="inlineStr">
        <is>
          <t>À définir</t>
        </is>
      </c>
      <c r="AG215" s="2" t="inlineStr">
        <is>
          <t>À définir</t>
        </is>
      </c>
      <c r="AH215" s="2" t="inlineStr">
        <is>
          <t>Réparation d’origine si véhicule complet ; démontage si incomplet</t>
        </is>
      </c>
      <c r="AI215" s="2" t="inlineStr">
        <is>
          <t>À documenter</t>
        </is>
      </c>
      <c r="AJ215" s="2" t="inlineStr">
        <is>
          <t>À définir séparément des compatibilités historiques</t>
        </is>
      </c>
      <c r="AK215" s="2" t="inlineStr">
        <is>
          <t>À documenter</t>
        </is>
      </c>
      <c r="AL215" s="2" t="inlineStr">
        <is>
          <t>À rechercher / voir sources historiques</t>
        </is>
      </c>
      <c r="AM215" s="2" t="inlineStr">
        <is>
          <t>https://tanks-encyclopedia.com/ww2/soviet/t-40/</t>
        </is>
      </c>
      <c r="AN215" s="2" t="inlineStr">
        <is>
          <t>Source de niveau variable ; contrôle par variante nécessaire</t>
        </is>
      </c>
      <c r="AO215" s="2" t="inlineStr">
        <is>
          <t>Non renseigné</t>
        </is>
      </c>
      <c r="AP215" s="2" t="inlineStr">
        <is>
          <t>Faible</t>
        </is>
      </c>
      <c r="AQ215" s="2" t="inlineStr">
        <is>
          <t>À vérifier</t>
        </is>
      </c>
      <c r="AR215" s="2" t="inlineStr">
        <is>
          <t>Partiel — fiche à compléter</t>
        </is>
      </c>
      <c r="AS215" s="2" t="inlineStr">
        <is>
          <t>P2/P3</t>
        </is>
      </c>
      <c r="AT215" s="2" t="inlineStr">
        <is>
          <t>Char amphibie ; moteur plus puissant.</t>
        </is>
      </c>
      <c r="AU215" s="2" t="inlineStr">
        <is>
          <t>À intégrer après validation du prototype</t>
        </is>
      </c>
      <c r="AV215" s="2" t="inlineStr">
        <is>
          <t>T-40 : véhicule de catégorie « Chars amphibies et spécialisés », d'origine URSS. Motorisation recensée : 6 cylindres essence GAZ-11. Variante historique à vérifier avant validation définitive.</t>
        </is>
      </c>
    </row>
    <row r="216" ht="60" customHeight="1">
      <c r="A216" s="2" t="inlineStr">
        <is>
          <t>VEH-215</t>
        </is>
      </c>
      <c r="B216" s="2" t="inlineStr">
        <is>
          <t>Chars légers et chars anciens</t>
        </is>
      </c>
      <c r="C216" s="2" t="inlineStr">
        <is>
          <t>T-50</t>
        </is>
      </c>
      <c r="D216" s="2" t="inlineStr">
        <is>
          <t>À distinguer si plusieurs variantes</t>
        </is>
      </c>
      <c r="E216" s="2" t="inlineStr">
        <is>
          <t>URSS</t>
        </is>
      </c>
      <c r="F216" s="2" t="inlineStr">
        <is>
          <t>À documenter</t>
        </is>
      </c>
      <c r="G216" s="2" t="inlineStr">
        <is>
          <t>À confirmer</t>
        </is>
      </c>
      <c r="H216" s="2" t="inlineStr">
        <is>
          <t>Chars légers et chars anciens</t>
        </is>
      </c>
      <c r="I216" s="2" t="inlineStr">
        <is>
          <t>À définir</t>
        </is>
      </c>
      <c r="J216" s="2" t="n"/>
      <c r="K216" s="2" t="n"/>
      <c r="L216" s="2" t="n"/>
      <c r="M216" s="2" t="n"/>
      <c r="N216" s="2" t="n"/>
      <c r="O216" s="2" t="n"/>
      <c r="P216" s="2" t="inlineStr">
        <is>
          <t>6 cylindres diesel V-4</t>
        </is>
      </c>
      <c r="Q216" s="2" t="n"/>
      <c r="R216" s="2" t="n"/>
      <c r="S216" s="2" t="inlineStr">
        <is>
          <t>À confirmer</t>
        </is>
      </c>
      <c r="T216" s="2" t="n"/>
      <c r="U216" s="2" t="n"/>
      <c r="V216" s="2" t="n"/>
      <c r="W216" s="2" t="n"/>
      <c r="X216" s="2" t="inlineStr">
        <is>
          <t>À documenter</t>
        </is>
      </c>
      <c r="Y216" s="2" t="inlineStr">
        <is>
          <t>À documenter</t>
        </is>
      </c>
      <c r="Z216" s="2" t="inlineStr">
        <is>
          <t>À documenter</t>
        </is>
      </c>
      <c r="AA216" s="2" t="inlineStr">
        <is>
          <t>À documenter</t>
        </is>
      </c>
      <c r="AB216" s="2" t="inlineStr">
        <is>
          <t>À documenter</t>
        </is>
      </c>
      <c r="AC216" s="2" t="inlineStr">
        <is>
          <t>Armement historique à déterminer précisément pour ce modèle/sa variante</t>
        </is>
      </c>
      <c r="AD216" s="2" t="inlineStr">
        <is>
          <t>À documenter</t>
        </is>
      </c>
      <c r="AE216" s="2" t="inlineStr">
        <is>
          <t>À documenter</t>
        </is>
      </c>
      <c r="AF216" s="2" t="inlineStr">
        <is>
          <t>À définir</t>
        </is>
      </c>
      <c r="AG216" s="2" t="inlineStr">
        <is>
          <t>À définir</t>
        </is>
      </c>
      <c r="AH216" s="2" t="inlineStr">
        <is>
          <t>Réparation d’origine si véhicule complet ; démontage si incomplet</t>
        </is>
      </c>
      <c r="AI216" s="2" t="inlineStr">
        <is>
          <t>À documenter</t>
        </is>
      </c>
      <c r="AJ216" s="2" t="inlineStr">
        <is>
          <t>À définir séparément des compatibilités historiques</t>
        </is>
      </c>
      <c r="AK216" s="2" t="inlineStr">
        <is>
          <t>À documenter</t>
        </is>
      </c>
      <c r="AL216" s="2" t="inlineStr">
        <is>
          <t>À rechercher / voir sources historiques</t>
        </is>
      </c>
      <c r="AM216" s="2" t="inlineStr">
        <is>
          <t>https://tanks-encyclopedia.com/ww2/soviet/t-50/</t>
        </is>
      </c>
      <c r="AN216" s="2" t="inlineStr">
        <is>
          <t>Source de niveau variable ; contrôle par variante nécessaire</t>
        </is>
      </c>
      <c r="AO216" s="2" t="inlineStr">
        <is>
          <t>Non renseigné</t>
        </is>
      </c>
      <c r="AP216" s="2" t="inlineStr">
        <is>
          <t>Faible</t>
        </is>
      </c>
      <c r="AQ216" s="2" t="inlineStr">
        <is>
          <t>À vérifier</t>
        </is>
      </c>
      <c r="AR216" s="2" t="inlineStr">
        <is>
          <t>Partiel — fiche à compléter</t>
        </is>
      </c>
      <c r="AS216" s="2" t="inlineStr">
        <is>
          <t>P2/P3</t>
        </is>
      </c>
      <c r="AT216" s="2" t="inlineStr">
        <is>
          <t>Diesel compact, famille différente du V-2.</t>
        </is>
      </c>
      <c r="AU216" s="2" t="inlineStr">
        <is>
          <t>À intégrer après validation du prototype</t>
        </is>
      </c>
      <c r="AV216" s="2" t="inlineStr">
        <is>
          <t>T-50 : véhicule de catégorie « Chars légers et chars anciens », d'origine URSS. Motorisation recensée : 6 cylindres diesel V-4. Fiche de catalogue à compléter avec le rôle tactique et les caractéristiques de jeu.</t>
        </is>
      </c>
    </row>
    <row r="217" ht="60" customHeight="1">
      <c r="A217" s="2" t="inlineStr">
        <is>
          <t>VEH-216</t>
        </is>
      </c>
      <c r="B217" s="2" t="inlineStr">
        <is>
          <t>Chars légers et chars anciens</t>
        </is>
      </c>
      <c r="C217" s="2" t="inlineStr">
        <is>
          <t>T-80 light tank</t>
        </is>
      </c>
      <c r="D217" s="2" t="inlineStr">
        <is>
          <t>À distinguer si plusieurs variantes</t>
        </is>
      </c>
      <c r="E217" s="2" t="inlineStr">
        <is>
          <t>URSS</t>
        </is>
      </c>
      <c r="F217" s="2" t="inlineStr">
        <is>
          <t>À documenter</t>
        </is>
      </c>
      <c r="G217" s="2" t="inlineStr">
        <is>
          <t>À confirmer</t>
        </is>
      </c>
      <c r="H217" s="2" t="inlineStr">
        <is>
          <t>Chars légers et chars anciens</t>
        </is>
      </c>
      <c r="I217" s="2" t="inlineStr">
        <is>
          <t>À définir</t>
        </is>
      </c>
      <c r="J217" s="2" t="n"/>
      <c r="K217" s="2" t="n"/>
      <c r="L217" s="2" t="n"/>
      <c r="M217" s="2" t="n"/>
      <c r="N217" s="2" t="n"/>
      <c r="O217" s="2" t="n"/>
      <c r="P217" s="2" t="inlineStr">
        <is>
          <t>6 cylindres essence GAZ-203, ensemble de deux moteurs</t>
        </is>
      </c>
      <c r="Q217" s="2" t="n"/>
      <c r="R217" s="2" t="n"/>
      <c r="S217" s="2" t="inlineStr">
        <is>
          <t>À confirmer</t>
        </is>
      </c>
      <c r="T217" s="2" t="n"/>
      <c r="U217" s="2" t="n"/>
      <c r="V217" s="2" t="n"/>
      <c r="W217" s="2" t="n"/>
      <c r="X217" s="2" t="inlineStr">
        <is>
          <t>À documenter</t>
        </is>
      </c>
      <c r="Y217" s="2" t="inlineStr">
        <is>
          <t>À documenter</t>
        </is>
      </c>
      <c r="Z217" s="2" t="inlineStr">
        <is>
          <t>À documenter</t>
        </is>
      </c>
      <c r="AA217" s="2" t="inlineStr">
        <is>
          <t>À documenter</t>
        </is>
      </c>
      <c r="AB217" s="2" t="inlineStr">
        <is>
          <t>À documenter</t>
        </is>
      </c>
      <c r="AC217" s="2" t="inlineStr">
        <is>
          <t>Armement historique à déterminer précisément pour ce modèle/sa variante</t>
        </is>
      </c>
      <c r="AD217" s="2" t="inlineStr">
        <is>
          <t>À documenter</t>
        </is>
      </c>
      <c r="AE217" s="2" t="inlineStr">
        <is>
          <t>À documenter</t>
        </is>
      </c>
      <c r="AF217" s="2" t="inlineStr">
        <is>
          <t>À définir</t>
        </is>
      </c>
      <c r="AG217" s="2" t="inlineStr">
        <is>
          <t>À définir</t>
        </is>
      </c>
      <c r="AH217" s="2" t="inlineStr">
        <is>
          <t>Réparation d’origine si véhicule complet ; démontage si incomplet</t>
        </is>
      </c>
      <c r="AI217" s="2" t="inlineStr">
        <is>
          <t>À documenter</t>
        </is>
      </c>
      <c r="AJ217" s="2" t="inlineStr">
        <is>
          <t>À définir séparément des compatibilités historiques</t>
        </is>
      </c>
      <c r="AK217" s="2" t="inlineStr">
        <is>
          <t>À documenter</t>
        </is>
      </c>
      <c r="AL217" s="2" t="inlineStr">
        <is>
          <t>À rechercher / voir sources historiques</t>
        </is>
      </c>
      <c r="AM217" s="2" t="inlineStr">
        <is>
          <t>https://tanks-encyclopedia.com/ww2/soviet/t-80/</t>
        </is>
      </c>
      <c r="AN217" s="2" t="inlineStr">
        <is>
          <t>Source de niveau variable ; contrôle par variante nécessaire</t>
        </is>
      </c>
      <c r="AO217" s="2" t="inlineStr">
        <is>
          <t>Non renseigné</t>
        </is>
      </c>
      <c r="AP217" s="2" t="inlineStr">
        <is>
          <t>Faible</t>
        </is>
      </c>
      <c r="AQ217" s="2" t="inlineStr">
        <is>
          <t>À vérifier</t>
        </is>
      </c>
      <c r="AR217" s="2" t="inlineStr">
        <is>
          <t>Partiel — fiche à compléter</t>
        </is>
      </c>
      <c r="AS217" s="2" t="inlineStr">
        <is>
          <t>P2/P3</t>
        </is>
      </c>
      <c r="AT217" s="2" t="inlineStr">
        <is>
          <t>Variante tardive du T-70.</t>
        </is>
      </c>
      <c r="AU217" s="2" t="inlineStr">
        <is>
          <t>À intégrer après validation du prototype</t>
        </is>
      </c>
      <c r="AV217" s="2" t="inlineStr">
        <is>
          <t>T-80 light tank : véhicule de catégorie « Chars légers et chars anciens », d'origine URSS. Motorisation recensée : 6 cylindres essence GAZ-203, ensemble de deux moteurs. Variante historique à vérifier avant validation définitive.</t>
        </is>
      </c>
    </row>
    <row r="218" ht="60" customHeight="1">
      <c r="A218" s="2" t="inlineStr">
        <is>
          <t>VEH-217</t>
        </is>
      </c>
      <c r="B218" s="2" t="inlineStr">
        <is>
          <t>Chars moyens</t>
        </is>
      </c>
      <c r="C218" s="2" t="inlineStr">
        <is>
          <t>T-34/76</t>
        </is>
      </c>
      <c r="D218" s="2" t="inlineStr">
        <is>
          <t>À distinguer si plusieurs variantes</t>
        </is>
      </c>
      <c r="E218" s="2" t="inlineStr">
        <is>
          <t>URSS</t>
        </is>
      </c>
      <c r="F218" s="2" t="inlineStr">
        <is>
          <t>À documenter</t>
        </is>
      </c>
      <c r="G218" s="2" t="inlineStr">
        <is>
          <t>À confirmer</t>
        </is>
      </c>
      <c r="H218" s="2" t="inlineStr">
        <is>
          <t>Chars moyens</t>
        </is>
      </c>
      <c r="I218" s="2" t="inlineStr">
        <is>
          <t>À définir</t>
        </is>
      </c>
      <c r="J218" s="2" t="n"/>
      <c r="K218" s="2" t="n"/>
      <c r="L218" s="2" t="n"/>
      <c r="M218" s="2" t="n"/>
      <c r="N218" s="2" t="n"/>
      <c r="O218" s="2" t="n"/>
      <c r="P218" s="2" t="inlineStr">
        <is>
          <t>V12 diesel V-2</t>
        </is>
      </c>
      <c r="Q218" s="2" t="n"/>
      <c r="R218" s="2" t="n"/>
      <c r="S218" s="2" t="inlineStr">
        <is>
          <t>À confirmer</t>
        </is>
      </c>
      <c r="T218" s="2" t="n"/>
      <c r="U218" s="2" t="n"/>
      <c r="V218" s="2" t="n"/>
      <c r="W218" s="2" t="n"/>
      <c r="X218" s="2" t="inlineStr">
        <is>
          <t>À documenter</t>
        </is>
      </c>
      <c r="Y218" s="2" t="inlineStr">
        <is>
          <t>À documenter</t>
        </is>
      </c>
      <c r="Z218" s="2" t="inlineStr">
        <is>
          <t>À documenter</t>
        </is>
      </c>
      <c r="AA218" s="2" t="inlineStr">
        <is>
          <t>À documenter</t>
        </is>
      </c>
      <c r="AB218" s="2" t="inlineStr">
        <is>
          <t>À documenter</t>
        </is>
      </c>
      <c r="AC218" s="2" t="inlineStr">
        <is>
          <t>Canon de 76,2 mm L-11/F-34 selon modèle; 2 mitrailleuses DT de 7,62 mm</t>
        </is>
      </c>
      <c r="AD218" s="2" t="inlineStr">
        <is>
          <t>À documenter</t>
        </is>
      </c>
      <c r="AE218" s="2" t="inlineStr">
        <is>
          <t>À documenter</t>
        </is>
      </c>
      <c r="AF218" s="2" t="inlineStr">
        <is>
          <t>À définir</t>
        </is>
      </c>
      <c r="AG218" s="2" t="inlineStr">
        <is>
          <t>À définir</t>
        </is>
      </c>
      <c r="AH218" s="2" t="inlineStr">
        <is>
          <t>Réparation d’origine si véhicule complet ; démontage si incomplet</t>
        </is>
      </c>
      <c r="AI218" s="2" t="inlineStr">
        <is>
          <t>À documenter</t>
        </is>
      </c>
      <c r="AJ218" s="2" t="inlineStr">
        <is>
          <t>À définir séparément des compatibilités historiques</t>
        </is>
      </c>
      <c r="AK218" s="2" t="inlineStr">
        <is>
          <t>À documenter</t>
        </is>
      </c>
      <c r="AL218" s="2" t="inlineStr">
        <is>
          <t>À rechercher / voir sources historiques</t>
        </is>
      </c>
      <c r="AM218" s="2" t="inlineStr">
        <is>
          <t>https://tanks-encyclopedia.com/ww2/soviet/t-34/</t>
        </is>
      </c>
      <c r="AN218" s="2" t="inlineStr">
        <is>
          <t>Source de niveau variable ; contrôle par variante nécessaire</t>
        </is>
      </c>
      <c r="AO218" s="2" t="inlineStr">
        <is>
          <t>Non renseigné</t>
        </is>
      </c>
      <c r="AP218" s="2" t="inlineStr">
        <is>
          <t>Faible</t>
        </is>
      </c>
      <c r="AQ218" s="2" t="inlineStr">
        <is>
          <t>Élevé</t>
        </is>
      </c>
      <c r="AR218" s="2" t="inlineStr">
        <is>
          <t>Partiel — fiche à compléter</t>
        </is>
      </c>
      <c r="AS218" s="2" t="inlineStr">
        <is>
          <t>P2/P3</t>
        </is>
      </c>
      <c r="AT218" s="2" t="inlineStr">
        <is>
          <t>Famille V12 diesel très importante pour le catalogue.</t>
        </is>
      </c>
      <c r="AU218" s="2" t="inlineStr">
        <is>
          <t>À intégrer après validation du prototype</t>
        </is>
      </c>
      <c r="AV218" s="2" t="inlineStr">
        <is>
          <t>T-34/76 : véhicule de catégorie « Chars moyens », d'origine URSS. Motorisation recensée : V12 diesel V-2. Fiche de catalogue à compléter avec le rôle tactique et les caractéristiques de jeu.</t>
        </is>
      </c>
    </row>
    <row r="219" ht="60" customHeight="1">
      <c r="A219" s="2" t="inlineStr">
        <is>
          <t>VEH-218</t>
        </is>
      </c>
      <c r="B219" s="2" t="inlineStr">
        <is>
          <t>Chars moyens</t>
        </is>
      </c>
      <c r="C219" s="2" t="inlineStr">
        <is>
          <t>T-34/85</t>
        </is>
      </c>
      <c r="D219" s="2" t="inlineStr">
        <is>
          <t>À distinguer si plusieurs variantes</t>
        </is>
      </c>
      <c r="E219" s="2" t="inlineStr">
        <is>
          <t>URSS</t>
        </is>
      </c>
      <c r="F219" s="2" t="inlineStr">
        <is>
          <t>À documenter</t>
        </is>
      </c>
      <c r="G219" s="2" t="inlineStr">
        <is>
          <t>À confirmer</t>
        </is>
      </c>
      <c r="H219" s="2" t="inlineStr">
        <is>
          <t>Chars moyens</t>
        </is>
      </c>
      <c r="I219" s="2" t="inlineStr">
        <is>
          <t>À définir</t>
        </is>
      </c>
      <c r="J219" s="2" t="n"/>
      <c r="K219" s="2" t="n"/>
      <c r="L219" s="2" t="n"/>
      <c r="M219" s="2" t="n"/>
      <c r="N219" s="2" t="n"/>
      <c r="O219" s="2" t="n"/>
      <c r="P219" s="2" t="inlineStr">
        <is>
          <t>V12 diesel V-2-34</t>
        </is>
      </c>
      <c r="Q219" s="2" t="n"/>
      <c r="R219" s="2" t="n"/>
      <c r="S219" s="2" t="inlineStr">
        <is>
          <t>À confirmer</t>
        </is>
      </c>
      <c r="T219" s="2" t="n"/>
      <c r="U219" s="2" t="n"/>
      <c r="V219" s="2" t="n"/>
      <c r="W219" s="2" t="n"/>
      <c r="X219" s="2" t="inlineStr">
        <is>
          <t>À documenter</t>
        </is>
      </c>
      <c r="Y219" s="2" t="inlineStr">
        <is>
          <t>À documenter</t>
        </is>
      </c>
      <c r="Z219" s="2" t="inlineStr">
        <is>
          <t>À documenter</t>
        </is>
      </c>
      <c r="AA219" s="2" t="inlineStr">
        <is>
          <t>À documenter</t>
        </is>
      </c>
      <c r="AB219" s="2" t="inlineStr">
        <is>
          <t>À documenter</t>
        </is>
      </c>
      <c r="AC219" s="2" t="inlineStr">
        <is>
          <t>Canon de 76,2 mm L-11/F-34 selon modèle; 2 mitrailleuses DT de 7,62 mm</t>
        </is>
      </c>
      <c r="AD219" s="2" t="inlineStr">
        <is>
          <t>À documenter</t>
        </is>
      </c>
      <c r="AE219" s="2" t="inlineStr">
        <is>
          <t>À documenter</t>
        </is>
      </c>
      <c r="AF219" s="2" t="inlineStr">
        <is>
          <t>À définir</t>
        </is>
      </c>
      <c r="AG219" s="2" t="inlineStr">
        <is>
          <t>À définir</t>
        </is>
      </c>
      <c r="AH219" s="2" t="inlineStr">
        <is>
          <t>Réparation d’origine si véhicule complet ; démontage si incomplet</t>
        </is>
      </c>
      <c r="AI219" s="2" t="inlineStr">
        <is>
          <t>À documenter</t>
        </is>
      </c>
      <c r="AJ219" s="2" t="inlineStr">
        <is>
          <t>À définir séparément des compatibilités historiques</t>
        </is>
      </c>
      <c r="AK219" s="2" t="inlineStr">
        <is>
          <t>À documenter</t>
        </is>
      </c>
      <c r="AL219" s="2" t="inlineStr">
        <is>
          <t>À rechercher / voir sources historiques</t>
        </is>
      </c>
      <c r="AM219" s="2" t="inlineStr">
        <is>
          <t>https://tanks-encyclopedia.com/ww2/soviet/t-34-85/</t>
        </is>
      </c>
      <c r="AN219" s="2" t="inlineStr">
        <is>
          <t>Source de niveau variable ; contrôle par variante nécessaire</t>
        </is>
      </c>
      <c r="AO219" s="2" t="inlineStr">
        <is>
          <t>Non renseigné</t>
        </is>
      </c>
      <c r="AP219" s="2" t="inlineStr">
        <is>
          <t>Faible</t>
        </is>
      </c>
      <c r="AQ219" s="2" t="inlineStr">
        <is>
          <t>Élevé</t>
        </is>
      </c>
      <c r="AR219" s="2" t="inlineStr">
        <is>
          <t>Partiel — fiche à compléter</t>
        </is>
      </c>
      <c r="AS219" s="2" t="inlineStr">
        <is>
          <t>P2/P3</t>
        </is>
      </c>
      <c r="AT219" s="2" t="inlineStr">
        <is>
          <t>Évolution tardive du T-34.</t>
        </is>
      </c>
      <c r="AU219" s="2" t="inlineStr">
        <is>
          <t>À intégrer après validation du prototype</t>
        </is>
      </c>
      <c r="AV219" s="2" t="inlineStr">
        <is>
          <t>T-34/85 : véhicule de catégorie « Chars moyens », d'origine URSS. Motorisation recensée : V12 diesel V-2-34. Fiche de catalogue à compléter avec le rôle tactique et les caractéristiques de jeu.</t>
        </is>
      </c>
    </row>
    <row r="220" ht="60" customHeight="1">
      <c r="A220" s="2" t="inlineStr">
        <is>
          <t>VEH-219</t>
        </is>
      </c>
      <c r="B220" s="2" t="inlineStr">
        <is>
          <t>Chars lourds et prototypes</t>
        </is>
      </c>
      <c r="C220" s="2" t="inlineStr">
        <is>
          <t>KV-1</t>
        </is>
      </c>
      <c r="D220" s="2" t="inlineStr">
        <is>
          <t>À distinguer si plusieurs variantes</t>
        </is>
      </c>
      <c r="E220" s="2" t="inlineStr">
        <is>
          <t>URSS</t>
        </is>
      </c>
      <c r="F220" s="2" t="inlineStr">
        <is>
          <t>À documenter</t>
        </is>
      </c>
      <c r="G220" s="2" t="inlineStr">
        <is>
          <t>À confirmer</t>
        </is>
      </c>
      <c r="H220" s="2" t="inlineStr">
        <is>
          <t>Chars lourds et prototypes</t>
        </is>
      </c>
      <c r="I220" s="2" t="inlineStr">
        <is>
          <t>À définir</t>
        </is>
      </c>
      <c r="J220" s="2" t="n"/>
      <c r="K220" s="2" t="n"/>
      <c r="L220" s="2" t="n"/>
      <c r="M220" s="2" t="n"/>
      <c r="N220" s="2" t="n"/>
      <c r="O220" s="2" t="n"/>
      <c r="P220" s="2" t="inlineStr">
        <is>
          <t>V12 diesel V-2K</t>
        </is>
      </c>
      <c r="Q220" s="2" t="n"/>
      <c r="R220" s="2" t="n"/>
      <c r="S220" s="2" t="inlineStr">
        <is>
          <t>À confirmer</t>
        </is>
      </c>
      <c r="T220" s="2" t="n"/>
      <c r="U220" s="2" t="n"/>
      <c r="V220" s="2" t="n"/>
      <c r="W220" s="2" t="n"/>
      <c r="X220" s="2" t="inlineStr">
        <is>
          <t>À documenter</t>
        </is>
      </c>
      <c r="Y220" s="2" t="inlineStr">
        <is>
          <t>À documenter</t>
        </is>
      </c>
      <c r="Z220" s="2" t="inlineStr">
        <is>
          <t>À documenter</t>
        </is>
      </c>
      <c r="AA220" s="2" t="inlineStr">
        <is>
          <t>À documenter</t>
        </is>
      </c>
      <c r="AB220" s="2" t="inlineStr">
        <is>
          <t>À documenter</t>
        </is>
      </c>
      <c r="AC220" s="2" t="inlineStr">
        <is>
          <t>Canon de 76,2 mm (L-11, F-32 ou F-34 selon version); mitrailleuses DT de 7,62 mm</t>
        </is>
      </c>
      <c r="AD220" s="2" t="inlineStr">
        <is>
          <t>À documenter</t>
        </is>
      </c>
      <c r="AE220" s="2" t="inlineStr">
        <is>
          <t>À documenter</t>
        </is>
      </c>
      <c r="AF220" s="2" t="inlineStr">
        <is>
          <t>À définir</t>
        </is>
      </c>
      <c r="AG220" s="2" t="inlineStr">
        <is>
          <t>À définir</t>
        </is>
      </c>
      <c r="AH220" s="2" t="inlineStr">
        <is>
          <t>Réparation d’origine si véhicule complet ; démontage si incomplet</t>
        </is>
      </c>
      <c r="AI220" s="2" t="inlineStr">
        <is>
          <t>À documenter</t>
        </is>
      </c>
      <c r="AJ220" s="2" t="inlineStr">
        <is>
          <t>À définir séparément des compatibilités historiques</t>
        </is>
      </c>
      <c r="AK220" s="2" t="inlineStr">
        <is>
          <t>À documenter</t>
        </is>
      </c>
      <c r="AL220" s="2" t="inlineStr">
        <is>
          <t>À rechercher / voir sources historiques</t>
        </is>
      </c>
      <c r="AM220" s="2" t="inlineStr">
        <is>
          <t>https://tanks-encyclopedia.com/ww2/soviet/kv-1/</t>
        </is>
      </c>
      <c r="AN220" s="2" t="inlineStr">
        <is>
          <t>Source de niveau variable ; contrôle par variante nécessaire</t>
        </is>
      </c>
      <c r="AO220" s="2" t="inlineStr">
        <is>
          <t>Non renseigné</t>
        </is>
      </c>
      <c r="AP220" s="2" t="inlineStr">
        <is>
          <t>Faible</t>
        </is>
      </c>
      <c r="AQ220" s="2" t="inlineStr">
        <is>
          <t>Partiel</t>
        </is>
      </c>
      <c r="AR220" s="2" t="inlineStr">
        <is>
          <t>Partiel — fiche à compléter</t>
        </is>
      </c>
      <c r="AS220" s="2" t="inlineStr">
        <is>
          <t>P2/P3</t>
        </is>
      </c>
      <c r="AT220" s="2" t="inlineStr">
        <is>
          <t>Famille diesel apparentée au V-2 du T-34, réglage différent.</t>
        </is>
      </c>
      <c r="AU220" s="2" t="inlineStr">
        <is>
          <t>À intégrer après validation du prototype</t>
        </is>
      </c>
      <c r="AV220" s="2" t="inlineStr">
        <is>
          <t>KV-1 : véhicule de catégorie « Chars lourds et prototypes », d'origine URSS. Motorisation recensée : V12 diesel V-2K. Fiche de catalogue à compléter avec le rôle tactique et les caractéristiques de jeu.</t>
        </is>
      </c>
    </row>
    <row r="221" ht="60" customHeight="1">
      <c r="A221" s="2" t="inlineStr">
        <is>
          <t>VEH-220</t>
        </is>
      </c>
      <c r="B221" s="2" t="inlineStr">
        <is>
          <t>Chars lourds et prototypes</t>
        </is>
      </c>
      <c r="C221" s="2" t="inlineStr">
        <is>
          <t>KV-2</t>
        </is>
      </c>
      <c r="D221" s="2" t="inlineStr">
        <is>
          <t>À distinguer si plusieurs variantes</t>
        </is>
      </c>
      <c r="E221" s="2" t="inlineStr">
        <is>
          <t>URSS</t>
        </is>
      </c>
      <c r="F221" s="2" t="inlineStr">
        <is>
          <t>À documenter</t>
        </is>
      </c>
      <c r="G221" s="2" t="inlineStr">
        <is>
          <t>À confirmer</t>
        </is>
      </c>
      <c r="H221" s="2" t="inlineStr">
        <is>
          <t>Chars lourds et prototypes</t>
        </is>
      </c>
      <c r="I221" s="2" t="inlineStr">
        <is>
          <t>À définir</t>
        </is>
      </c>
      <c r="J221" s="2" t="n"/>
      <c r="K221" s="2" t="n"/>
      <c r="L221" s="2" t="n"/>
      <c r="M221" s="2" t="n"/>
      <c r="N221" s="2" t="n"/>
      <c r="O221" s="2" t="n"/>
      <c r="P221" s="2" t="inlineStr">
        <is>
          <t>V12 diesel V-2K</t>
        </is>
      </c>
      <c r="Q221" s="2" t="n"/>
      <c r="R221" s="2" t="n"/>
      <c r="S221" s="2" t="inlineStr">
        <is>
          <t>À confirmer</t>
        </is>
      </c>
      <c r="T221" s="2" t="n"/>
      <c r="U221" s="2" t="n"/>
      <c r="V221" s="2" t="n"/>
      <c r="W221" s="2" t="n"/>
      <c r="X221" s="2" t="inlineStr">
        <is>
          <t>À documenter</t>
        </is>
      </c>
      <c r="Y221" s="2" t="inlineStr">
        <is>
          <t>À documenter</t>
        </is>
      </c>
      <c r="Z221" s="2" t="inlineStr">
        <is>
          <t>À documenter</t>
        </is>
      </c>
      <c r="AA221" s="2" t="inlineStr">
        <is>
          <t>À documenter</t>
        </is>
      </c>
      <c r="AB221" s="2" t="inlineStr">
        <is>
          <t>À documenter</t>
        </is>
      </c>
      <c r="AC221" s="2" t="inlineStr">
        <is>
          <t>Obusier de 152 mm M-10T; mitrailleuses DT de 7,62 mm</t>
        </is>
      </c>
      <c r="AD221" s="2" t="inlineStr">
        <is>
          <t>À documenter</t>
        </is>
      </c>
      <c r="AE221" s="2" t="inlineStr">
        <is>
          <t>À documenter</t>
        </is>
      </c>
      <c r="AF221" s="2" t="inlineStr">
        <is>
          <t>À définir</t>
        </is>
      </c>
      <c r="AG221" s="2" t="inlineStr">
        <is>
          <t>À définir</t>
        </is>
      </c>
      <c r="AH221" s="2" t="inlineStr">
        <is>
          <t>Réparation d’origine si véhicule complet ; démontage si incomplet</t>
        </is>
      </c>
      <c r="AI221" s="2" t="inlineStr">
        <is>
          <t>À documenter</t>
        </is>
      </c>
      <c r="AJ221" s="2" t="inlineStr">
        <is>
          <t>À définir séparément des compatibilités historiques</t>
        </is>
      </c>
      <c r="AK221" s="2" t="inlineStr">
        <is>
          <t>À documenter</t>
        </is>
      </c>
      <c r="AL221" s="2" t="inlineStr">
        <is>
          <t>À rechercher / voir sources historiques</t>
        </is>
      </c>
      <c r="AM221" s="2" t="inlineStr">
        <is>
          <t>https://tanks-encyclopedia.com/ww2/soviet/kv-2/</t>
        </is>
      </c>
      <c r="AN221" s="2" t="inlineStr">
        <is>
          <t>Source de niveau variable ; contrôle par variante nécessaire</t>
        </is>
      </c>
      <c r="AO221" s="2" t="inlineStr">
        <is>
          <t>Non renseigné</t>
        </is>
      </c>
      <c r="AP221" s="2" t="inlineStr">
        <is>
          <t>Faible</t>
        </is>
      </c>
      <c r="AQ221" s="2" t="inlineStr">
        <is>
          <t>Élevé</t>
        </is>
      </c>
      <c r="AR221" s="2" t="inlineStr">
        <is>
          <t>Partiel — fiche à compléter</t>
        </is>
      </c>
      <c r="AS221" s="2" t="inlineStr">
        <is>
          <t>P2/P3</t>
        </is>
      </c>
      <c r="AT221" s="2" t="inlineStr">
        <is>
          <t>Châssis KV avec tourelle très lourde.</t>
        </is>
      </c>
      <c r="AU221" s="2" t="inlineStr">
        <is>
          <t>À intégrer après validation du prototype</t>
        </is>
      </c>
      <c r="AV221" s="2" t="inlineStr">
        <is>
          <t>KV-2 : véhicule de catégorie « Chars lourds et prototypes », d'origine URSS. Motorisation recensée : V12 diesel V-2K. Fiche de catalogue à compléter avec le rôle tactique et les caractéristiques de jeu.</t>
        </is>
      </c>
    </row>
    <row r="222" ht="60" customHeight="1">
      <c r="A222" s="2" t="inlineStr">
        <is>
          <t>VEH-221</t>
        </is>
      </c>
      <c r="B222" s="2" t="inlineStr">
        <is>
          <t>Chars lourds et prototypes</t>
        </is>
      </c>
      <c r="C222" s="2" t="inlineStr">
        <is>
          <t>KV-1S</t>
        </is>
      </c>
      <c r="D222" s="2" t="inlineStr">
        <is>
          <t>À distinguer si plusieurs variantes</t>
        </is>
      </c>
      <c r="E222" s="2" t="inlineStr">
        <is>
          <t>URSS</t>
        </is>
      </c>
      <c r="F222" s="2" t="inlineStr">
        <is>
          <t>À documenter</t>
        </is>
      </c>
      <c r="G222" s="2" t="inlineStr">
        <is>
          <t>À confirmer</t>
        </is>
      </c>
      <c r="H222" s="2" t="inlineStr">
        <is>
          <t>Chars lourds et prototypes</t>
        </is>
      </c>
      <c r="I222" s="2" t="inlineStr">
        <is>
          <t>À définir</t>
        </is>
      </c>
      <c r="J222" s="2" t="n"/>
      <c r="K222" s="2" t="n"/>
      <c r="L222" s="2" t="n"/>
      <c r="M222" s="2" t="n"/>
      <c r="N222" s="2" t="n"/>
      <c r="O222" s="2" t="n"/>
      <c r="P222" s="2" t="inlineStr">
        <is>
          <t>V12 diesel V-2K</t>
        </is>
      </c>
      <c r="Q222" s="2" t="n"/>
      <c r="R222" s="2" t="n"/>
      <c r="S222" s="2" t="inlineStr">
        <is>
          <t>À confirmer</t>
        </is>
      </c>
      <c r="T222" s="2" t="n"/>
      <c r="U222" s="2" t="n"/>
      <c r="V222" s="2" t="n"/>
      <c r="W222" s="2" t="n"/>
      <c r="X222" s="2" t="inlineStr">
        <is>
          <t>À documenter</t>
        </is>
      </c>
      <c r="Y222" s="2" t="inlineStr">
        <is>
          <t>À documenter</t>
        </is>
      </c>
      <c r="Z222" s="2" t="inlineStr">
        <is>
          <t>À documenter</t>
        </is>
      </c>
      <c r="AA222" s="2" t="inlineStr">
        <is>
          <t>À documenter</t>
        </is>
      </c>
      <c r="AB222" s="2" t="inlineStr">
        <is>
          <t>À documenter</t>
        </is>
      </c>
      <c r="AC222" s="2" t="inlineStr">
        <is>
          <t>Canon de 76,2 mm (L-11, F-32 ou F-34 selon version); mitrailleuses DT de 7,62 mm</t>
        </is>
      </c>
      <c r="AD222" s="2" t="inlineStr">
        <is>
          <t>À documenter</t>
        </is>
      </c>
      <c r="AE222" s="2" t="inlineStr">
        <is>
          <t>À documenter</t>
        </is>
      </c>
      <c r="AF222" s="2" t="inlineStr">
        <is>
          <t>À définir</t>
        </is>
      </c>
      <c r="AG222" s="2" t="inlineStr">
        <is>
          <t>À définir</t>
        </is>
      </c>
      <c r="AH222" s="2" t="inlineStr">
        <is>
          <t>Réparation d’origine si véhicule complet ; démontage si incomplet</t>
        </is>
      </c>
      <c r="AI222" s="2" t="inlineStr">
        <is>
          <t>À documenter</t>
        </is>
      </c>
      <c r="AJ222" s="2" t="inlineStr">
        <is>
          <t>À définir séparément des compatibilités historiques</t>
        </is>
      </c>
      <c r="AK222" s="2" t="inlineStr">
        <is>
          <t>À documenter</t>
        </is>
      </c>
      <c r="AL222" s="2" t="inlineStr">
        <is>
          <t>À rechercher / voir sources historiques</t>
        </is>
      </c>
      <c r="AM222" s="2" t="inlineStr">
        <is>
          <t>https://tanks-encyclopedia.com/ww2/soviet/kv-1s/</t>
        </is>
      </c>
      <c r="AN222" s="2" t="inlineStr">
        <is>
          <t>Source de niveau variable ; contrôle par variante nécessaire</t>
        </is>
      </c>
      <c r="AO222" s="2" t="inlineStr">
        <is>
          <t>Non renseigné</t>
        </is>
      </c>
      <c r="AP222" s="2" t="inlineStr">
        <is>
          <t>Faible</t>
        </is>
      </c>
      <c r="AQ222" s="2" t="inlineStr">
        <is>
          <t>Partiel</t>
        </is>
      </c>
      <c r="AR222" s="2" t="inlineStr">
        <is>
          <t>Partiel — fiche à compléter</t>
        </is>
      </c>
      <c r="AS222" s="2" t="inlineStr">
        <is>
          <t>P2/P3</t>
        </is>
      </c>
      <c r="AT222" s="2" t="inlineStr">
        <is>
          <t>Version allégée du KV-1.</t>
        </is>
      </c>
      <c r="AU222" s="2" t="inlineStr">
        <is>
          <t>À intégrer après validation du prototype</t>
        </is>
      </c>
      <c r="AV222" s="2" t="inlineStr">
        <is>
          <t>KV-1S : véhicule de catégorie « Chars lourds et prototypes », d'origine URSS. Motorisation recensée : V12 diesel V-2K. Fiche de catalogue à compléter avec le rôle tactique et les caractéristiques de jeu.</t>
        </is>
      </c>
    </row>
    <row r="223" ht="60" customHeight="1">
      <c r="A223" s="2" t="inlineStr">
        <is>
          <t>VEH-222</t>
        </is>
      </c>
      <c r="B223" s="2" t="inlineStr">
        <is>
          <t>Chars lourds et prototypes</t>
        </is>
      </c>
      <c r="C223" s="2" t="inlineStr">
        <is>
          <t>KV-85</t>
        </is>
      </c>
      <c r="D223" s="2" t="inlineStr">
        <is>
          <t>À distinguer si plusieurs variantes</t>
        </is>
      </c>
      <c r="E223" s="2" t="inlineStr">
        <is>
          <t>URSS</t>
        </is>
      </c>
      <c r="F223" s="2" t="inlineStr">
        <is>
          <t>À documenter</t>
        </is>
      </c>
      <c r="G223" s="2" t="inlineStr">
        <is>
          <t>À confirmer</t>
        </is>
      </c>
      <c r="H223" s="2" t="inlineStr">
        <is>
          <t>Chars lourds et prototypes</t>
        </is>
      </c>
      <c r="I223" s="2" t="inlineStr">
        <is>
          <t>À définir</t>
        </is>
      </c>
      <c r="J223" s="2" t="n"/>
      <c r="K223" s="2" t="n"/>
      <c r="L223" s="2" t="n"/>
      <c r="M223" s="2" t="n"/>
      <c r="N223" s="2" t="n"/>
      <c r="O223" s="2" t="n"/>
      <c r="P223" s="2" t="inlineStr">
        <is>
          <t>V12 diesel V-2K</t>
        </is>
      </c>
      <c r="Q223" s="2" t="n"/>
      <c r="R223" s="2" t="n"/>
      <c r="S223" s="2" t="inlineStr">
        <is>
          <t>À confirmer</t>
        </is>
      </c>
      <c r="T223" s="2" t="n"/>
      <c r="U223" s="2" t="n"/>
      <c r="V223" s="2" t="n"/>
      <c r="W223" s="2" t="n"/>
      <c r="X223" s="2" t="inlineStr">
        <is>
          <t>À documenter</t>
        </is>
      </c>
      <c r="Y223" s="2" t="inlineStr">
        <is>
          <t>À documenter</t>
        </is>
      </c>
      <c r="Z223" s="2" t="inlineStr">
        <is>
          <t>À documenter</t>
        </is>
      </c>
      <c r="AA223" s="2" t="inlineStr">
        <is>
          <t>À documenter</t>
        </is>
      </c>
      <c r="AB223" s="2" t="inlineStr">
        <is>
          <t>À documenter</t>
        </is>
      </c>
      <c r="AC223" s="2" t="inlineStr">
        <is>
          <t>Armement historique à déterminer précisément pour ce modèle/sa variante</t>
        </is>
      </c>
      <c r="AD223" s="2" t="inlineStr">
        <is>
          <t>À documenter</t>
        </is>
      </c>
      <c r="AE223" s="2" t="inlineStr">
        <is>
          <t>À documenter</t>
        </is>
      </c>
      <c r="AF223" s="2" t="inlineStr">
        <is>
          <t>À définir</t>
        </is>
      </c>
      <c r="AG223" s="2" t="inlineStr">
        <is>
          <t>À définir</t>
        </is>
      </c>
      <c r="AH223" s="2" t="inlineStr">
        <is>
          <t>Réparation d’origine si véhicule complet ; démontage si incomplet</t>
        </is>
      </c>
      <c r="AI223" s="2" t="inlineStr">
        <is>
          <t>À documenter</t>
        </is>
      </c>
      <c r="AJ223" s="2" t="inlineStr">
        <is>
          <t>À définir séparément des compatibilités historiques</t>
        </is>
      </c>
      <c r="AK223" s="2" t="inlineStr">
        <is>
          <t>À documenter</t>
        </is>
      </c>
      <c r="AL223" s="2" t="inlineStr">
        <is>
          <t>À rechercher / voir sources historiques</t>
        </is>
      </c>
      <c r="AM223" s="2" t="inlineStr">
        <is>
          <t>https://tanks-encyclopedia.com/ww2/soviet/kv-85/</t>
        </is>
      </c>
      <c r="AN223" s="2" t="inlineStr">
        <is>
          <t>Source de niveau variable ; contrôle par variante nécessaire</t>
        </is>
      </c>
      <c r="AO223" s="2" t="inlineStr">
        <is>
          <t>Non renseigné</t>
        </is>
      </c>
      <c r="AP223" s="2" t="inlineStr">
        <is>
          <t>Faible</t>
        </is>
      </c>
      <c r="AQ223" s="2" t="inlineStr">
        <is>
          <t>À vérifier</t>
        </is>
      </c>
      <c r="AR223" s="2" t="inlineStr">
        <is>
          <t>Partiel — fiche à compléter</t>
        </is>
      </c>
      <c r="AS223" s="2" t="inlineStr">
        <is>
          <t>P2/P3</t>
        </is>
      </c>
      <c r="AT223" s="2" t="inlineStr">
        <is>
          <t>Modèle de transition vers la série IS.</t>
        </is>
      </c>
      <c r="AU223" s="2" t="inlineStr">
        <is>
          <t>À intégrer après validation du prototype</t>
        </is>
      </c>
      <c r="AV223" s="2" t="inlineStr">
        <is>
          <t>KV-85 : véhicule de catégorie « Chars lourds et prototypes », d'origine URSS. Motorisation recensée : V12 diesel V-2K. Fiche de catalogue à compléter avec le rôle tactique et les caractéristiques de jeu.</t>
        </is>
      </c>
    </row>
    <row r="224" ht="60" customHeight="1">
      <c r="A224" s="2" t="inlineStr">
        <is>
          <t>VEH-223</t>
        </is>
      </c>
      <c r="B224" s="2" t="inlineStr">
        <is>
          <t>Chars lourds et prototypes</t>
        </is>
      </c>
      <c r="C224" s="2" t="inlineStr">
        <is>
          <t>IS-1</t>
        </is>
      </c>
      <c r="D224" s="2" t="inlineStr">
        <is>
          <t>À distinguer si plusieurs variantes</t>
        </is>
      </c>
      <c r="E224" s="2" t="inlineStr">
        <is>
          <t>URSS</t>
        </is>
      </c>
      <c r="F224" s="2" t="inlineStr">
        <is>
          <t>À documenter</t>
        </is>
      </c>
      <c r="G224" s="2" t="inlineStr">
        <is>
          <t>À confirmer</t>
        </is>
      </c>
      <c r="H224" s="2" t="inlineStr">
        <is>
          <t>Chars lourds et prototypes</t>
        </is>
      </c>
      <c r="I224" s="2" t="inlineStr">
        <is>
          <t>À définir</t>
        </is>
      </c>
      <c r="J224" s="2" t="n"/>
      <c r="K224" s="2" t="n"/>
      <c r="L224" s="2" t="n"/>
      <c r="M224" s="2" t="n"/>
      <c r="N224" s="2" t="n"/>
      <c r="O224" s="2" t="n"/>
      <c r="P224" s="2" t="inlineStr">
        <is>
          <t>V12 diesel V-2-IS</t>
        </is>
      </c>
      <c r="Q224" s="2" t="n"/>
      <c r="R224" s="2" t="n"/>
      <c r="S224" s="2" t="inlineStr">
        <is>
          <t>À confirmer</t>
        </is>
      </c>
      <c r="T224" s="2" t="n"/>
      <c r="U224" s="2" t="n"/>
      <c r="V224" s="2" t="n"/>
      <c r="W224" s="2" t="n"/>
      <c r="X224" s="2" t="inlineStr">
        <is>
          <t>À documenter</t>
        </is>
      </c>
      <c r="Y224" s="2" t="inlineStr">
        <is>
          <t>À documenter</t>
        </is>
      </c>
      <c r="Z224" s="2" t="inlineStr">
        <is>
          <t>À documenter</t>
        </is>
      </c>
      <c r="AA224" s="2" t="inlineStr">
        <is>
          <t>À documenter</t>
        </is>
      </c>
      <c r="AB224" s="2" t="inlineStr">
        <is>
          <t>À documenter</t>
        </is>
      </c>
      <c r="AC224" s="2" t="inlineStr">
        <is>
          <t>Armement historique à déterminer précisément pour ce modèle/sa variante</t>
        </is>
      </c>
      <c r="AD224" s="2" t="inlineStr">
        <is>
          <t>À documenter</t>
        </is>
      </c>
      <c r="AE224" s="2" t="inlineStr">
        <is>
          <t>À documenter</t>
        </is>
      </c>
      <c r="AF224" s="2" t="inlineStr">
        <is>
          <t>À définir</t>
        </is>
      </c>
      <c r="AG224" s="2" t="inlineStr">
        <is>
          <t>À définir</t>
        </is>
      </c>
      <c r="AH224" s="2" t="inlineStr">
        <is>
          <t>Réparation d’origine si véhicule complet ; démontage si incomplet</t>
        </is>
      </c>
      <c r="AI224" s="2" t="inlineStr">
        <is>
          <t>À documenter</t>
        </is>
      </c>
      <c r="AJ224" s="2" t="inlineStr">
        <is>
          <t>À définir séparément des compatibilités historiques</t>
        </is>
      </c>
      <c r="AK224" s="2" t="inlineStr">
        <is>
          <t>À documenter</t>
        </is>
      </c>
      <c r="AL224" s="2" t="inlineStr">
        <is>
          <t>À rechercher / voir sources historiques</t>
        </is>
      </c>
      <c r="AM224" s="2" t="inlineStr">
        <is>
          <t>https://tanks-encyclopedia.com/ww2/soviet/is-1/</t>
        </is>
      </c>
      <c r="AN224" s="2" t="inlineStr">
        <is>
          <t>Source de niveau variable ; contrôle par variante nécessaire</t>
        </is>
      </c>
      <c r="AO224" s="2" t="inlineStr">
        <is>
          <t>Non renseigné</t>
        </is>
      </c>
      <c r="AP224" s="2" t="inlineStr">
        <is>
          <t>Faible</t>
        </is>
      </c>
      <c r="AQ224" s="2" t="inlineStr">
        <is>
          <t>À vérifier</t>
        </is>
      </c>
      <c r="AR224" s="2" t="inlineStr">
        <is>
          <t>Partiel — fiche à compléter</t>
        </is>
      </c>
      <c r="AS224" s="2" t="inlineStr">
        <is>
          <t>P2/P3</t>
        </is>
      </c>
      <c r="AT224" s="2" t="inlineStr">
        <is>
          <t>Char lourd de transition.</t>
        </is>
      </c>
      <c r="AU224" s="2" t="inlineStr">
        <is>
          <t>À intégrer après validation du prototype</t>
        </is>
      </c>
      <c r="AV224" s="2" t="inlineStr">
        <is>
          <t>IS-1 : véhicule de catégorie « Chars lourds et prototypes », d'origine URSS. Motorisation recensée : V12 diesel V-2-IS. Variante historique à vérifier avant validation définitive.</t>
        </is>
      </c>
    </row>
    <row r="225" ht="60" customHeight="1">
      <c r="A225" s="2" t="inlineStr">
        <is>
          <t>VEH-224</t>
        </is>
      </c>
      <c r="B225" s="2" t="inlineStr">
        <is>
          <t>Chasseurs de chars et canons automoteurs</t>
        </is>
      </c>
      <c r="C225" s="2" t="inlineStr">
        <is>
          <t>SU-100</t>
        </is>
      </c>
      <c r="D225" s="2" t="inlineStr">
        <is>
          <t>À distinguer si plusieurs variantes</t>
        </is>
      </c>
      <c r="E225" s="2" t="inlineStr">
        <is>
          <t>URSS</t>
        </is>
      </c>
      <c r="F225" s="2" t="inlineStr">
        <is>
          <t>À documenter</t>
        </is>
      </c>
      <c r="G225" s="2" t="inlineStr">
        <is>
          <t>À confirmer</t>
        </is>
      </c>
      <c r="H225" s="2" t="inlineStr">
        <is>
          <t>Chasseurs de chars et canons automoteurs</t>
        </is>
      </c>
      <c r="I225" s="2" t="inlineStr">
        <is>
          <t>À définir</t>
        </is>
      </c>
      <c r="J225" s="2" t="n"/>
      <c r="K225" s="2" t="n"/>
      <c r="L225" s="2" t="n"/>
      <c r="M225" s="2" t="n"/>
      <c r="N225" s="2" t="n"/>
      <c r="O225" s="2" t="n"/>
      <c r="P225" s="2" t="inlineStr">
        <is>
          <t>V12 diesel V-2-34</t>
        </is>
      </c>
      <c r="Q225" s="2" t="n"/>
      <c r="R225" s="2" t="n"/>
      <c r="S225" s="2" t="inlineStr">
        <is>
          <t>À confirmer</t>
        </is>
      </c>
      <c r="T225" s="2" t="n"/>
      <c r="U225" s="2" t="n"/>
      <c r="V225" s="2" t="n"/>
      <c r="W225" s="2" t="n"/>
      <c r="X225" s="2" t="inlineStr">
        <is>
          <t>À documenter</t>
        </is>
      </c>
      <c r="Y225" s="2" t="inlineStr">
        <is>
          <t>À documenter</t>
        </is>
      </c>
      <c r="Z225" s="2" t="inlineStr">
        <is>
          <t>À documenter</t>
        </is>
      </c>
      <c r="AA225" s="2" t="inlineStr">
        <is>
          <t>À documenter</t>
        </is>
      </c>
      <c r="AB225" s="2" t="inlineStr">
        <is>
          <t>À documenter</t>
        </is>
      </c>
      <c r="AC225" s="2" t="inlineStr">
        <is>
          <t>Canon antichar de 100 mm D-10S</t>
        </is>
      </c>
      <c r="AD225" s="2" t="inlineStr">
        <is>
          <t>À documenter</t>
        </is>
      </c>
      <c r="AE225" s="2" t="inlineStr">
        <is>
          <t>À documenter</t>
        </is>
      </c>
      <c r="AF225" s="2" t="inlineStr">
        <is>
          <t>À définir</t>
        </is>
      </c>
      <c r="AG225" s="2" t="inlineStr">
        <is>
          <t>À définir</t>
        </is>
      </c>
      <c r="AH225" s="2" t="inlineStr">
        <is>
          <t>Réparation d’origine si véhicule complet ; démontage si incomplet</t>
        </is>
      </c>
      <c r="AI225" s="2" t="inlineStr">
        <is>
          <t>À documenter</t>
        </is>
      </c>
      <c r="AJ225" s="2" t="inlineStr">
        <is>
          <t>À définir séparément des compatibilités historiques</t>
        </is>
      </c>
      <c r="AK225" s="2" t="inlineStr">
        <is>
          <t>À documenter</t>
        </is>
      </c>
      <c r="AL225" s="2" t="inlineStr">
        <is>
          <t>À rechercher / voir sources historiques</t>
        </is>
      </c>
      <c r="AM225" s="2" t="inlineStr">
        <is>
          <t>https://tanks-encyclopedia.com/ww2/soviet/su-100/</t>
        </is>
      </c>
      <c r="AN225" s="2" t="inlineStr">
        <is>
          <t>Source de niveau variable ; contrôle par variante nécessaire</t>
        </is>
      </c>
      <c r="AO225" s="2" t="inlineStr">
        <is>
          <t>Non renseigné</t>
        </is>
      </c>
      <c r="AP225" s="2" t="inlineStr">
        <is>
          <t>Faible</t>
        </is>
      </c>
      <c r="AQ225" s="2" t="inlineStr">
        <is>
          <t>Élevé</t>
        </is>
      </c>
      <c r="AR225" s="2" t="inlineStr">
        <is>
          <t>Partiel — fiche à compléter</t>
        </is>
      </c>
      <c r="AS225" s="2" t="inlineStr">
        <is>
          <t>P2/P3</t>
        </is>
      </c>
      <c r="AT225" s="2" t="inlineStr">
        <is>
          <t>Canon automoteur tardif ; conception antérieure à 1945.</t>
        </is>
      </c>
      <c r="AU225" s="2" t="inlineStr">
        <is>
          <t>À intégrer après validation du prototype</t>
        </is>
      </c>
      <c r="AV225" s="2" t="inlineStr">
        <is>
          <t>SU-100 : véhicule de catégorie « Chasseurs de chars et canons automoteurs », d'origine URSS. Motorisation recensée : V12 diesel V-2-34. Fiche de catalogue à compléter avec le rôle tactique et les caractéristiques de jeu.</t>
        </is>
      </c>
    </row>
    <row r="226" ht="60" customHeight="1">
      <c r="A226" s="2" t="inlineStr">
        <is>
          <t>VEH-225</t>
        </is>
      </c>
      <c r="B226" s="2" t="inlineStr">
        <is>
          <t>Chasseurs de chars et canons automoteurs</t>
        </is>
      </c>
      <c r="C226" s="2" t="inlineStr">
        <is>
          <t>SU-122</t>
        </is>
      </c>
      <c r="D226" s="2" t="inlineStr">
        <is>
          <t>À distinguer si plusieurs variantes</t>
        </is>
      </c>
      <c r="E226" s="2" t="inlineStr">
        <is>
          <t>URSS</t>
        </is>
      </c>
      <c r="F226" s="2" t="inlineStr">
        <is>
          <t>À documenter</t>
        </is>
      </c>
      <c r="G226" s="2" t="inlineStr">
        <is>
          <t>À confirmer</t>
        </is>
      </c>
      <c r="H226" s="2" t="inlineStr">
        <is>
          <t>Chasseurs de chars et canons automoteurs</t>
        </is>
      </c>
      <c r="I226" s="2" t="inlineStr">
        <is>
          <t>À définir</t>
        </is>
      </c>
      <c r="J226" s="2" t="n"/>
      <c r="K226" s="2" t="n"/>
      <c r="L226" s="2" t="n"/>
      <c r="M226" s="2" t="n"/>
      <c r="N226" s="2" t="n"/>
      <c r="O226" s="2" t="n"/>
      <c r="P226" s="2" t="inlineStr">
        <is>
          <t>V12 diesel V-2</t>
        </is>
      </c>
      <c r="Q226" s="2" t="n"/>
      <c r="R226" s="2" t="n"/>
      <c r="S226" s="2" t="inlineStr">
        <is>
          <t>À confirmer</t>
        </is>
      </c>
      <c r="T226" s="2" t="n"/>
      <c r="U226" s="2" t="n"/>
      <c r="V226" s="2" t="n"/>
      <c r="W226" s="2" t="n"/>
      <c r="X226" s="2" t="inlineStr">
        <is>
          <t>À documenter</t>
        </is>
      </c>
      <c r="Y226" s="2" t="inlineStr">
        <is>
          <t>À documenter</t>
        </is>
      </c>
      <c r="Z226" s="2" t="inlineStr">
        <is>
          <t>À documenter</t>
        </is>
      </c>
      <c r="AA226" s="2" t="inlineStr">
        <is>
          <t>À documenter</t>
        </is>
      </c>
      <c r="AB226" s="2" t="inlineStr">
        <is>
          <t>À documenter</t>
        </is>
      </c>
      <c r="AC226" s="2" t="inlineStr">
        <is>
          <t>Armement historique à déterminer précisément pour ce modèle/sa variante</t>
        </is>
      </c>
      <c r="AD226" s="2" t="inlineStr">
        <is>
          <t>À documenter</t>
        </is>
      </c>
      <c r="AE226" s="2" t="inlineStr">
        <is>
          <t>À documenter</t>
        </is>
      </c>
      <c r="AF226" s="2" t="inlineStr">
        <is>
          <t>À définir</t>
        </is>
      </c>
      <c r="AG226" s="2" t="inlineStr">
        <is>
          <t>À définir</t>
        </is>
      </c>
      <c r="AH226" s="2" t="inlineStr">
        <is>
          <t>Réparation d’origine si véhicule complet ; démontage si incomplet</t>
        </is>
      </c>
      <c r="AI226" s="2" t="inlineStr">
        <is>
          <t>À documenter</t>
        </is>
      </c>
      <c r="AJ226" s="2" t="inlineStr">
        <is>
          <t>À définir séparément des compatibilités historiques</t>
        </is>
      </c>
      <c r="AK226" s="2" t="inlineStr">
        <is>
          <t>À documenter</t>
        </is>
      </c>
      <c r="AL226" s="2" t="inlineStr">
        <is>
          <t>À rechercher / voir sources historiques</t>
        </is>
      </c>
      <c r="AM226" s="2" t="inlineStr">
        <is>
          <t>https://tanks-encyclopedia.com/ww2/soviet/su-122/</t>
        </is>
      </c>
      <c r="AN226" s="2" t="inlineStr">
        <is>
          <t>Source de niveau variable ; contrôle par variante nécessaire</t>
        </is>
      </c>
      <c r="AO226" s="2" t="inlineStr">
        <is>
          <t>Non renseigné</t>
        </is>
      </c>
      <c r="AP226" s="2" t="inlineStr">
        <is>
          <t>Faible</t>
        </is>
      </c>
      <c r="AQ226" s="2" t="inlineStr">
        <is>
          <t>À vérifier</t>
        </is>
      </c>
      <c r="AR226" s="2" t="inlineStr">
        <is>
          <t>Partiel — fiche à compléter</t>
        </is>
      </c>
      <c r="AS226" s="2" t="inlineStr">
        <is>
          <t>P2/P3</t>
        </is>
      </c>
      <c r="AT226" s="2" t="inlineStr">
        <is>
          <t>Dérivé du T-34.</t>
        </is>
      </c>
      <c r="AU226" s="2" t="inlineStr">
        <is>
          <t>À intégrer après validation du prototype</t>
        </is>
      </c>
      <c r="AV226" s="2" t="inlineStr">
        <is>
          <t>SU-122 : véhicule de catégorie « Chasseurs de chars et canons automoteurs », d'origine URSS. Motorisation recensée : V12 diesel V-2. Fiche de catalogue à compléter avec le rôle tactique et les caractéristiques de jeu.</t>
        </is>
      </c>
    </row>
    <row r="227" ht="60" customHeight="1">
      <c r="A227" s="2" t="inlineStr">
        <is>
          <t>VEH-226</t>
        </is>
      </c>
      <c r="B227" s="2" t="inlineStr">
        <is>
          <t>Chasseurs de chars et canons automoteurs</t>
        </is>
      </c>
      <c r="C227" s="2" t="inlineStr">
        <is>
          <t>SU-152</t>
        </is>
      </c>
      <c r="D227" s="2" t="inlineStr">
        <is>
          <t>À distinguer si plusieurs variantes</t>
        </is>
      </c>
      <c r="E227" s="2" t="inlineStr">
        <is>
          <t>URSS</t>
        </is>
      </c>
      <c r="F227" s="2" t="inlineStr">
        <is>
          <t>À documenter</t>
        </is>
      </c>
      <c r="G227" s="2" t="inlineStr">
        <is>
          <t>À confirmer</t>
        </is>
      </c>
      <c r="H227" s="2" t="inlineStr">
        <is>
          <t>Chasseurs de chars et canons automoteurs</t>
        </is>
      </c>
      <c r="I227" s="2" t="inlineStr">
        <is>
          <t>À définir</t>
        </is>
      </c>
      <c r="J227" s="2" t="n"/>
      <c r="K227" s="2" t="n"/>
      <c r="L227" s="2" t="n"/>
      <c r="M227" s="2" t="n"/>
      <c r="N227" s="2" t="n"/>
      <c r="O227" s="2" t="n"/>
      <c r="P227" s="2" t="inlineStr">
        <is>
          <t>V12 diesel V-2K</t>
        </is>
      </c>
      <c r="Q227" s="2" t="n"/>
      <c r="R227" s="2" t="n"/>
      <c r="S227" s="2" t="inlineStr">
        <is>
          <t>À confirmer</t>
        </is>
      </c>
      <c r="T227" s="2" t="n"/>
      <c r="U227" s="2" t="n"/>
      <c r="V227" s="2" t="n"/>
      <c r="W227" s="2" t="n"/>
      <c r="X227" s="2" t="inlineStr">
        <is>
          <t>À documenter</t>
        </is>
      </c>
      <c r="Y227" s="2" t="inlineStr">
        <is>
          <t>À documenter</t>
        </is>
      </c>
      <c r="Z227" s="2" t="inlineStr">
        <is>
          <t>À documenter</t>
        </is>
      </c>
      <c r="AA227" s="2" t="inlineStr">
        <is>
          <t>À documenter</t>
        </is>
      </c>
      <c r="AB227" s="2" t="inlineStr">
        <is>
          <t>À documenter</t>
        </is>
      </c>
      <c r="AC227" s="2" t="inlineStr">
        <is>
          <t>Obusier-canon de 152 mm ML-20S</t>
        </is>
      </c>
      <c r="AD227" s="2" t="inlineStr">
        <is>
          <t>À documenter</t>
        </is>
      </c>
      <c r="AE227" s="2" t="inlineStr">
        <is>
          <t>À documenter</t>
        </is>
      </c>
      <c r="AF227" s="2" t="inlineStr">
        <is>
          <t>À définir</t>
        </is>
      </c>
      <c r="AG227" s="2" t="inlineStr">
        <is>
          <t>À définir</t>
        </is>
      </c>
      <c r="AH227" s="2" t="inlineStr">
        <is>
          <t>Réparation d’origine si véhicule complet ; démontage si incomplet</t>
        </is>
      </c>
      <c r="AI227" s="2" t="inlineStr">
        <is>
          <t>À documenter</t>
        </is>
      </c>
      <c r="AJ227" s="2" t="inlineStr">
        <is>
          <t>À définir séparément des compatibilités historiques</t>
        </is>
      </c>
      <c r="AK227" s="2" t="inlineStr">
        <is>
          <t>À documenter</t>
        </is>
      </c>
      <c r="AL227" s="2" t="inlineStr">
        <is>
          <t>À rechercher / voir sources historiques</t>
        </is>
      </c>
      <c r="AM227" s="2" t="inlineStr">
        <is>
          <t>https://tanks-encyclopedia.com/ww2/soviet/su-152/</t>
        </is>
      </c>
      <c r="AN227" s="2" t="inlineStr">
        <is>
          <t>Source de niveau variable ; contrôle par variante nécessaire</t>
        </is>
      </c>
      <c r="AO227" s="2" t="inlineStr">
        <is>
          <t>Non renseigné</t>
        </is>
      </c>
      <c r="AP227" s="2" t="inlineStr">
        <is>
          <t>Faible</t>
        </is>
      </c>
      <c r="AQ227" s="2" t="inlineStr">
        <is>
          <t>Élevé</t>
        </is>
      </c>
      <c r="AR227" s="2" t="inlineStr">
        <is>
          <t>Partiel — fiche à compléter</t>
        </is>
      </c>
      <c r="AS227" s="2" t="inlineStr">
        <is>
          <t>P2/P3</t>
        </is>
      </c>
      <c r="AT227" s="2" t="inlineStr">
        <is>
          <t>Dérivé du châssis KV.</t>
        </is>
      </c>
      <c r="AU227" s="2" t="inlineStr">
        <is>
          <t>À intégrer après validation du prototype</t>
        </is>
      </c>
      <c r="AV227" s="2" t="inlineStr">
        <is>
          <t>SU-152 : véhicule de catégorie « Chasseurs de chars et canons automoteurs », d'origine URSS. Motorisation recensée : V12 diesel V-2K. Fiche de catalogue à compléter avec le rôle tactique et les caractéristiques de jeu.</t>
        </is>
      </c>
    </row>
    <row r="228" ht="60" customHeight="1">
      <c r="A228" s="2" t="inlineStr">
        <is>
          <t>VEH-227</t>
        </is>
      </c>
      <c r="B228" s="2" t="inlineStr">
        <is>
          <t>Chasseurs de chars et canons automoteurs</t>
        </is>
      </c>
      <c r="C228" s="2" t="inlineStr">
        <is>
          <t>ISU-122</t>
        </is>
      </c>
      <c r="D228" s="2" t="inlineStr">
        <is>
          <t>À distinguer si plusieurs variantes</t>
        </is>
      </c>
      <c r="E228" s="2" t="inlineStr">
        <is>
          <t>URSS</t>
        </is>
      </c>
      <c r="F228" s="2" t="inlineStr">
        <is>
          <t>À documenter</t>
        </is>
      </c>
      <c r="G228" s="2" t="inlineStr">
        <is>
          <t>À confirmer</t>
        </is>
      </c>
      <c r="H228" s="2" t="inlineStr">
        <is>
          <t>Chasseurs de chars et canons automoteurs</t>
        </is>
      </c>
      <c r="I228" s="2" t="inlineStr">
        <is>
          <t>À définir</t>
        </is>
      </c>
      <c r="J228" s="2" t="n"/>
      <c r="K228" s="2" t="n"/>
      <c r="L228" s="2" t="n"/>
      <c r="M228" s="2" t="n"/>
      <c r="N228" s="2" t="n"/>
      <c r="O228" s="2" t="n"/>
      <c r="P228" s="2" t="inlineStr">
        <is>
          <t>V12 diesel V-2-IS</t>
        </is>
      </c>
      <c r="Q228" s="2" t="n"/>
      <c r="R228" s="2" t="n"/>
      <c r="S228" s="2" t="inlineStr">
        <is>
          <t>À confirmer</t>
        </is>
      </c>
      <c r="T228" s="2" t="n"/>
      <c r="U228" s="2" t="n"/>
      <c r="V228" s="2" t="n"/>
      <c r="W228" s="2" t="n"/>
      <c r="X228" s="2" t="inlineStr">
        <is>
          <t>À documenter</t>
        </is>
      </c>
      <c r="Y228" s="2" t="inlineStr">
        <is>
          <t>À documenter</t>
        </is>
      </c>
      <c r="Z228" s="2" t="inlineStr">
        <is>
          <t>À documenter</t>
        </is>
      </c>
      <c r="AA228" s="2" t="inlineStr">
        <is>
          <t>À documenter</t>
        </is>
      </c>
      <c r="AB228" s="2" t="inlineStr">
        <is>
          <t>À documenter</t>
        </is>
      </c>
      <c r="AC228" s="2" t="inlineStr">
        <is>
          <t>Canon de 122 mm A-19S ou D-25S selon version</t>
        </is>
      </c>
      <c r="AD228" s="2" t="inlineStr">
        <is>
          <t>À documenter</t>
        </is>
      </c>
      <c r="AE228" s="2" t="inlineStr">
        <is>
          <t>À documenter</t>
        </is>
      </c>
      <c r="AF228" s="2" t="inlineStr">
        <is>
          <t>À définir</t>
        </is>
      </c>
      <c r="AG228" s="2" t="inlineStr">
        <is>
          <t>À définir</t>
        </is>
      </c>
      <c r="AH228" s="2" t="inlineStr">
        <is>
          <t>Réparation d’origine si véhicule complet ; démontage si incomplet</t>
        </is>
      </c>
      <c r="AI228" s="2" t="inlineStr">
        <is>
          <t>À documenter</t>
        </is>
      </c>
      <c r="AJ228" s="2" t="inlineStr">
        <is>
          <t>À définir séparément des compatibilités historiques</t>
        </is>
      </c>
      <c r="AK228" s="2" t="inlineStr">
        <is>
          <t>À documenter</t>
        </is>
      </c>
      <c r="AL228" s="2" t="inlineStr">
        <is>
          <t>À rechercher / voir sources historiques</t>
        </is>
      </c>
      <c r="AM228" s="2" t="inlineStr">
        <is>
          <t>https://tanks-encyclopedia.com/ww2/soviet/isu-122/</t>
        </is>
      </c>
      <c r="AN228" s="2" t="inlineStr">
        <is>
          <t>Source de niveau variable ; contrôle par variante nécessaire</t>
        </is>
      </c>
      <c r="AO228" s="2" t="inlineStr">
        <is>
          <t>Non renseigné</t>
        </is>
      </c>
      <c r="AP228" s="2" t="inlineStr">
        <is>
          <t>Faible</t>
        </is>
      </c>
      <c r="AQ228" s="2" t="inlineStr">
        <is>
          <t>Partiel</t>
        </is>
      </c>
      <c r="AR228" s="2" t="inlineStr">
        <is>
          <t>Partiel — fiche à compléter</t>
        </is>
      </c>
      <c r="AS228" s="2" t="inlineStr">
        <is>
          <t>P2/P3</t>
        </is>
      </c>
      <c r="AT228" s="2" t="inlineStr">
        <is>
          <t>Châssis IS, groupe moteur de la famille V-2.</t>
        </is>
      </c>
      <c r="AU228" s="2" t="inlineStr">
        <is>
          <t>À intégrer après validation du prototype</t>
        </is>
      </c>
      <c r="AV228" s="2" t="inlineStr">
        <is>
          <t>ISU-122 : véhicule de catégorie « Chasseurs de chars et canons automoteurs », d'origine URSS. Motorisation recensée : V12 diesel V-2-IS. Variante historique à vérifier avant validation définitive.</t>
        </is>
      </c>
    </row>
    <row r="229" ht="60" customHeight="1">
      <c r="A229" s="2" t="inlineStr">
        <is>
          <t>VEH-228</t>
        </is>
      </c>
      <c r="B229" s="2" t="inlineStr">
        <is>
          <t>Chasseurs de chars et canons automoteurs</t>
        </is>
      </c>
      <c r="C229" s="2" t="inlineStr">
        <is>
          <t>ISU-152</t>
        </is>
      </c>
      <c r="D229" s="2" t="inlineStr">
        <is>
          <t>À distinguer si plusieurs variantes</t>
        </is>
      </c>
      <c r="E229" s="2" t="inlineStr">
        <is>
          <t>URSS</t>
        </is>
      </c>
      <c r="F229" s="2" t="inlineStr">
        <is>
          <t>À documenter</t>
        </is>
      </c>
      <c r="G229" s="2" t="inlineStr">
        <is>
          <t>À confirmer</t>
        </is>
      </c>
      <c r="H229" s="2" t="inlineStr">
        <is>
          <t>Chasseurs de chars et canons automoteurs</t>
        </is>
      </c>
      <c r="I229" s="2" t="inlineStr">
        <is>
          <t>À définir</t>
        </is>
      </c>
      <c r="J229" s="2" t="n"/>
      <c r="K229" s="2" t="n"/>
      <c r="L229" s="2" t="n"/>
      <c r="M229" s="2" t="n"/>
      <c r="N229" s="2" t="n"/>
      <c r="O229" s="2" t="n"/>
      <c r="P229" s="2" t="inlineStr">
        <is>
          <t>V12 diesel V-2-IS</t>
        </is>
      </c>
      <c r="Q229" s="2" t="n"/>
      <c r="R229" s="2" t="n"/>
      <c r="S229" s="2" t="inlineStr">
        <is>
          <t>À confirmer</t>
        </is>
      </c>
      <c r="T229" s="2" t="n"/>
      <c r="U229" s="2" t="n"/>
      <c r="V229" s="2" t="n"/>
      <c r="W229" s="2" t="n"/>
      <c r="X229" s="2" t="inlineStr">
        <is>
          <t>À documenter</t>
        </is>
      </c>
      <c r="Y229" s="2" t="inlineStr">
        <is>
          <t>À documenter</t>
        </is>
      </c>
      <c r="Z229" s="2" t="inlineStr">
        <is>
          <t>À documenter</t>
        </is>
      </c>
      <c r="AA229" s="2" t="inlineStr">
        <is>
          <t>À documenter</t>
        </is>
      </c>
      <c r="AB229" s="2" t="inlineStr">
        <is>
          <t>À documenter</t>
        </is>
      </c>
      <c r="AC229" s="2" t="inlineStr">
        <is>
          <t>Obusier-canon de 152 mm ML-20S</t>
        </is>
      </c>
      <c r="AD229" s="2" t="inlineStr">
        <is>
          <t>À documenter</t>
        </is>
      </c>
      <c r="AE229" s="2" t="inlineStr">
        <is>
          <t>À documenter</t>
        </is>
      </c>
      <c r="AF229" s="2" t="inlineStr">
        <is>
          <t>À définir</t>
        </is>
      </c>
      <c r="AG229" s="2" t="inlineStr">
        <is>
          <t>À définir</t>
        </is>
      </c>
      <c r="AH229" s="2" t="inlineStr">
        <is>
          <t>Réparation d’origine si véhicule complet ; démontage si incomplet</t>
        </is>
      </c>
      <c r="AI229" s="2" t="inlineStr">
        <is>
          <t>À documenter</t>
        </is>
      </c>
      <c r="AJ229" s="2" t="inlineStr">
        <is>
          <t>À définir séparément des compatibilités historiques</t>
        </is>
      </c>
      <c r="AK229" s="2" t="inlineStr">
        <is>
          <t>À documenter</t>
        </is>
      </c>
      <c r="AL229" s="2" t="inlineStr">
        <is>
          <t>À rechercher / voir sources historiques</t>
        </is>
      </c>
      <c r="AM229" s="2" t="inlineStr">
        <is>
          <t>https://tanks-encyclopedia.com/ww2/soviet/isu-152/</t>
        </is>
      </c>
      <c r="AN229" s="2" t="inlineStr">
        <is>
          <t>Source de niveau variable ; contrôle par variante nécessaire</t>
        </is>
      </c>
      <c r="AO229" s="2" t="inlineStr">
        <is>
          <t>Non renseigné</t>
        </is>
      </c>
      <c r="AP229" s="2" t="inlineStr">
        <is>
          <t>Faible</t>
        </is>
      </c>
      <c r="AQ229" s="2" t="inlineStr">
        <is>
          <t>Élevé</t>
        </is>
      </c>
      <c r="AR229" s="2" t="inlineStr">
        <is>
          <t>Partiel — fiche à compléter</t>
        </is>
      </c>
      <c r="AS229" s="2" t="inlineStr">
        <is>
          <t>P2/P3</t>
        </is>
      </c>
      <c r="AT229" s="2" t="inlineStr">
        <is>
          <t>Châssis IS lourd.</t>
        </is>
      </c>
      <c r="AU229" s="2" t="inlineStr">
        <is>
          <t>À intégrer après validation du prototype</t>
        </is>
      </c>
      <c r="AV229" s="2" t="inlineStr">
        <is>
          <t>ISU-152 : véhicule de catégorie « Chasseurs de chars et canons automoteurs », d'origine URSS. Motorisation recensée : V12 diesel V-2-IS. Fiche de catalogue à compléter avec le rôle tactique et les caractéristiques de jeu.</t>
        </is>
      </c>
    </row>
    <row r="230" ht="60" customHeight="1">
      <c r="A230" s="2" t="inlineStr">
        <is>
          <t>VEH-229</t>
        </is>
      </c>
      <c r="B230" s="2" t="inlineStr">
        <is>
          <t>Chars légers et chars anciens</t>
        </is>
      </c>
      <c r="C230" s="2" t="inlineStr">
        <is>
          <t>Type 89 I-Go</t>
        </is>
      </c>
      <c r="D230" s="2" t="inlineStr">
        <is>
          <t>À distinguer si plusieurs variantes</t>
        </is>
      </c>
      <c r="E230" s="2" t="inlineStr">
        <is>
          <t>Japon</t>
        </is>
      </c>
      <c r="F230" s="2" t="inlineStr">
        <is>
          <t>À documenter</t>
        </is>
      </c>
      <c r="G230" s="2" t="inlineStr">
        <is>
          <t>À confirmer</t>
        </is>
      </c>
      <c r="H230" s="2" t="inlineStr">
        <is>
          <t>Chars légers et chars anciens</t>
        </is>
      </c>
      <c r="I230" s="2" t="inlineStr">
        <is>
          <t>À définir</t>
        </is>
      </c>
      <c r="J230" s="2" t="n"/>
      <c r="K230" s="2" t="n"/>
      <c r="L230" s="2" t="n"/>
      <c r="M230" s="2" t="n"/>
      <c r="N230" s="2" t="n"/>
      <c r="O230" s="2" t="n"/>
      <c r="P230" s="2" t="inlineStr">
        <is>
          <t>6 cylindres essence / diesel selon variante (à préciser)</t>
        </is>
      </c>
      <c r="Q230" s="2" t="n"/>
      <c r="R230" s="2" t="n"/>
      <c r="S230" s="2" t="inlineStr">
        <is>
          <t>À confirmer</t>
        </is>
      </c>
      <c r="T230" s="2" t="n"/>
      <c r="U230" s="2" t="n"/>
      <c r="V230" s="2" t="n"/>
      <c r="W230" s="2" t="n"/>
      <c r="X230" s="2" t="inlineStr">
        <is>
          <t>À documenter</t>
        </is>
      </c>
      <c r="Y230" s="2" t="inlineStr">
        <is>
          <t>À documenter</t>
        </is>
      </c>
      <c r="Z230" s="2" t="inlineStr">
        <is>
          <t>À documenter</t>
        </is>
      </c>
      <c r="AA230" s="2" t="inlineStr">
        <is>
          <t>À documenter</t>
        </is>
      </c>
      <c r="AB230" s="2" t="inlineStr">
        <is>
          <t>À documenter</t>
        </is>
      </c>
      <c r="AC230" s="2" t="inlineStr">
        <is>
          <t>Armement historique à déterminer précisément pour ce modèle/sa variante</t>
        </is>
      </c>
      <c r="AD230" s="2" t="inlineStr">
        <is>
          <t>À documenter</t>
        </is>
      </c>
      <c r="AE230" s="2" t="inlineStr">
        <is>
          <t>À documenter</t>
        </is>
      </c>
      <c r="AF230" s="2" t="inlineStr">
        <is>
          <t>À définir</t>
        </is>
      </c>
      <c r="AG230" s="2" t="inlineStr">
        <is>
          <t>À définir</t>
        </is>
      </c>
      <c r="AH230" s="2" t="inlineStr">
        <is>
          <t>Réparation d’origine si véhicule complet ; démontage si incomplet</t>
        </is>
      </c>
      <c r="AI230" s="2" t="inlineStr">
        <is>
          <t>À documenter</t>
        </is>
      </c>
      <c r="AJ230" s="2" t="inlineStr">
        <is>
          <t>À définir séparément des compatibilités historiques</t>
        </is>
      </c>
      <c r="AK230" s="2" t="inlineStr">
        <is>
          <t>À documenter</t>
        </is>
      </c>
      <c r="AL230" s="2" t="inlineStr">
        <is>
          <t>À rechercher / voir sources historiques</t>
        </is>
      </c>
      <c r="AM230" s="2" t="inlineStr">
        <is>
          <t>https://onwar.com/wwii/tanks/japan/index.html</t>
        </is>
      </c>
      <c r="AN230" s="2" t="inlineStr">
        <is>
          <t>Source de niveau variable ; contrôle par variante nécessaire</t>
        </is>
      </c>
      <c r="AO230" s="2" t="inlineStr">
        <is>
          <t>Non renseigné</t>
        </is>
      </c>
      <c r="AP230" s="2" t="inlineStr">
        <is>
          <t>Faible</t>
        </is>
      </c>
      <c r="AQ230" s="2" t="inlineStr">
        <is>
          <t>À vérifier</t>
        </is>
      </c>
      <c r="AR230" s="2" t="inlineStr">
        <is>
          <t>Partiel — fiche à compléter</t>
        </is>
      </c>
      <c r="AS230" s="2" t="inlineStr">
        <is>
          <t>P2/P3</t>
        </is>
      </c>
      <c r="AT230" s="2" t="inlineStr">
        <is>
          <t>Ancien char moyen ; différencier Type 89A et 89B.</t>
        </is>
      </c>
      <c r="AU230" s="2" t="inlineStr">
        <is>
          <t>À intégrer après validation du prototype</t>
        </is>
      </c>
      <c r="AV230" s="2" t="inlineStr">
        <is>
          <t>Type 89 I-Go : véhicule de catégorie « Chars légers et chars anciens », d'origine Japon. Motorisation recensée : 6 cylindres essence / diesel selon variante (à préciser). Variante historique à vérifier avant validation définitive.</t>
        </is>
      </c>
    </row>
    <row r="231" ht="60" customHeight="1">
      <c r="A231" s="2" t="inlineStr">
        <is>
          <t>VEH-230</t>
        </is>
      </c>
      <c r="B231" s="2" t="inlineStr">
        <is>
          <t>Chars légers et chars anciens</t>
        </is>
      </c>
      <c r="C231" s="2" t="inlineStr">
        <is>
          <t>Type 92 Jyu-Sokosha</t>
        </is>
      </c>
      <c r="D231" s="2" t="inlineStr">
        <is>
          <t>À distinguer si plusieurs variantes</t>
        </is>
      </c>
      <c r="E231" s="2" t="inlineStr">
        <is>
          <t>Japon</t>
        </is>
      </c>
      <c r="F231" s="2" t="inlineStr">
        <is>
          <t>À documenter</t>
        </is>
      </c>
      <c r="G231" s="2" t="inlineStr">
        <is>
          <t>À confirmer</t>
        </is>
      </c>
      <c r="H231" s="2" t="inlineStr">
        <is>
          <t>Chars légers et chars anciens</t>
        </is>
      </c>
      <c r="I231" s="2" t="inlineStr">
        <is>
          <t>À définir</t>
        </is>
      </c>
      <c r="J231" s="2" t="n"/>
      <c r="K231" s="2" t="n"/>
      <c r="L231" s="2" t="n"/>
      <c r="M231" s="2" t="n"/>
      <c r="N231" s="2" t="n"/>
      <c r="O231" s="2" t="n"/>
      <c r="P231" s="2" t="inlineStr">
        <is>
          <t>4 cylindres essence (à confirmer)</t>
        </is>
      </c>
      <c r="Q231" s="2" t="n"/>
      <c r="R231" s="2" t="n"/>
      <c r="S231" s="2" t="inlineStr">
        <is>
          <t>À confirmer</t>
        </is>
      </c>
      <c r="T231" s="2" t="n"/>
      <c r="U231" s="2" t="n"/>
      <c r="V231" s="2" t="n"/>
      <c r="W231" s="2" t="n"/>
      <c r="X231" s="2" t="inlineStr">
        <is>
          <t>À documenter</t>
        </is>
      </c>
      <c r="Y231" s="2" t="inlineStr">
        <is>
          <t>À documenter</t>
        </is>
      </c>
      <c r="Z231" s="2" t="inlineStr">
        <is>
          <t>À documenter</t>
        </is>
      </c>
      <c r="AA231" s="2" t="inlineStr">
        <is>
          <t>À documenter</t>
        </is>
      </c>
      <c r="AB231" s="2" t="inlineStr">
        <is>
          <t>À documenter</t>
        </is>
      </c>
      <c r="AC231" s="2" t="inlineStr">
        <is>
          <t>Armement historique à déterminer précisément pour ce modèle/sa variante</t>
        </is>
      </c>
      <c r="AD231" s="2" t="inlineStr">
        <is>
          <t>À documenter</t>
        </is>
      </c>
      <c r="AE231" s="2" t="inlineStr">
        <is>
          <t>À documenter</t>
        </is>
      </c>
      <c r="AF231" s="2" t="inlineStr">
        <is>
          <t>À définir</t>
        </is>
      </c>
      <c r="AG231" s="2" t="inlineStr">
        <is>
          <t>À définir</t>
        </is>
      </c>
      <c r="AH231" s="2" t="inlineStr">
        <is>
          <t>Réparation d’origine si véhicule complet ; démontage si incomplet</t>
        </is>
      </c>
      <c r="AI231" s="2" t="inlineStr">
        <is>
          <t>À documenter</t>
        </is>
      </c>
      <c r="AJ231" s="2" t="inlineStr">
        <is>
          <t>À définir séparément des compatibilités historiques</t>
        </is>
      </c>
      <c r="AK231" s="2" t="inlineStr">
        <is>
          <t>À documenter</t>
        </is>
      </c>
      <c r="AL231" s="2" t="inlineStr">
        <is>
          <t>À rechercher / voir sources historiques</t>
        </is>
      </c>
      <c r="AM231" s="2" t="inlineStr">
        <is>
          <t>https://onwar.com/wwii/tanks/japan/index.html</t>
        </is>
      </c>
      <c r="AN231" s="2" t="inlineStr">
        <is>
          <t>Source de niveau variable ; contrôle par variante nécessaire</t>
        </is>
      </c>
      <c r="AO231" s="2" t="inlineStr">
        <is>
          <t>Non renseigné</t>
        </is>
      </c>
      <c r="AP231" s="2" t="inlineStr">
        <is>
          <t>Faible</t>
        </is>
      </c>
      <c r="AQ231" s="2" t="inlineStr">
        <is>
          <t>À vérifier</t>
        </is>
      </c>
      <c r="AR231" s="2" t="inlineStr">
        <is>
          <t>Partiel — fiche à compléter</t>
        </is>
      </c>
      <c r="AS231" s="2" t="inlineStr">
        <is>
          <t>P2/P3</t>
        </is>
      </c>
      <c r="AT231" s="2" t="inlineStr">
        <is>
          <t>Tankette de cavalerie.</t>
        </is>
      </c>
      <c r="AU231" s="2" t="inlineStr">
        <is>
          <t>À intégrer après validation du prototype</t>
        </is>
      </c>
      <c r="AV231" s="2" t="inlineStr">
        <is>
          <t>Type 92 Jyu-Sokosha : véhicule de catégorie « Chars légers et chars anciens », d'origine Japon. Motorisation recensée : 4 cylindres essence (à confirmer). Variante historique à vérifier avant validation définitive.</t>
        </is>
      </c>
    </row>
    <row r="232" ht="60" customHeight="1">
      <c r="A232" s="2" t="inlineStr">
        <is>
          <t>VEH-231</t>
        </is>
      </c>
      <c r="B232" s="2" t="inlineStr">
        <is>
          <t>Chars légers et chars anciens</t>
        </is>
      </c>
      <c r="C232" s="2" t="inlineStr">
        <is>
          <t>Type 94 tankette</t>
        </is>
      </c>
      <c r="D232" s="2" t="inlineStr">
        <is>
          <t>À distinguer si plusieurs variantes</t>
        </is>
      </c>
      <c r="E232" s="2" t="inlineStr">
        <is>
          <t>Japon</t>
        </is>
      </c>
      <c r="F232" s="2" t="inlineStr">
        <is>
          <t>À documenter</t>
        </is>
      </c>
      <c r="G232" s="2" t="inlineStr">
        <is>
          <t>À confirmer</t>
        </is>
      </c>
      <c r="H232" s="2" t="inlineStr">
        <is>
          <t>Chars légers et chars anciens</t>
        </is>
      </c>
      <c r="I232" s="2" t="inlineStr">
        <is>
          <t>À définir</t>
        </is>
      </c>
      <c r="J232" s="2" t="n"/>
      <c r="K232" s="2" t="n"/>
      <c r="L232" s="2" t="n"/>
      <c r="M232" s="2" t="n"/>
      <c r="N232" s="2" t="n"/>
      <c r="O232" s="2" t="n"/>
      <c r="P232" s="2" t="inlineStr">
        <is>
          <t>4 cylindres essence (à confirmer)</t>
        </is>
      </c>
      <c r="Q232" s="2" t="n"/>
      <c r="R232" s="2" t="n"/>
      <c r="S232" s="2" t="inlineStr">
        <is>
          <t>À confirmer</t>
        </is>
      </c>
      <c r="T232" s="2" t="n"/>
      <c r="U232" s="2" t="n"/>
      <c r="V232" s="2" t="n"/>
      <c r="W232" s="2" t="n"/>
      <c r="X232" s="2" t="inlineStr">
        <is>
          <t>À documenter</t>
        </is>
      </c>
      <c r="Y232" s="2" t="inlineStr">
        <is>
          <t>À documenter</t>
        </is>
      </c>
      <c r="Z232" s="2" t="inlineStr">
        <is>
          <t>À documenter</t>
        </is>
      </c>
      <c r="AA232" s="2" t="inlineStr">
        <is>
          <t>À documenter</t>
        </is>
      </c>
      <c r="AB232" s="2" t="inlineStr">
        <is>
          <t>À documenter</t>
        </is>
      </c>
      <c r="AC232" s="2" t="inlineStr">
        <is>
          <t>Armement historique à déterminer précisément pour ce modèle/sa variante</t>
        </is>
      </c>
      <c r="AD232" s="2" t="inlineStr">
        <is>
          <t>À documenter</t>
        </is>
      </c>
      <c r="AE232" s="2" t="inlineStr">
        <is>
          <t>À documenter</t>
        </is>
      </c>
      <c r="AF232" s="2" t="inlineStr">
        <is>
          <t>À définir</t>
        </is>
      </c>
      <c r="AG232" s="2" t="inlineStr">
        <is>
          <t>À définir</t>
        </is>
      </c>
      <c r="AH232" s="2" t="inlineStr">
        <is>
          <t>Réparation d’origine si véhicule complet ; démontage si incomplet</t>
        </is>
      </c>
      <c r="AI232" s="2" t="inlineStr">
        <is>
          <t>À documenter</t>
        </is>
      </c>
      <c r="AJ232" s="2" t="inlineStr">
        <is>
          <t>À définir séparément des compatibilités historiques</t>
        </is>
      </c>
      <c r="AK232" s="2" t="inlineStr">
        <is>
          <t>À documenter</t>
        </is>
      </c>
      <c r="AL232" s="2" t="inlineStr">
        <is>
          <t>À rechercher / voir sources historiques</t>
        </is>
      </c>
      <c r="AM232" s="2" t="inlineStr">
        <is>
          <t>https://onwar.com/wwii/tanks/japan/index.html</t>
        </is>
      </c>
      <c r="AN232" s="2" t="inlineStr">
        <is>
          <t>Source de niveau variable ; contrôle par variante nécessaire</t>
        </is>
      </c>
      <c r="AO232" s="2" t="inlineStr">
        <is>
          <t>Non renseigné</t>
        </is>
      </c>
      <c r="AP232" s="2" t="inlineStr">
        <is>
          <t>Faible</t>
        </is>
      </c>
      <c r="AQ232" s="2" t="inlineStr">
        <is>
          <t>À vérifier</t>
        </is>
      </c>
      <c r="AR232" s="2" t="inlineStr">
        <is>
          <t>Partiel — fiche à compléter</t>
        </is>
      </c>
      <c r="AS232" s="2" t="inlineStr">
        <is>
          <t>P2/P3</t>
        </is>
      </c>
      <c r="AT232" s="2" t="inlineStr">
        <is>
          <t>Très petit châssis de reconnaissance.</t>
        </is>
      </c>
      <c r="AU232" s="2" t="inlineStr">
        <is>
          <t>À intégrer après validation du prototype</t>
        </is>
      </c>
      <c r="AV232" s="2" t="inlineStr">
        <is>
          <t>Type 94 tankette : véhicule de catégorie « Chars légers et chars anciens », d'origine Japon. Motorisation recensée : 4 cylindres essence (à confirmer). Variante historique à vérifier avant validation définitive.</t>
        </is>
      </c>
    </row>
    <row r="233" ht="60" customHeight="1">
      <c r="A233" s="2" t="inlineStr">
        <is>
          <t>VEH-232</t>
        </is>
      </c>
      <c r="B233" s="2" t="inlineStr">
        <is>
          <t>Chars légers et chars anciens</t>
        </is>
      </c>
      <c r="C233" s="2" t="inlineStr">
        <is>
          <t>Type 95 Ha-Go</t>
        </is>
      </c>
      <c r="D233" s="2" t="inlineStr">
        <is>
          <t>À distinguer si plusieurs variantes</t>
        </is>
      </c>
      <c r="E233" s="2" t="inlineStr">
        <is>
          <t>Japon</t>
        </is>
      </c>
      <c r="F233" s="2" t="inlineStr">
        <is>
          <t>À documenter</t>
        </is>
      </c>
      <c r="G233" s="2" t="inlineStr">
        <is>
          <t>À confirmer</t>
        </is>
      </c>
      <c r="H233" s="2" t="inlineStr">
        <is>
          <t>Chars légers et chars anciens</t>
        </is>
      </c>
      <c r="I233" s="2" t="inlineStr">
        <is>
          <t>À définir</t>
        </is>
      </c>
      <c r="J233" s="2" t="n"/>
      <c r="K233" s="2" t="n"/>
      <c r="L233" s="2" t="n"/>
      <c r="M233" s="2" t="n"/>
      <c r="N233" s="2" t="n"/>
      <c r="O233" s="2" t="n"/>
      <c r="P233" s="2" t="inlineStr">
        <is>
          <t>6 cylindres diesel Mitsubishi A6120VD</t>
        </is>
      </c>
      <c r="Q233" s="2" t="n"/>
      <c r="R233" s="2" t="n"/>
      <c r="S233" s="2" t="inlineStr">
        <is>
          <t>À confirmer</t>
        </is>
      </c>
      <c r="T233" s="2" t="n"/>
      <c r="U233" s="2" t="n"/>
      <c r="V233" s="2" t="n"/>
      <c r="W233" s="2" t="n"/>
      <c r="X233" s="2" t="inlineStr">
        <is>
          <t>À documenter</t>
        </is>
      </c>
      <c r="Y233" s="2" t="inlineStr">
        <is>
          <t>À documenter</t>
        </is>
      </c>
      <c r="Z233" s="2" t="inlineStr">
        <is>
          <t>À documenter</t>
        </is>
      </c>
      <c r="AA233" s="2" t="inlineStr">
        <is>
          <t>À documenter</t>
        </is>
      </c>
      <c r="AB233" s="2" t="inlineStr">
        <is>
          <t>À documenter</t>
        </is>
      </c>
      <c r="AC233" s="2" t="inlineStr">
        <is>
          <t>Canon de 37 mm Type 94 ou 37 mm Type 98 selon version; mitrailleuses Type 97 de 7,7 mm</t>
        </is>
      </c>
      <c r="AD233" s="2" t="inlineStr">
        <is>
          <t>À documenter</t>
        </is>
      </c>
      <c r="AE233" s="2" t="inlineStr">
        <is>
          <t>À documenter</t>
        </is>
      </c>
      <c r="AF233" s="2" t="inlineStr">
        <is>
          <t>À définir</t>
        </is>
      </c>
      <c r="AG233" s="2" t="inlineStr">
        <is>
          <t>À définir</t>
        </is>
      </c>
      <c r="AH233" s="2" t="inlineStr">
        <is>
          <t>Réparation d’origine si véhicule complet ; démontage si incomplet</t>
        </is>
      </c>
      <c r="AI233" s="2" t="inlineStr">
        <is>
          <t>À documenter</t>
        </is>
      </c>
      <c r="AJ233" s="2" t="inlineStr">
        <is>
          <t>À définir séparément des compatibilités historiques</t>
        </is>
      </c>
      <c r="AK233" s="2" t="inlineStr">
        <is>
          <t>À documenter</t>
        </is>
      </c>
      <c r="AL233" s="2" t="inlineStr">
        <is>
          <t>À rechercher / voir sources historiques</t>
        </is>
      </c>
      <c r="AM233" s="2" t="inlineStr">
        <is>
          <t>https://worldoftanks.com/en/news/general-news/about-ha-go/</t>
        </is>
      </c>
      <c r="AN233" s="2" t="inlineStr">
        <is>
          <t>Source de niveau variable ; contrôle par variante nécessaire</t>
        </is>
      </c>
      <c r="AO233" s="2" t="inlineStr">
        <is>
          <t>Non renseigné</t>
        </is>
      </c>
      <c r="AP233" s="2" t="inlineStr">
        <is>
          <t>Faible</t>
        </is>
      </c>
      <c r="AQ233" s="2" t="inlineStr">
        <is>
          <t>Partiel</t>
        </is>
      </c>
      <c r="AR233" s="2" t="inlineStr">
        <is>
          <t>Partiel — fiche à compléter</t>
        </is>
      </c>
      <c r="AS233" s="2" t="inlineStr">
        <is>
          <t>P2/P3</t>
        </is>
      </c>
      <c r="AT233" s="2" t="inlineStr">
        <is>
          <t>Moteur diesel japonais, famille spécifique.</t>
        </is>
      </c>
      <c r="AU233" s="2" t="inlineStr">
        <is>
          <t>À intégrer après validation du prototype</t>
        </is>
      </c>
      <c r="AV233" s="2" t="inlineStr">
        <is>
          <t>Type 95 Ha-Go : véhicule de catégorie « Chars légers et chars anciens », d'origine Japon. Motorisation recensée : 6 cylindres diesel Mitsubishi A6120VD. Fiche de catalogue à compléter avec le rôle tactique et les caractéristiques de jeu.</t>
        </is>
      </c>
    </row>
    <row r="234" ht="60" customHeight="1">
      <c r="A234" s="2" t="inlineStr">
        <is>
          <t>VEH-233</t>
        </is>
      </c>
      <c r="B234" s="2" t="inlineStr">
        <is>
          <t>Chars moyens</t>
        </is>
      </c>
      <c r="C234" s="2" t="inlineStr">
        <is>
          <t>Type 97 Shinhoto Chi-Ha</t>
        </is>
      </c>
      <c r="D234" s="2" t="inlineStr">
        <is>
          <t>À distinguer si plusieurs variantes</t>
        </is>
      </c>
      <c r="E234" s="2" t="inlineStr">
        <is>
          <t>Japon</t>
        </is>
      </c>
      <c r="F234" s="2" t="inlineStr">
        <is>
          <t>À documenter</t>
        </is>
      </c>
      <c r="G234" s="2" t="inlineStr">
        <is>
          <t>À confirmer</t>
        </is>
      </c>
      <c r="H234" s="2" t="inlineStr">
        <is>
          <t>Chars moyens</t>
        </is>
      </c>
      <c r="I234" s="2" t="inlineStr">
        <is>
          <t>À définir</t>
        </is>
      </c>
      <c r="J234" s="2" t="n"/>
      <c r="K234" s="2" t="n"/>
      <c r="L234" s="2" t="n"/>
      <c r="M234" s="2" t="n"/>
      <c r="N234" s="2" t="n"/>
      <c r="O234" s="2" t="n"/>
      <c r="P234" s="2" t="inlineStr">
        <is>
          <t>V12 diesel Mitsubishi (famille Chi-Ha, code à confirmer)</t>
        </is>
      </c>
      <c r="Q234" s="2" t="n"/>
      <c r="R234" s="2" t="n"/>
      <c r="S234" s="2" t="inlineStr">
        <is>
          <t>À confirmer</t>
        </is>
      </c>
      <c r="T234" s="2" t="n"/>
      <c r="U234" s="2" t="n"/>
      <c r="V234" s="2" t="n"/>
      <c r="W234" s="2" t="n"/>
      <c r="X234" s="2" t="inlineStr">
        <is>
          <t>À documenter</t>
        </is>
      </c>
      <c r="Y234" s="2" t="inlineStr">
        <is>
          <t>À documenter</t>
        </is>
      </c>
      <c r="Z234" s="2" t="inlineStr">
        <is>
          <t>À documenter</t>
        </is>
      </c>
      <c r="AA234" s="2" t="inlineStr">
        <is>
          <t>À documenter</t>
        </is>
      </c>
      <c r="AB234" s="2" t="inlineStr">
        <is>
          <t>À documenter</t>
        </is>
      </c>
      <c r="AC234" s="2" t="inlineStr">
        <is>
          <t>Armement historique à déterminer précisément pour ce modèle/sa variante</t>
        </is>
      </c>
      <c r="AD234" s="2" t="inlineStr">
        <is>
          <t>À documenter</t>
        </is>
      </c>
      <c r="AE234" s="2" t="inlineStr">
        <is>
          <t>À documenter</t>
        </is>
      </c>
      <c r="AF234" s="2" t="inlineStr">
        <is>
          <t>À définir</t>
        </is>
      </c>
      <c r="AG234" s="2" t="inlineStr">
        <is>
          <t>À définir</t>
        </is>
      </c>
      <c r="AH234" s="2" t="inlineStr">
        <is>
          <t>Réparation d’origine si véhicule complet ; démontage si incomplet</t>
        </is>
      </c>
      <c r="AI234" s="2" t="inlineStr">
        <is>
          <t>À documenter</t>
        </is>
      </c>
      <c r="AJ234" s="2" t="inlineStr">
        <is>
          <t>À définir séparément des compatibilités historiques</t>
        </is>
      </c>
      <c r="AK234" s="2" t="inlineStr">
        <is>
          <t>À documenter</t>
        </is>
      </c>
      <c r="AL234" s="2" t="inlineStr">
        <is>
          <t>À rechercher / voir sources historiques</t>
        </is>
      </c>
      <c r="AM234" s="2" t="inlineStr">
        <is>
          <t>https://onwar.com/wwii/tanks/japan/index.html</t>
        </is>
      </c>
      <c r="AN234" s="2" t="inlineStr">
        <is>
          <t>Source de niveau variable ; contrôle par variante nécessaire</t>
        </is>
      </c>
      <c r="AO234" s="2" t="inlineStr">
        <is>
          <t>Non renseigné</t>
        </is>
      </c>
      <c r="AP234" s="2" t="inlineStr">
        <is>
          <t>Faible</t>
        </is>
      </c>
      <c r="AQ234" s="2" t="inlineStr">
        <is>
          <t>À vérifier</t>
        </is>
      </c>
      <c r="AR234" s="2" t="inlineStr">
        <is>
          <t>Partiel — fiche à compléter</t>
        </is>
      </c>
      <c r="AS234" s="2" t="inlineStr">
        <is>
          <t>P2/P3</t>
        </is>
      </c>
      <c r="AT234" s="2" t="inlineStr">
        <is>
          <t>Variante tardive avec tourelle différente.</t>
        </is>
      </c>
      <c r="AU234" s="2" t="inlineStr">
        <is>
          <t>À intégrer après validation du prototype</t>
        </is>
      </c>
      <c r="AV234" s="2" t="inlineStr">
        <is>
          <t>Type 97 Shinhoto Chi-Ha : véhicule de catégorie « Chars moyens », d'origine Japon. Motorisation recensée : V12 diesel Mitsubishi (famille Chi-Ha, code à confirmer). Variante historique à vérifier avant validation définitive.</t>
        </is>
      </c>
    </row>
    <row r="235" ht="60" customHeight="1">
      <c r="A235" s="2" t="inlineStr">
        <is>
          <t>VEH-234</t>
        </is>
      </c>
      <c r="B235" s="2" t="inlineStr">
        <is>
          <t>Chars moyens</t>
        </is>
      </c>
      <c r="C235" s="2" t="inlineStr">
        <is>
          <t>Type 1 Chi-He</t>
        </is>
      </c>
      <c r="D235" s="2" t="inlineStr">
        <is>
          <t>À distinguer si plusieurs variantes</t>
        </is>
      </c>
      <c r="E235" s="2" t="inlineStr">
        <is>
          <t>Japon</t>
        </is>
      </c>
      <c r="F235" s="2" t="inlineStr">
        <is>
          <t>À documenter</t>
        </is>
      </c>
      <c r="G235" s="2" t="inlineStr">
        <is>
          <t>À confirmer</t>
        </is>
      </c>
      <c r="H235" s="2" t="inlineStr">
        <is>
          <t>Chars moyens</t>
        </is>
      </c>
      <c r="I235" s="2" t="inlineStr">
        <is>
          <t>À définir</t>
        </is>
      </c>
      <c r="J235" s="2" t="n"/>
      <c r="K235" s="2" t="n"/>
      <c r="L235" s="2" t="n"/>
      <c r="M235" s="2" t="n"/>
      <c r="N235" s="2" t="n"/>
      <c r="O235" s="2" t="n"/>
      <c r="P235" s="2" t="inlineStr">
        <is>
          <t>V12 diesel Mitsubishi (famille à confirmer)</t>
        </is>
      </c>
      <c r="Q235" s="2" t="n"/>
      <c r="R235" s="2" t="n"/>
      <c r="S235" s="2" t="inlineStr">
        <is>
          <t>À confirmer</t>
        </is>
      </c>
      <c r="T235" s="2" t="n"/>
      <c r="U235" s="2" t="n"/>
      <c r="V235" s="2" t="n"/>
      <c r="W235" s="2" t="n"/>
      <c r="X235" s="2" t="inlineStr">
        <is>
          <t>À documenter</t>
        </is>
      </c>
      <c r="Y235" s="2" t="inlineStr">
        <is>
          <t>À documenter</t>
        </is>
      </c>
      <c r="Z235" s="2" t="inlineStr">
        <is>
          <t>À documenter</t>
        </is>
      </c>
      <c r="AA235" s="2" t="inlineStr">
        <is>
          <t>À documenter</t>
        </is>
      </c>
      <c r="AB235" s="2" t="inlineStr">
        <is>
          <t>À documenter</t>
        </is>
      </c>
      <c r="AC235" s="2" t="inlineStr">
        <is>
          <t>Canon de 47 mm Type 1; mitrailleuses Type 97 de 7,7 mm</t>
        </is>
      </c>
      <c r="AD235" s="2" t="inlineStr">
        <is>
          <t>À documenter</t>
        </is>
      </c>
      <c r="AE235" s="2" t="inlineStr">
        <is>
          <t>À documenter</t>
        </is>
      </c>
      <c r="AF235" s="2" t="inlineStr">
        <is>
          <t>À définir</t>
        </is>
      </c>
      <c r="AG235" s="2" t="inlineStr">
        <is>
          <t>À définir</t>
        </is>
      </c>
      <c r="AH235" s="2" t="inlineStr">
        <is>
          <t>Réparation d’origine si véhicule complet ; démontage si incomplet</t>
        </is>
      </c>
      <c r="AI235" s="2" t="inlineStr">
        <is>
          <t>À documenter</t>
        </is>
      </c>
      <c r="AJ235" s="2" t="inlineStr">
        <is>
          <t>À définir séparément des compatibilités historiques</t>
        </is>
      </c>
      <c r="AK235" s="2" t="inlineStr">
        <is>
          <t>À documenter</t>
        </is>
      </c>
      <c r="AL235" s="2" t="inlineStr">
        <is>
          <t>À rechercher / voir sources historiques</t>
        </is>
      </c>
      <c r="AM235" s="2" t="inlineStr">
        <is>
          <t>https://onwar.com/wwii/tanks/japan/index.html</t>
        </is>
      </c>
      <c r="AN235" s="2" t="inlineStr">
        <is>
          <t>Source de niveau variable ; contrôle par variante nécessaire</t>
        </is>
      </c>
      <c r="AO235" s="2" t="inlineStr">
        <is>
          <t>Non renseigné</t>
        </is>
      </c>
      <c r="AP235" s="2" t="inlineStr">
        <is>
          <t>Faible</t>
        </is>
      </c>
      <c r="AQ235" s="2" t="inlineStr">
        <is>
          <t>Partiel</t>
        </is>
      </c>
      <c r="AR235" s="2" t="inlineStr">
        <is>
          <t>Partiel — fiche à compléter</t>
        </is>
      </c>
      <c r="AS235" s="2" t="inlineStr">
        <is>
          <t>P2/P3</t>
        </is>
      </c>
      <c r="AT235" s="2" t="inlineStr">
        <is>
          <t>Évolution du Chi-Ha.</t>
        </is>
      </c>
      <c r="AU235" s="2" t="inlineStr">
        <is>
          <t>À intégrer après validation du prototype</t>
        </is>
      </c>
      <c r="AV235" s="2" t="inlineStr">
        <is>
          <t>Type 1 Chi-He : véhicule de catégorie « Chars moyens », d'origine Japon. Motorisation recensée : V12 diesel Mitsubishi (famille à confirmer). Variante historique à vérifier avant validation définitive.</t>
        </is>
      </c>
    </row>
    <row r="236" ht="60" customHeight="1">
      <c r="A236" s="2" t="inlineStr">
        <is>
          <t>VEH-235</t>
        </is>
      </c>
      <c r="B236" s="2" t="inlineStr">
        <is>
          <t>Chasseurs de chars et canons automoteurs</t>
        </is>
      </c>
      <c r="C236" s="2" t="inlineStr">
        <is>
          <t>Type 2 Ho-I</t>
        </is>
      </c>
      <c r="D236" s="2" t="inlineStr">
        <is>
          <t>À distinguer si plusieurs variantes</t>
        </is>
      </c>
      <c r="E236" s="2" t="inlineStr">
        <is>
          <t>Japon</t>
        </is>
      </c>
      <c r="F236" s="2" t="inlineStr">
        <is>
          <t>À documenter</t>
        </is>
      </c>
      <c r="G236" s="2" t="inlineStr">
        <is>
          <t>À confirmer</t>
        </is>
      </c>
      <c r="H236" s="2" t="inlineStr">
        <is>
          <t>Chasseurs de chars et canons automoteurs</t>
        </is>
      </c>
      <c r="I236" s="2" t="inlineStr">
        <is>
          <t>À définir</t>
        </is>
      </c>
      <c r="J236" s="2" t="n"/>
      <c r="K236" s="2" t="n"/>
      <c r="L236" s="2" t="n"/>
      <c r="M236" s="2" t="n"/>
      <c r="N236" s="2" t="n"/>
      <c r="O236" s="2" t="n"/>
      <c r="P236" s="2" t="inlineStr">
        <is>
          <t>V12 diesel Mitsubishi (à confirmer)</t>
        </is>
      </c>
      <c r="Q236" s="2" t="n"/>
      <c r="R236" s="2" t="n"/>
      <c r="S236" s="2" t="inlineStr">
        <is>
          <t>À confirmer</t>
        </is>
      </c>
      <c r="T236" s="2" t="n"/>
      <c r="U236" s="2" t="n"/>
      <c r="V236" s="2" t="n"/>
      <c r="W236" s="2" t="n"/>
      <c r="X236" s="2" t="inlineStr">
        <is>
          <t>À documenter</t>
        </is>
      </c>
      <c r="Y236" s="2" t="inlineStr">
        <is>
          <t>À documenter</t>
        </is>
      </c>
      <c r="Z236" s="2" t="inlineStr">
        <is>
          <t>À documenter</t>
        </is>
      </c>
      <c r="AA236" s="2" t="inlineStr">
        <is>
          <t>À documenter</t>
        </is>
      </c>
      <c r="AB236" s="2" t="inlineStr">
        <is>
          <t>À documenter</t>
        </is>
      </c>
      <c r="AC236" s="2" t="inlineStr">
        <is>
          <t>Armement historique à déterminer précisément pour ce modèle/sa variante</t>
        </is>
      </c>
      <c r="AD236" s="2" t="inlineStr">
        <is>
          <t>À documenter</t>
        </is>
      </c>
      <c r="AE236" s="2" t="inlineStr">
        <is>
          <t>À documenter</t>
        </is>
      </c>
      <c r="AF236" s="2" t="inlineStr">
        <is>
          <t>À définir</t>
        </is>
      </c>
      <c r="AG236" s="2" t="inlineStr">
        <is>
          <t>À définir</t>
        </is>
      </c>
      <c r="AH236" s="2" t="inlineStr">
        <is>
          <t>Réparation d’origine si véhicule complet ; démontage si incomplet</t>
        </is>
      </c>
      <c r="AI236" s="2" t="inlineStr">
        <is>
          <t>À documenter</t>
        </is>
      </c>
      <c r="AJ236" s="2" t="inlineStr">
        <is>
          <t>À définir séparément des compatibilités historiques</t>
        </is>
      </c>
      <c r="AK236" s="2" t="inlineStr">
        <is>
          <t>À documenter</t>
        </is>
      </c>
      <c r="AL236" s="2" t="inlineStr">
        <is>
          <t>À rechercher / voir sources historiques</t>
        </is>
      </c>
      <c r="AM236" s="2" t="inlineStr">
        <is>
          <t>https://onwar.com/wwii/tanks/japan/index.html</t>
        </is>
      </c>
      <c r="AN236" s="2" t="inlineStr">
        <is>
          <t>Source de niveau variable ; contrôle par variante nécessaire</t>
        </is>
      </c>
      <c r="AO236" s="2" t="inlineStr">
        <is>
          <t>Non renseigné</t>
        </is>
      </c>
      <c r="AP236" s="2" t="inlineStr">
        <is>
          <t>Faible</t>
        </is>
      </c>
      <c r="AQ236" s="2" t="inlineStr">
        <is>
          <t>À vérifier</t>
        </is>
      </c>
      <c r="AR236" s="2" t="inlineStr">
        <is>
          <t>Partiel — fiche à compléter</t>
        </is>
      </c>
      <c r="AS236" s="2" t="inlineStr">
        <is>
          <t>P2/P3</t>
        </is>
      </c>
      <c r="AT236" s="2" t="inlineStr">
        <is>
          <t>Char d'appui rapproché, production très limitée.</t>
        </is>
      </c>
      <c r="AU236" s="2" t="inlineStr">
        <is>
          <t>À intégrer après validation du prototype</t>
        </is>
      </c>
      <c r="AV236" s="2" t="inlineStr">
        <is>
          <t>Type 2 Ho-I : véhicule de catégorie « Chasseurs de chars et canons automoteurs », d'origine Japon. Motorisation recensée : V12 diesel Mitsubishi (à confirmer). Variante historique à vérifier avant validation définitive.</t>
        </is>
      </c>
    </row>
    <row r="237" ht="60" customHeight="1">
      <c r="A237" s="2" t="inlineStr">
        <is>
          <t>VEH-236</t>
        </is>
      </c>
      <c r="B237" s="2" t="inlineStr">
        <is>
          <t>Chars moyens</t>
        </is>
      </c>
      <c r="C237" s="2" t="inlineStr">
        <is>
          <t>Type 3 Chi-Nu</t>
        </is>
      </c>
      <c r="D237" s="2" t="inlineStr">
        <is>
          <t>À distinguer si plusieurs variantes</t>
        </is>
      </c>
      <c r="E237" s="2" t="inlineStr">
        <is>
          <t>Japon</t>
        </is>
      </c>
      <c r="F237" s="2" t="inlineStr">
        <is>
          <t>À documenter</t>
        </is>
      </c>
      <c r="G237" s="2" t="inlineStr">
        <is>
          <t>À confirmer</t>
        </is>
      </c>
      <c r="H237" s="2" t="inlineStr">
        <is>
          <t>Chars moyens</t>
        </is>
      </c>
      <c r="I237" s="2" t="inlineStr">
        <is>
          <t>À définir</t>
        </is>
      </c>
      <c r="J237" s="2" t="n"/>
      <c r="K237" s="2" t="n"/>
      <c r="L237" s="2" t="n"/>
      <c r="M237" s="2" t="n"/>
      <c r="N237" s="2" t="n"/>
      <c r="O237" s="2" t="n"/>
      <c r="P237" s="2" t="inlineStr">
        <is>
          <t>V12 diesel Mitsubishi (famille à confirmer)</t>
        </is>
      </c>
      <c r="Q237" s="2" t="n"/>
      <c r="R237" s="2" t="n"/>
      <c r="S237" s="2" t="inlineStr">
        <is>
          <t>À confirmer</t>
        </is>
      </c>
      <c r="T237" s="2" t="n"/>
      <c r="U237" s="2" t="n"/>
      <c r="V237" s="2" t="n"/>
      <c r="W237" s="2" t="n"/>
      <c r="X237" s="2" t="inlineStr">
        <is>
          <t>À documenter</t>
        </is>
      </c>
      <c r="Y237" s="2" t="inlineStr">
        <is>
          <t>À documenter</t>
        </is>
      </c>
      <c r="Z237" s="2" t="inlineStr">
        <is>
          <t>À documenter</t>
        </is>
      </c>
      <c r="AA237" s="2" t="inlineStr">
        <is>
          <t>À documenter</t>
        </is>
      </c>
      <c r="AB237" s="2" t="inlineStr">
        <is>
          <t>À documenter</t>
        </is>
      </c>
      <c r="AC237" s="2" t="inlineStr">
        <is>
          <t>Canon de 75 mm Type 3; mitrailleuse Type 97 de 7,7 mm</t>
        </is>
      </c>
      <c r="AD237" s="2" t="inlineStr">
        <is>
          <t>À documenter</t>
        </is>
      </c>
      <c r="AE237" s="2" t="inlineStr">
        <is>
          <t>À documenter</t>
        </is>
      </c>
      <c r="AF237" s="2" t="inlineStr">
        <is>
          <t>À définir</t>
        </is>
      </c>
      <c r="AG237" s="2" t="inlineStr">
        <is>
          <t>À définir</t>
        </is>
      </c>
      <c r="AH237" s="2" t="inlineStr">
        <is>
          <t>Réparation d’origine si véhicule complet ; démontage si incomplet</t>
        </is>
      </c>
      <c r="AI237" s="2" t="inlineStr">
        <is>
          <t>À documenter</t>
        </is>
      </c>
      <c r="AJ237" s="2" t="inlineStr">
        <is>
          <t>À définir séparément des compatibilités historiques</t>
        </is>
      </c>
      <c r="AK237" s="2" t="inlineStr">
        <is>
          <t>À documenter</t>
        </is>
      </c>
      <c r="AL237" s="2" t="inlineStr">
        <is>
          <t>À rechercher / voir sources historiques</t>
        </is>
      </c>
      <c r="AM237" s="2" t="inlineStr">
        <is>
          <t>https://onwar.com/wwii/tanks/japan/index.html</t>
        </is>
      </c>
      <c r="AN237" s="2" t="inlineStr">
        <is>
          <t>Source de niveau variable ; contrôle par variante nécessaire</t>
        </is>
      </c>
      <c r="AO237" s="2" t="inlineStr">
        <is>
          <t>Non renseigné</t>
        </is>
      </c>
      <c r="AP237" s="2" t="inlineStr">
        <is>
          <t>Faible</t>
        </is>
      </c>
      <c r="AQ237" s="2" t="inlineStr">
        <is>
          <t>Partiel</t>
        </is>
      </c>
      <c r="AR237" s="2" t="inlineStr">
        <is>
          <t>Partiel — fiche à compléter</t>
        </is>
      </c>
      <c r="AS237" s="2" t="inlineStr">
        <is>
          <t>P2/P3</t>
        </is>
      </c>
      <c r="AT237" s="2" t="inlineStr">
        <is>
          <t>Char moyen tardif.</t>
        </is>
      </c>
      <c r="AU237" s="2" t="inlineStr">
        <is>
          <t>À intégrer après validation du prototype</t>
        </is>
      </c>
      <c r="AV237" s="2" t="inlineStr">
        <is>
          <t>Type 3 Chi-Nu : véhicule de catégorie « Chars moyens », d'origine Japon. Motorisation recensée : V12 diesel Mitsubishi (famille à confirmer). Variante historique à vérifier avant validation définitive.</t>
        </is>
      </c>
    </row>
    <row r="238" ht="60" customHeight="1">
      <c r="A238" s="2" t="inlineStr">
        <is>
          <t>VEH-237</t>
        </is>
      </c>
      <c r="B238" s="2" t="inlineStr">
        <is>
          <t>Chars moyens</t>
        </is>
      </c>
      <c r="C238" s="2" t="inlineStr">
        <is>
          <t>Type 4 Chi-To</t>
        </is>
      </c>
      <c r="D238" s="2" t="inlineStr">
        <is>
          <t>À distinguer si plusieurs variantes</t>
        </is>
      </c>
      <c r="E238" s="2" t="inlineStr">
        <is>
          <t>Japon</t>
        </is>
      </c>
      <c r="F238" s="2" t="inlineStr">
        <is>
          <t>À documenter</t>
        </is>
      </c>
      <c r="G238" s="2" t="inlineStr">
        <is>
          <t>À confirmer</t>
        </is>
      </c>
      <c r="H238" s="2" t="inlineStr">
        <is>
          <t>Chars moyens</t>
        </is>
      </c>
      <c r="I238" s="2" t="inlineStr">
        <is>
          <t>À définir</t>
        </is>
      </c>
      <c r="J238" s="2" t="n"/>
      <c r="K238" s="2" t="n"/>
      <c r="L238" s="2" t="n"/>
      <c r="M238" s="2" t="n"/>
      <c r="N238" s="2" t="n"/>
      <c r="O238" s="2" t="n"/>
      <c r="P238" s="2" t="inlineStr">
        <is>
          <t>V12 diesel Mitsubishi (prototype, détails à confirmer)</t>
        </is>
      </c>
      <c r="Q238" s="2" t="n"/>
      <c r="R238" s="2" t="n"/>
      <c r="S238" s="2" t="inlineStr">
        <is>
          <t>À confirmer</t>
        </is>
      </c>
      <c r="T238" s="2" t="n"/>
      <c r="U238" s="2" t="n"/>
      <c r="V238" s="2" t="n"/>
      <c r="W238" s="2" t="n"/>
      <c r="X238" s="2" t="inlineStr">
        <is>
          <t>À documenter</t>
        </is>
      </c>
      <c r="Y238" s="2" t="inlineStr">
        <is>
          <t>À documenter</t>
        </is>
      </c>
      <c r="Z238" s="2" t="inlineStr">
        <is>
          <t>À documenter</t>
        </is>
      </c>
      <c r="AA238" s="2" t="inlineStr">
        <is>
          <t>À documenter</t>
        </is>
      </c>
      <c r="AB238" s="2" t="inlineStr">
        <is>
          <t>À documenter</t>
        </is>
      </c>
      <c r="AC238" s="2" t="inlineStr">
        <is>
          <t>Canon de 75 mm Type 5; mitrailleuse Type 97 de 7,7 mm prévue</t>
        </is>
      </c>
      <c r="AD238" s="2" t="inlineStr">
        <is>
          <t>À documenter</t>
        </is>
      </c>
      <c r="AE238" s="2" t="inlineStr">
        <is>
          <t>À documenter</t>
        </is>
      </c>
      <c r="AF238" s="2" t="inlineStr">
        <is>
          <t>À définir</t>
        </is>
      </c>
      <c r="AG238" s="2" t="inlineStr">
        <is>
          <t>À définir</t>
        </is>
      </c>
      <c r="AH238" s="2" t="inlineStr">
        <is>
          <t>Réparation d’origine si véhicule complet ; démontage si incomplet</t>
        </is>
      </c>
      <c r="AI238" s="2" t="inlineStr">
        <is>
          <t>À documenter</t>
        </is>
      </c>
      <c r="AJ238" s="2" t="inlineStr">
        <is>
          <t>À définir séparément des compatibilités historiques</t>
        </is>
      </c>
      <c r="AK238" s="2" t="inlineStr">
        <is>
          <t>À documenter</t>
        </is>
      </c>
      <c r="AL238" s="2" t="inlineStr">
        <is>
          <t>À rechercher / voir sources historiques</t>
        </is>
      </c>
      <c r="AM238" s="2" t="inlineStr">
        <is>
          <t>https://onwar.com/wwii/tanks/japan/index.html</t>
        </is>
      </c>
      <c r="AN238" s="2" t="inlineStr">
        <is>
          <t>Source de niveau variable ; contrôle par variante nécessaire</t>
        </is>
      </c>
      <c r="AO238" s="2" t="inlineStr">
        <is>
          <t>Non renseigné</t>
        </is>
      </c>
      <c r="AP238" s="2" t="inlineStr">
        <is>
          <t>Faible</t>
        </is>
      </c>
      <c r="AQ238" s="2" t="inlineStr">
        <is>
          <t>Projet</t>
        </is>
      </c>
      <c r="AR238" s="2" t="inlineStr">
        <is>
          <t>Partiel — fiche à compléter</t>
        </is>
      </c>
      <c r="AS238" s="2" t="inlineStr">
        <is>
          <t>P2/P3</t>
        </is>
      </c>
      <c r="AT238" s="2" t="inlineStr">
        <is>
          <t>Prototype conçu pendant la guerre.</t>
        </is>
      </c>
      <c r="AU238" s="2" t="inlineStr">
        <is>
          <t>À intégrer après validation du prototype</t>
        </is>
      </c>
      <c r="AV238" s="2" t="inlineStr">
        <is>
          <t>Type 4 Chi-To : véhicule de catégorie « Chars moyens », d'origine Japon. Motorisation recensée : V12 diesel Mitsubishi (prototype, détails à confirmer). Variante historique à vérifier avant validation définitive.</t>
        </is>
      </c>
    </row>
    <row r="239" ht="60" customHeight="1">
      <c r="A239" s="2" t="inlineStr">
        <is>
          <t>VEH-238</t>
        </is>
      </c>
      <c r="B239" s="2" t="inlineStr">
        <is>
          <t>Chars lourds et prototypes</t>
        </is>
      </c>
      <c r="C239" s="2" t="inlineStr">
        <is>
          <t>Type 5 Chi-Ri</t>
        </is>
      </c>
      <c r="D239" s="2" t="inlineStr">
        <is>
          <t>À distinguer si plusieurs variantes</t>
        </is>
      </c>
      <c r="E239" s="2" t="inlineStr">
        <is>
          <t>Japon</t>
        </is>
      </c>
      <c r="F239" s="2" t="inlineStr">
        <is>
          <t>À documenter</t>
        </is>
      </c>
      <c r="G239" s="2" t="inlineStr">
        <is>
          <t>À confirmer</t>
        </is>
      </c>
      <c r="H239" s="2" t="inlineStr">
        <is>
          <t>Chars lourds et prototypes</t>
        </is>
      </c>
      <c r="I239" s="2" t="inlineStr">
        <is>
          <t>À définir</t>
        </is>
      </c>
      <c r="J239" s="2" t="n"/>
      <c r="K239" s="2" t="n"/>
      <c r="L239" s="2" t="n"/>
      <c r="M239" s="2" t="n"/>
      <c r="N239" s="2" t="n"/>
      <c r="O239" s="2" t="n"/>
      <c r="P239" s="2" t="inlineStr">
        <is>
          <t>V12 essence BMW / Kawasaki prévu, motorisation exacte à vérifier</t>
        </is>
      </c>
      <c r="Q239" s="2" t="n"/>
      <c r="R239" s="2" t="n"/>
      <c r="S239" s="2" t="inlineStr">
        <is>
          <t>À confirmer</t>
        </is>
      </c>
      <c r="T239" s="2" t="n"/>
      <c r="U239" s="2" t="n"/>
      <c r="V239" s="2" t="n"/>
      <c r="W239" s="2" t="n"/>
      <c r="X239" s="2" t="inlineStr">
        <is>
          <t>À documenter</t>
        </is>
      </c>
      <c r="Y239" s="2" t="inlineStr">
        <is>
          <t>À documenter</t>
        </is>
      </c>
      <c r="Z239" s="2" t="inlineStr">
        <is>
          <t>À documenter</t>
        </is>
      </c>
      <c r="AA239" s="2" t="inlineStr">
        <is>
          <t>À documenter</t>
        </is>
      </c>
      <c r="AB239" s="2" t="inlineStr">
        <is>
          <t>À documenter</t>
        </is>
      </c>
      <c r="AC239" s="2" t="inlineStr">
        <is>
          <t>Armement historique à déterminer précisément pour ce modèle/sa variante</t>
        </is>
      </c>
      <c r="AD239" s="2" t="inlineStr">
        <is>
          <t>À documenter</t>
        </is>
      </c>
      <c r="AE239" s="2" t="inlineStr">
        <is>
          <t>À documenter</t>
        </is>
      </c>
      <c r="AF239" s="2" t="inlineStr">
        <is>
          <t>À définir</t>
        </is>
      </c>
      <c r="AG239" s="2" t="inlineStr">
        <is>
          <t>À définir</t>
        </is>
      </c>
      <c r="AH239" s="2" t="inlineStr">
        <is>
          <t>Réparation d’origine si véhicule complet ; démontage si incomplet</t>
        </is>
      </c>
      <c r="AI239" s="2" t="inlineStr">
        <is>
          <t>À documenter</t>
        </is>
      </c>
      <c r="AJ239" s="2" t="inlineStr">
        <is>
          <t>À définir séparément des compatibilités historiques</t>
        </is>
      </c>
      <c r="AK239" s="2" t="inlineStr">
        <is>
          <t>À documenter</t>
        </is>
      </c>
      <c r="AL239" s="2" t="inlineStr">
        <is>
          <t>À rechercher / voir sources historiques</t>
        </is>
      </c>
      <c r="AM239" s="2" t="inlineStr">
        <is>
          <t>https://onwar.com/wwii/tanks/japan/index.html</t>
        </is>
      </c>
      <c r="AN239" s="2" t="inlineStr">
        <is>
          <t>Source de niveau variable ; contrôle par variante nécessaire</t>
        </is>
      </c>
      <c r="AO239" s="2" t="inlineStr">
        <is>
          <t>Non renseigné</t>
        </is>
      </c>
      <c r="AP239" s="2" t="inlineStr">
        <is>
          <t>Faible</t>
        </is>
      </c>
      <c r="AQ239" s="2" t="inlineStr">
        <is>
          <t>À vérifier</t>
        </is>
      </c>
      <c r="AR239" s="2" t="inlineStr">
        <is>
          <t>Partiel — fiche à compléter</t>
        </is>
      </c>
      <c r="AS239" s="2" t="inlineStr">
        <is>
          <t>P2/P3</t>
        </is>
      </c>
      <c r="AT239" s="2" t="inlineStr">
        <is>
          <t>Prototype inachevé ; distinguer moteur prévu et moteur opérationnel.</t>
        </is>
      </c>
      <c r="AU239" s="2" t="inlineStr">
        <is>
          <t>À intégrer après validation du prototype</t>
        </is>
      </c>
      <c r="AV239" s="2" t="inlineStr">
        <is>
          <t>Type 5 Chi-Ri : véhicule de catégorie « Chars lourds et prototypes », d'origine Japon. Motorisation recensée : V12 essence BMW / Kawasaki prévu, motorisation exacte à vérifier. Variante historique à vérifier avant validation définitive.</t>
        </is>
      </c>
    </row>
    <row r="240" ht="60" customHeight="1">
      <c r="A240" s="2" t="inlineStr">
        <is>
          <t>VEH-239</t>
        </is>
      </c>
      <c r="B240" s="2" t="inlineStr">
        <is>
          <t>Chars amphibies et spécialisés</t>
        </is>
      </c>
      <c r="C240" s="2" t="inlineStr">
        <is>
          <t>Type 2 Ka-Mi</t>
        </is>
      </c>
      <c r="D240" s="2" t="inlineStr">
        <is>
          <t>À distinguer si plusieurs variantes</t>
        </is>
      </c>
      <c r="E240" s="2" t="inlineStr">
        <is>
          <t>Japon</t>
        </is>
      </c>
      <c r="F240" s="2" t="inlineStr">
        <is>
          <t>À documenter</t>
        </is>
      </c>
      <c r="G240" s="2" t="inlineStr">
        <is>
          <t>À confirmer</t>
        </is>
      </c>
      <c r="H240" s="2" t="inlineStr">
        <is>
          <t>Chars amphibies et spécialisés</t>
        </is>
      </c>
      <c r="I240" s="2" t="inlineStr">
        <is>
          <t>À définir</t>
        </is>
      </c>
      <c r="J240" s="2" t="n"/>
      <c r="K240" s="2" t="n"/>
      <c r="L240" s="2" t="n"/>
      <c r="M240" s="2" t="n"/>
      <c r="N240" s="2" t="n"/>
      <c r="O240" s="2" t="n"/>
      <c r="P240" s="2" t="inlineStr">
        <is>
          <t>V12 diesel Mitsubishi (famille à confirmer)</t>
        </is>
      </c>
      <c r="Q240" s="2" t="n"/>
      <c r="R240" s="2" t="n"/>
      <c r="S240" s="2" t="inlineStr">
        <is>
          <t>À confirmer</t>
        </is>
      </c>
      <c r="T240" s="2" t="n"/>
      <c r="U240" s="2" t="n"/>
      <c r="V240" s="2" t="n"/>
      <c r="W240" s="2" t="n"/>
      <c r="X240" s="2" t="inlineStr">
        <is>
          <t>À documenter</t>
        </is>
      </c>
      <c r="Y240" s="2" t="inlineStr">
        <is>
          <t>À documenter</t>
        </is>
      </c>
      <c r="Z240" s="2" t="inlineStr">
        <is>
          <t>À documenter</t>
        </is>
      </c>
      <c r="AA240" s="2" t="inlineStr">
        <is>
          <t>À documenter</t>
        </is>
      </c>
      <c r="AB240" s="2" t="inlineStr">
        <is>
          <t>À documenter</t>
        </is>
      </c>
      <c r="AC240" s="2" t="inlineStr">
        <is>
          <t>Armement historique à déterminer précisément pour ce modèle/sa variante</t>
        </is>
      </c>
      <c r="AD240" s="2" t="inlineStr">
        <is>
          <t>À documenter</t>
        </is>
      </c>
      <c r="AE240" s="2" t="inlineStr">
        <is>
          <t>À documenter</t>
        </is>
      </c>
      <c r="AF240" s="2" t="inlineStr">
        <is>
          <t>À définir</t>
        </is>
      </c>
      <c r="AG240" s="2" t="inlineStr">
        <is>
          <t>À définir</t>
        </is>
      </c>
      <c r="AH240" s="2" t="inlineStr">
        <is>
          <t>Réparation d’origine si véhicule complet ; démontage si incomplet</t>
        </is>
      </c>
      <c r="AI240" s="2" t="inlineStr">
        <is>
          <t>À documenter</t>
        </is>
      </c>
      <c r="AJ240" s="2" t="inlineStr">
        <is>
          <t>À définir séparément des compatibilités historiques</t>
        </is>
      </c>
      <c r="AK240" s="2" t="inlineStr">
        <is>
          <t>À documenter</t>
        </is>
      </c>
      <c r="AL240" s="2" t="inlineStr">
        <is>
          <t>À rechercher / voir sources historiques</t>
        </is>
      </c>
      <c r="AM240" s="2" t="inlineStr">
        <is>
          <t>https://onwar.com/wwii/tanks/japan/index.html</t>
        </is>
      </c>
      <c r="AN240" s="2" t="inlineStr">
        <is>
          <t>Source de niveau variable ; contrôle par variante nécessaire</t>
        </is>
      </c>
      <c r="AO240" s="2" t="inlineStr">
        <is>
          <t>Non renseigné</t>
        </is>
      </c>
      <c r="AP240" s="2" t="inlineStr">
        <is>
          <t>Faible</t>
        </is>
      </c>
      <c r="AQ240" s="2" t="inlineStr">
        <is>
          <t>À vérifier</t>
        </is>
      </c>
      <c r="AR240" s="2" t="inlineStr">
        <is>
          <t>Partiel — fiche à compléter</t>
        </is>
      </c>
      <c r="AS240" s="2" t="inlineStr">
        <is>
          <t>P2/P3</t>
        </is>
      </c>
      <c r="AT240" s="2" t="inlineStr">
        <is>
          <t>Char amphibie à flotteurs démontables.</t>
        </is>
      </c>
      <c r="AU240" s="2" t="inlineStr">
        <is>
          <t>À intégrer après validation du prototype</t>
        </is>
      </c>
      <c r="AV240" s="2" t="inlineStr">
        <is>
          <t>Type 2 Ka-Mi : véhicule de catégorie « Chars amphibies et spécialisés », d'origine Japon. Motorisation recensée : V12 diesel Mitsubishi (famille à confirmer). Variante historique à vérifier avant validation définitive.</t>
        </is>
      </c>
    </row>
    <row r="241" ht="60" customHeight="1">
      <c r="A241" s="2" t="inlineStr">
        <is>
          <t>VEH-240</t>
        </is>
      </c>
      <c r="B241" s="2" t="inlineStr">
        <is>
          <t>Chars amphibies et spécialisés</t>
        </is>
      </c>
      <c r="C241" s="2" t="inlineStr">
        <is>
          <t>Type 3 Ka-Chi</t>
        </is>
      </c>
      <c r="D241" s="2" t="inlineStr">
        <is>
          <t>À distinguer si plusieurs variantes</t>
        </is>
      </c>
      <c r="E241" s="2" t="inlineStr">
        <is>
          <t>Japon</t>
        </is>
      </c>
      <c r="F241" s="2" t="inlineStr">
        <is>
          <t>À documenter</t>
        </is>
      </c>
      <c r="G241" s="2" t="inlineStr">
        <is>
          <t>À confirmer</t>
        </is>
      </c>
      <c r="H241" s="2" t="inlineStr">
        <is>
          <t>Chars amphibies et spécialisés</t>
        </is>
      </c>
      <c r="I241" s="2" t="inlineStr">
        <is>
          <t>À définir</t>
        </is>
      </c>
      <c r="J241" s="2" t="n"/>
      <c r="K241" s="2" t="n"/>
      <c r="L241" s="2" t="n"/>
      <c r="M241" s="2" t="n"/>
      <c r="N241" s="2" t="n"/>
      <c r="O241" s="2" t="n"/>
      <c r="P241" s="2" t="inlineStr">
        <is>
          <t>V12 diesel Mitsubishi (famille à confirmer)</t>
        </is>
      </c>
      <c r="Q241" s="2" t="n"/>
      <c r="R241" s="2" t="n"/>
      <c r="S241" s="2" t="inlineStr">
        <is>
          <t>À confirmer</t>
        </is>
      </c>
      <c r="T241" s="2" t="n"/>
      <c r="U241" s="2" t="n"/>
      <c r="V241" s="2" t="n"/>
      <c r="W241" s="2" t="n"/>
      <c r="X241" s="2" t="inlineStr">
        <is>
          <t>À documenter</t>
        </is>
      </c>
      <c r="Y241" s="2" t="inlineStr">
        <is>
          <t>À documenter</t>
        </is>
      </c>
      <c r="Z241" s="2" t="inlineStr">
        <is>
          <t>À documenter</t>
        </is>
      </c>
      <c r="AA241" s="2" t="inlineStr">
        <is>
          <t>À documenter</t>
        </is>
      </c>
      <c r="AB241" s="2" t="inlineStr">
        <is>
          <t>À documenter</t>
        </is>
      </c>
      <c r="AC241" s="2" t="inlineStr">
        <is>
          <t>Armement historique à déterminer précisément pour ce modèle/sa variante</t>
        </is>
      </c>
      <c r="AD241" s="2" t="inlineStr">
        <is>
          <t>À documenter</t>
        </is>
      </c>
      <c r="AE241" s="2" t="inlineStr">
        <is>
          <t>À documenter</t>
        </is>
      </c>
      <c r="AF241" s="2" t="inlineStr">
        <is>
          <t>À définir</t>
        </is>
      </c>
      <c r="AG241" s="2" t="inlineStr">
        <is>
          <t>À définir</t>
        </is>
      </c>
      <c r="AH241" s="2" t="inlineStr">
        <is>
          <t>Réparation d’origine si véhicule complet ; démontage si incomplet</t>
        </is>
      </c>
      <c r="AI241" s="2" t="inlineStr">
        <is>
          <t>À documenter</t>
        </is>
      </c>
      <c r="AJ241" s="2" t="inlineStr">
        <is>
          <t>À définir séparément des compatibilités historiques</t>
        </is>
      </c>
      <c r="AK241" s="2" t="inlineStr">
        <is>
          <t>À documenter</t>
        </is>
      </c>
      <c r="AL241" s="2" t="inlineStr">
        <is>
          <t>À rechercher / voir sources historiques</t>
        </is>
      </c>
      <c r="AM241" s="2" t="inlineStr">
        <is>
          <t>https://onwar.com/wwii/tanks/japan/index.html</t>
        </is>
      </c>
      <c r="AN241" s="2" t="inlineStr">
        <is>
          <t>Source de niveau variable ; contrôle par variante nécessaire</t>
        </is>
      </c>
      <c r="AO241" s="2" t="inlineStr">
        <is>
          <t>Non renseigné</t>
        </is>
      </c>
      <c r="AP241" s="2" t="inlineStr">
        <is>
          <t>Faible</t>
        </is>
      </c>
      <c r="AQ241" s="2" t="inlineStr">
        <is>
          <t>À vérifier</t>
        </is>
      </c>
      <c r="AR241" s="2" t="inlineStr">
        <is>
          <t>Partiel — fiche à compléter</t>
        </is>
      </c>
      <c r="AS241" s="2" t="inlineStr">
        <is>
          <t>P2/P3</t>
        </is>
      </c>
      <c r="AT241" s="2" t="inlineStr">
        <is>
          <t>Char amphibie plus grand.</t>
        </is>
      </c>
      <c r="AU241" s="2" t="inlineStr">
        <is>
          <t>À intégrer après validation du prototype</t>
        </is>
      </c>
      <c r="AV241" s="2" t="inlineStr">
        <is>
          <t>Type 3 Ka-Chi : véhicule de catégorie « Chars amphibies et spécialisés », d'origine Japon. Motorisation recensée : V12 diesel Mitsubishi (famille à confirmer). Variante historique à vérifier avant validation définitive.</t>
        </is>
      </c>
    </row>
    <row r="242" ht="60" customHeight="1">
      <c r="A242" s="2" t="inlineStr">
        <is>
          <t>VEH-241</t>
        </is>
      </c>
      <c r="B242" s="2" t="inlineStr">
        <is>
          <t>Chasseurs de chars et canons automoteurs</t>
        </is>
      </c>
      <c r="C242" s="2" t="inlineStr">
        <is>
          <t>Ho-Ni I</t>
        </is>
      </c>
      <c r="D242" s="2" t="inlineStr">
        <is>
          <t>À distinguer si plusieurs variantes</t>
        </is>
      </c>
      <c r="E242" s="2" t="inlineStr">
        <is>
          <t>Japon</t>
        </is>
      </c>
      <c r="F242" s="2" t="inlineStr">
        <is>
          <t>À documenter</t>
        </is>
      </c>
      <c r="G242" s="2" t="inlineStr">
        <is>
          <t>À confirmer</t>
        </is>
      </c>
      <c r="H242" s="2" t="inlineStr">
        <is>
          <t>Chasseurs de chars et canons automoteurs</t>
        </is>
      </c>
      <c r="I242" s="2" t="inlineStr">
        <is>
          <t>À définir</t>
        </is>
      </c>
      <c r="J242" s="2" t="n"/>
      <c r="K242" s="2" t="n"/>
      <c r="L242" s="2" t="n"/>
      <c r="M242" s="2" t="n"/>
      <c r="N242" s="2" t="n"/>
      <c r="O242" s="2" t="n"/>
      <c r="P242" s="2" t="inlineStr">
        <is>
          <t>V12 diesel Mitsubishi (famille Chi-Ha)</t>
        </is>
      </c>
      <c r="Q242" s="2" t="n"/>
      <c r="R242" s="2" t="n"/>
      <c r="S242" s="2" t="inlineStr">
        <is>
          <t>À confirmer</t>
        </is>
      </c>
      <c r="T242" s="2" t="n"/>
      <c r="U242" s="2" t="n"/>
      <c r="V242" s="2" t="n"/>
      <c r="W242" s="2" t="n"/>
      <c r="X242" s="2" t="inlineStr">
        <is>
          <t>À documenter</t>
        </is>
      </c>
      <c r="Y242" s="2" t="inlineStr">
        <is>
          <t>À documenter</t>
        </is>
      </c>
      <c r="Z242" s="2" t="inlineStr">
        <is>
          <t>À documenter</t>
        </is>
      </c>
      <c r="AA242" s="2" t="inlineStr">
        <is>
          <t>À documenter</t>
        </is>
      </c>
      <c r="AB242" s="2" t="inlineStr">
        <is>
          <t>À documenter</t>
        </is>
      </c>
      <c r="AC242" s="2" t="inlineStr">
        <is>
          <t>Armement historique à déterminer précisément pour ce modèle/sa variante</t>
        </is>
      </c>
      <c r="AD242" s="2" t="inlineStr">
        <is>
          <t>À documenter</t>
        </is>
      </c>
      <c r="AE242" s="2" t="inlineStr">
        <is>
          <t>À documenter</t>
        </is>
      </c>
      <c r="AF242" s="2" t="inlineStr">
        <is>
          <t>À définir</t>
        </is>
      </c>
      <c r="AG242" s="2" t="inlineStr">
        <is>
          <t>À définir</t>
        </is>
      </c>
      <c r="AH242" s="2" t="inlineStr">
        <is>
          <t>Réparation d’origine si véhicule complet ; démontage si incomplet</t>
        </is>
      </c>
      <c r="AI242" s="2" t="inlineStr">
        <is>
          <t>À documenter</t>
        </is>
      </c>
      <c r="AJ242" s="2" t="inlineStr">
        <is>
          <t>À définir séparément des compatibilités historiques</t>
        </is>
      </c>
      <c r="AK242" s="2" t="inlineStr">
        <is>
          <t>À documenter</t>
        </is>
      </c>
      <c r="AL242" s="2" t="inlineStr">
        <is>
          <t>À rechercher / voir sources historiques</t>
        </is>
      </c>
      <c r="AM242" s="2" t="inlineStr">
        <is>
          <t>https://onwar.com/wwii/tanks/japan/index.html</t>
        </is>
      </c>
      <c r="AN242" s="2" t="inlineStr">
        <is>
          <t>Source de niveau variable ; contrôle par variante nécessaire</t>
        </is>
      </c>
      <c r="AO242" s="2" t="inlineStr">
        <is>
          <t>Non renseigné</t>
        </is>
      </c>
      <c r="AP242" s="2" t="inlineStr">
        <is>
          <t>Faible</t>
        </is>
      </c>
      <c r="AQ242" s="2" t="inlineStr">
        <is>
          <t>À vérifier</t>
        </is>
      </c>
      <c r="AR242" s="2" t="inlineStr">
        <is>
          <t>Partiel — fiche à compléter</t>
        </is>
      </c>
      <c r="AS242" s="2" t="inlineStr">
        <is>
          <t>P2/P3</t>
        </is>
      </c>
      <c r="AT242" s="2" t="inlineStr">
        <is>
          <t>Canon automoteur sur châssis Chi-Ha.</t>
        </is>
      </c>
      <c r="AU242" s="2" t="inlineStr">
        <is>
          <t>À intégrer après validation du prototype</t>
        </is>
      </c>
      <c r="AV242" s="2" t="inlineStr">
        <is>
          <t>Ho-Ni I : véhicule de catégorie « Chasseurs de chars et canons automoteurs », d'origine Japon. Motorisation recensée : V12 diesel Mitsubishi (famille Chi-Ha). Variante historique à vérifier avant validation définitive.</t>
        </is>
      </c>
    </row>
    <row r="243" ht="60" customHeight="1">
      <c r="A243" s="2" t="inlineStr">
        <is>
          <t>VEH-242</t>
        </is>
      </c>
      <c r="B243" s="2" t="inlineStr">
        <is>
          <t>Chars légers et chars anciens</t>
        </is>
      </c>
      <c r="C243" s="2" t="inlineStr">
        <is>
          <t>L3/33</t>
        </is>
      </c>
      <c r="D243" s="2" t="inlineStr">
        <is>
          <t>À distinguer si plusieurs variantes</t>
        </is>
      </c>
      <c r="E243" s="2" t="inlineStr">
        <is>
          <t>Italie</t>
        </is>
      </c>
      <c r="F243" s="2" t="inlineStr">
        <is>
          <t>À documenter</t>
        </is>
      </c>
      <c r="G243" s="2" t="inlineStr">
        <is>
          <t>À confirmer</t>
        </is>
      </c>
      <c r="H243" s="2" t="inlineStr">
        <is>
          <t>Chars légers et chars anciens</t>
        </is>
      </c>
      <c r="I243" s="2" t="inlineStr">
        <is>
          <t>À définir</t>
        </is>
      </c>
      <c r="J243" s="2" t="n"/>
      <c r="K243" s="2" t="n"/>
      <c r="L243" s="2" t="n"/>
      <c r="M243" s="2" t="n"/>
      <c r="N243" s="2" t="n"/>
      <c r="O243" s="2" t="n"/>
      <c r="P243" s="2" t="inlineStr">
        <is>
          <t>4 cylindres essence Fiat</t>
        </is>
      </c>
      <c r="Q243" s="2" t="n"/>
      <c r="R243" s="2" t="n"/>
      <c r="S243" s="2" t="inlineStr">
        <is>
          <t>À confirmer</t>
        </is>
      </c>
      <c r="T243" s="2" t="n"/>
      <c r="U243" s="2" t="n"/>
      <c r="V243" s="2" t="n"/>
      <c r="W243" s="2" t="n"/>
      <c r="X243" s="2" t="inlineStr">
        <is>
          <t>À documenter</t>
        </is>
      </c>
      <c r="Y243" s="2" t="inlineStr">
        <is>
          <t>À documenter</t>
        </is>
      </c>
      <c r="Z243" s="2" t="inlineStr">
        <is>
          <t>À documenter</t>
        </is>
      </c>
      <c r="AA243" s="2" t="inlineStr">
        <is>
          <t>À documenter</t>
        </is>
      </c>
      <c r="AB243" s="2" t="inlineStr">
        <is>
          <t>À documenter</t>
        </is>
      </c>
      <c r="AC243" s="2" t="inlineStr">
        <is>
          <t>Armement historique à déterminer précisément pour ce modèle/sa variante</t>
        </is>
      </c>
      <c r="AD243" s="2" t="inlineStr">
        <is>
          <t>À documenter</t>
        </is>
      </c>
      <c r="AE243" s="2" t="inlineStr">
        <is>
          <t>À documenter</t>
        </is>
      </c>
      <c r="AF243" s="2" t="inlineStr">
        <is>
          <t>À définir</t>
        </is>
      </c>
      <c r="AG243" s="2" t="inlineStr">
        <is>
          <t>À définir</t>
        </is>
      </c>
      <c r="AH243" s="2" t="inlineStr">
        <is>
          <t>Réparation d’origine si véhicule complet ; démontage si incomplet</t>
        </is>
      </c>
      <c r="AI243" s="2" t="inlineStr">
        <is>
          <t>À documenter</t>
        </is>
      </c>
      <c r="AJ243" s="2" t="inlineStr">
        <is>
          <t>À définir séparément des compatibilités historiques</t>
        </is>
      </c>
      <c r="AK243" s="2" t="inlineStr">
        <is>
          <t>À documenter</t>
        </is>
      </c>
      <c r="AL243" s="2" t="inlineStr">
        <is>
          <t>À rechercher / voir sources historiques</t>
        </is>
      </c>
      <c r="AM243" s="2" t="inlineStr">
        <is>
          <t>https://onwar.com/tanks/italy/index.htm</t>
        </is>
      </c>
      <c r="AN243" s="2" t="inlineStr">
        <is>
          <t>Source de niveau variable ; contrôle par variante nécessaire</t>
        </is>
      </c>
      <c r="AO243" s="2" t="inlineStr">
        <is>
          <t>Non renseigné</t>
        </is>
      </c>
      <c r="AP243" s="2" t="inlineStr">
        <is>
          <t>Faible</t>
        </is>
      </c>
      <c r="AQ243" s="2" t="inlineStr">
        <is>
          <t>À vérifier</t>
        </is>
      </c>
      <c r="AR243" s="2" t="inlineStr">
        <is>
          <t>Partiel — fiche à compléter</t>
        </is>
      </c>
      <c r="AS243" s="2" t="inlineStr">
        <is>
          <t>P2/P3</t>
        </is>
      </c>
      <c r="AT243" s="2" t="inlineStr">
        <is>
          <t>Tankette légère.</t>
        </is>
      </c>
      <c r="AU243" s="2" t="inlineStr">
        <is>
          <t>À intégrer après validation du prototype</t>
        </is>
      </c>
      <c r="AV243" s="2" t="inlineStr">
        <is>
          <t>L3/33 : véhicule de catégorie « Chars légers et chars anciens », d'origine Italie. Motorisation recensée : 4 cylindres essence Fiat. Variante historique à vérifier avant validation définitive.</t>
        </is>
      </c>
    </row>
    <row r="244" ht="60" customHeight="1">
      <c r="A244" s="2" t="inlineStr">
        <is>
          <t>VEH-243</t>
        </is>
      </c>
      <c r="B244" s="2" t="inlineStr">
        <is>
          <t>Chars légers et chars anciens</t>
        </is>
      </c>
      <c r="C244" s="2" t="inlineStr">
        <is>
          <t>L3/35</t>
        </is>
      </c>
      <c r="D244" s="2" t="inlineStr">
        <is>
          <t>À distinguer si plusieurs variantes</t>
        </is>
      </c>
      <c r="E244" s="2" t="inlineStr">
        <is>
          <t>Italie</t>
        </is>
      </c>
      <c r="F244" s="2" t="inlineStr">
        <is>
          <t>À documenter</t>
        </is>
      </c>
      <c r="G244" s="2" t="inlineStr">
        <is>
          <t>À confirmer</t>
        </is>
      </c>
      <c r="H244" s="2" t="inlineStr">
        <is>
          <t>Chars légers et chars anciens</t>
        </is>
      </c>
      <c r="I244" s="2" t="inlineStr">
        <is>
          <t>À définir</t>
        </is>
      </c>
      <c r="J244" s="2" t="n"/>
      <c r="K244" s="2" t="n"/>
      <c r="L244" s="2" t="n"/>
      <c r="M244" s="2" t="n"/>
      <c r="N244" s="2" t="n"/>
      <c r="O244" s="2" t="n"/>
      <c r="P244" s="2" t="inlineStr">
        <is>
          <t>4 cylindres essence Fiat</t>
        </is>
      </c>
      <c r="Q244" s="2" t="n"/>
      <c r="R244" s="2" t="n"/>
      <c r="S244" s="2" t="inlineStr">
        <is>
          <t>À confirmer</t>
        </is>
      </c>
      <c r="T244" s="2" t="n"/>
      <c r="U244" s="2" t="n"/>
      <c r="V244" s="2" t="n"/>
      <c r="W244" s="2" t="n"/>
      <c r="X244" s="2" t="inlineStr">
        <is>
          <t>À documenter</t>
        </is>
      </c>
      <c r="Y244" s="2" t="inlineStr">
        <is>
          <t>À documenter</t>
        </is>
      </c>
      <c r="Z244" s="2" t="inlineStr">
        <is>
          <t>À documenter</t>
        </is>
      </c>
      <c r="AA244" s="2" t="inlineStr">
        <is>
          <t>À documenter</t>
        </is>
      </c>
      <c r="AB244" s="2" t="inlineStr">
        <is>
          <t>À documenter</t>
        </is>
      </c>
      <c r="AC244" s="2" t="inlineStr">
        <is>
          <t>Armement historique à déterminer précisément pour ce modèle/sa variante</t>
        </is>
      </c>
      <c r="AD244" s="2" t="inlineStr">
        <is>
          <t>À documenter</t>
        </is>
      </c>
      <c r="AE244" s="2" t="inlineStr">
        <is>
          <t>À documenter</t>
        </is>
      </c>
      <c r="AF244" s="2" t="inlineStr">
        <is>
          <t>À définir</t>
        </is>
      </c>
      <c r="AG244" s="2" t="inlineStr">
        <is>
          <t>À définir</t>
        </is>
      </c>
      <c r="AH244" s="2" t="inlineStr">
        <is>
          <t>Réparation d’origine si véhicule complet ; démontage si incomplet</t>
        </is>
      </c>
      <c r="AI244" s="2" t="inlineStr">
        <is>
          <t>À documenter</t>
        </is>
      </c>
      <c r="AJ244" s="2" t="inlineStr">
        <is>
          <t>À définir séparément des compatibilités historiques</t>
        </is>
      </c>
      <c r="AK244" s="2" t="inlineStr">
        <is>
          <t>À documenter</t>
        </is>
      </c>
      <c r="AL244" s="2" t="inlineStr">
        <is>
          <t>À rechercher / voir sources historiques</t>
        </is>
      </c>
      <c r="AM244" s="2" t="inlineStr">
        <is>
          <t>https://onwar.com/tanks/italy/index.htm</t>
        </is>
      </c>
      <c r="AN244" s="2" t="inlineStr">
        <is>
          <t>Source de niveau variable ; contrôle par variante nécessaire</t>
        </is>
      </c>
      <c r="AO244" s="2" t="inlineStr">
        <is>
          <t>Non renseigné</t>
        </is>
      </c>
      <c r="AP244" s="2" t="inlineStr">
        <is>
          <t>Faible</t>
        </is>
      </c>
      <c r="AQ244" s="2" t="inlineStr">
        <is>
          <t>À vérifier</t>
        </is>
      </c>
      <c r="AR244" s="2" t="inlineStr">
        <is>
          <t>Partiel — fiche à compléter</t>
        </is>
      </c>
      <c r="AS244" s="2" t="inlineStr">
        <is>
          <t>P2/P3</t>
        </is>
      </c>
      <c r="AT244" s="2" t="inlineStr">
        <is>
          <t>Évolution du L3/33.</t>
        </is>
      </c>
      <c r="AU244" s="2" t="inlineStr">
        <is>
          <t>À intégrer après validation du prototype</t>
        </is>
      </c>
      <c r="AV244" s="2" t="inlineStr">
        <is>
          <t>L3/35 : véhicule de catégorie « Chars légers et chars anciens », d'origine Italie. Motorisation recensée : 4 cylindres essence Fiat. Variante historique à vérifier avant validation définitive.</t>
        </is>
      </c>
    </row>
    <row r="245" ht="60" customHeight="1">
      <c r="A245" s="2" t="inlineStr">
        <is>
          <t>VEH-244</t>
        </is>
      </c>
      <c r="B245" s="2" t="inlineStr">
        <is>
          <t>Chars légers et chars anciens</t>
        </is>
      </c>
      <c r="C245" s="2" t="inlineStr">
        <is>
          <t>L6/40</t>
        </is>
      </c>
      <c r="D245" s="2" t="inlineStr">
        <is>
          <t>À distinguer si plusieurs variantes</t>
        </is>
      </c>
      <c r="E245" s="2" t="inlineStr">
        <is>
          <t>Italie</t>
        </is>
      </c>
      <c r="F245" s="2" t="inlineStr">
        <is>
          <t>À documenter</t>
        </is>
      </c>
      <c r="G245" s="2" t="inlineStr">
        <is>
          <t>À confirmer</t>
        </is>
      </c>
      <c r="H245" s="2" t="inlineStr">
        <is>
          <t>Chars légers et chars anciens</t>
        </is>
      </c>
      <c r="I245" s="2" t="inlineStr">
        <is>
          <t>À définir</t>
        </is>
      </c>
      <c r="J245" s="2" t="n"/>
      <c r="K245" s="2" t="n"/>
      <c r="L245" s="2" t="n"/>
      <c r="M245" s="2" t="n"/>
      <c r="N245" s="2" t="n"/>
      <c r="O245" s="2" t="n"/>
      <c r="P245" s="2" t="inlineStr">
        <is>
          <t>4 cylindres diesel SPA 18T</t>
        </is>
      </c>
      <c r="Q245" s="2" t="n"/>
      <c r="R245" s="2" t="n"/>
      <c r="S245" s="2" t="inlineStr">
        <is>
          <t>À confirmer</t>
        </is>
      </c>
      <c r="T245" s="2" t="n"/>
      <c r="U245" s="2" t="n"/>
      <c r="V245" s="2" t="n"/>
      <c r="W245" s="2" t="n"/>
      <c r="X245" s="2" t="inlineStr">
        <is>
          <t>À documenter</t>
        </is>
      </c>
      <c r="Y245" s="2" t="inlineStr">
        <is>
          <t>À documenter</t>
        </is>
      </c>
      <c r="Z245" s="2" t="inlineStr">
        <is>
          <t>À documenter</t>
        </is>
      </c>
      <c r="AA245" s="2" t="inlineStr">
        <is>
          <t>À documenter</t>
        </is>
      </c>
      <c r="AB245" s="2" t="inlineStr">
        <is>
          <t>À documenter</t>
        </is>
      </c>
      <c r="AC245" s="2" t="inlineStr">
        <is>
          <t>Armement historique à déterminer précisément pour ce modèle/sa variante</t>
        </is>
      </c>
      <c r="AD245" s="2" t="inlineStr">
        <is>
          <t>À documenter</t>
        </is>
      </c>
      <c r="AE245" s="2" t="inlineStr">
        <is>
          <t>À documenter</t>
        </is>
      </c>
      <c r="AF245" s="2" t="inlineStr">
        <is>
          <t>À définir</t>
        </is>
      </c>
      <c r="AG245" s="2" t="inlineStr">
        <is>
          <t>À définir</t>
        </is>
      </c>
      <c r="AH245" s="2" t="inlineStr">
        <is>
          <t>Réparation d’origine si véhicule complet ; démontage si incomplet</t>
        </is>
      </c>
      <c r="AI245" s="2" t="inlineStr">
        <is>
          <t>À documenter</t>
        </is>
      </c>
      <c r="AJ245" s="2" t="inlineStr">
        <is>
          <t>À définir séparément des compatibilités historiques</t>
        </is>
      </c>
      <c r="AK245" s="2" t="inlineStr">
        <is>
          <t>À documenter</t>
        </is>
      </c>
      <c r="AL245" s="2" t="inlineStr">
        <is>
          <t>À rechercher / voir sources historiques</t>
        </is>
      </c>
      <c r="AM245" s="2" t="inlineStr">
        <is>
          <t>https://onwar.com/tanks/italy/index.htm</t>
        </is>
      </c>
      <c r="AN245" s="2" t="inlineStr">
        <is>
          <t>Source de niveau variable ; contrôle par variante nécessaire</t>
        </is>
      </c>
      <c r="AO245" s="2" t="inlineStr">
        <is>
          <t>Non renseigné</t>
        </is>
      </c>
      <c r="AP245" s="2" t="inlineStr">
        <is>
          <t>Faible</t>
        </is>
      </c>
      <c r="AQ245" s="2" t="inlineStr">
        <is>
          <t>À vérifier</t>
        </is>
      </c>
      <c r="AR245" s="2" t="inlineStr">
        <is>
          <t>Partiel — fiche à compléter</t>
        </is>
      </c>
      <c r="AS245" s="2" t="inlineStr">
        <is>
          <t>P2/P3</t>
        </is>
      </c>
      <c r="AT245" s="2" t="inlineStr">
        <is>
          <t>Char léger à moteur diesel.</t>
        </is>
      </c>
      <c r="AU245" s="2" t="inlineStr">
        <is>
          <t>À intégrer après validation du prototype</t>
        </is>
      </c>
      <c r="AV245" s="2" t="inlineStr">
        <is>
          <t>L6/40 : véhicule de catégorie « Chars légers et chars anciens », d'origine Italie. Motorisation recensée : 4 cylindres diesel SPA 18T. Variante historique à vérifier avant validation définitive.</t>
        </is>
      </c>
    </row>
    <row r="246" ht="60" customHeight="1">
      <c r="A246" s="2" t="inlineStr">
        <is>
          <t>VEH-245</t>
        </is>
      </c>
      <c r="B246" s="2" t="inlineStr">
        <is>
          <t>Chars moyens</t>
        </is>
      </c>
      <c r="C246" s="2" t="inlineStr">
        <is>
          <t>M11/39</t>
        </is>
      </c>
      <c r="D246" s="2" t="inlineStr">
        <is>
          <t>À distinguer si plusieurs variantes</t>
        </is>
      </c>
      <c r="E246" s="2" t="inlineStr">
        <is>
          <t>Italie</t>
        </is>
      </c>
      <c r="F246" s="2" t="inlineStr">
        <is>
          <t>À documenter</t>
        </is>
      </c>
      <c r="G246" s="2" t="inlineStr">
        <is>
          <t>À confirmer</t>
        </is>
      </c>
      <c r="H246" s="2" t="inlineStr">
        <is>
          <t>Chars moyens</t>
        </is>
      </c>
      <c r="I246" s="2" t="inlineStr">
        <is>
          <t>À définir</t>
        </is>
      </c>
      <c r="J246" s="2" t="n"/>
      <c r="K246" s="2" t="n"/>
      <c r="L246" s="2" t="n"/>
      <c r="M246" s="2" t="n"/>
      <c r="N246" s="2" t="n"/>
      <c r="O246" s="2" t="n"/>
      <c r="P246" s="2" t="inlineStr">
        <is>
          <t>8 cylindres diesel SPA 8T</t>
        </is>
      </c>
      <c r="Q246" s="2" t="n"/>
      <c r="R246" s="2" t="n"/>
      <c r="S246" s="2" t="inlineStr">
        <is>
          <t>À confirmer</t>
        </is>
      </c>
      <c r="T246" s="2" t="n"/>
      <c r="U246" s="2" t="n"/>
      <c r="V246" s="2" t="n"/>
      <c r="W246" s="2" t="n"/>
      <c r="X246" s="2" t="inlineStr">
        <is>
          <t>À documenter</t>
        </is>
      </c>
      <c r="Y246" s="2" t="inlineStr">
        <is>
          <t>À documenter</t>
        </is>
      </c>
      <c r="Z246" s="2" t="inlineStr">
        <is>
          <t>À documenter</t>
        </is>
      </c>
      <c r="AA246" s="2" t="inlineStr">
        <is>
          <t>À documenter</t>
        </is>
      </c>
      <c r="AB246" s="2" t="inlineStr">
        <is>
          <t>À documenter</t>
        </is>
      </c>
      <c r="AC246" s="2" t="inlineStr">
        <is>
          <t>Armement historique à déterminer précisément pour ce modèle/sa variante</t>
        </is>
      </c>
      <c r="AD246" s="2" t="inlineStr">
        <is>
          <t>À documenter</t>
        </is>
      </c>
      <c r="AE246" s="2" t="inlineStr">
        <is>
          <t>À documenter</t>
        </is>
      </c>
      <c r="AF246" s="2" t="inlineStr">
        <is>
          <t>À définir</t>
        </is>
      </c>
      <c r="AG246" s="2" t="inlineStr">
        <is>
          <t>À définir</t>
        </is>
      </c>
      <c r="AH246" s="2" t="inlineStr">
        <is>
          <t>Réparation d’origine si véhicule complet ; démontage si incomplet</t>
        </is>
      </c>
      <c r="AI246" s="2" t="inlineStr">
        <is>
          <t>À documenter</t>
        </is>
      </c>
      <c r="AJ246" s="2" t="inlineStr">
        <is>
          <t>À définir séparément des compatibilités historiques</t>
        </is>
      </c>
      <c r="AK246" s="2" t="inlineStr">
        <is>
          <t>À documenter</t>
        </is>
      </c>
      <c r="AL246" s="2" t="inlineStr">
        <is>
          <t>À rechercher / voir sources historiques</t>
        </is>
      </c>
      <c r="AM246" s="2" t="inlineStr">
        <is>
          <t>https://onwar.com/tanks/italy/index.htm</t>
        </is>
      </c>
      <c r="AN246" s="2" t="inlineStr">
        <is>
          <t>Source de niveau variable ; contrôle par variante nécessaire</t>
        </is>
      </c>
      <c r="AO246" s="2" t="inlineStr">
        <is>
          <t>Non renseigné</t>
        </is>
      </c>
      <c r="AP246" s="2" t="inlineStr">
        <is>
          <t>Faible</t>
        </is>
      </c>
      <c r="AQ246" s="2" t="inlineStr">
        <is>
          <t>À vérifier</t>
        </is>
      </c>
      <c r="AR246" s="2" t="inlineStr">
        <is>
          <t>Partiel — fiche à compléter</t>
        </is>
      </c>
      <c r="AS246" s="2" t="inlineStr">
        <is>
          <t>P2/P3</t>
        </is>
      </c>
      <c r="AT246" s="2" t="inlineStr">
        <is>
          <t>Char moyen initial.</t>
        </is>
      </c>
      <c r="AU246" s="2" t="inlineStr">
        <is>
          <t>À intégrer après validation du prototype</t>
        </is>
      </c>
      <c r="AV246" s="2" t="inlineStr">
        <is>
          <t>M11/39 : véhicule de catégorie « Chars moyens », d'origine Italie. Motorisation recensée : 8 cylindres diesel SPA 8T. Variante historique à vérifier avant validation définitive.</t>
        </is>
      </c>
    </row>
    <row r="247" ht="60" customHeight="1">
      <c r="A247" s="2" t="inlineStr">
        <is>
          <t>VEH-246</t>
        </is>
      </c>
      <c r="B247" s="2" t="inlineStr">
        <is>
          <t>Chars moyens</t>
        </is>
      </c>
      <c r="C247" s="2" t="inlineStr">
        <is>
          <t>M14/41</t>
        </is>
      </c>
      <c r="D247" s="2" t="inlineStr">
        <is>
          <t>À distinguer si plusieurs variantes</t>
        </is>
      </c>
      <c r="E247" s="2" t="inlineStr">
        <is>
          <t>Italie</t>
        </is>
      </c>
      <c r="F247" s="2" t="inlineStr">
        <is>
          <t>À documenter</t>
        </is>
      </c>
      <c r="G247" s="2" t="inlineStr">
        <is>
          <t>À confirmer</t>
        </is>
      </c>
      <c r="H247" s="2" t="inlineStr">
        <is>
          <t>Chars moyens</t>
        </is>
      </c>
      <c r="I247" s="2" t="inlineStr">
        <is>
          <t>À définir</t>
        </is>
      </c>
      <c r="J247" s="2" t="n"/>
      <c r="K247" s="2" t="n"/>
      <c r="L247" s="2" t="n"/>
      <c r="M247" s="2" t="n"/>
      <c r="N247" s="2" t="n"/>
      <c r="O247" s="2" t="n"/>
      <c r="P247" s="2" t="inlineStr">
        <is>
          <t>8 cylindres diesel SPA 15T</t>
        </is>
      </c>
      <c r="Q247" s="2" t="n"/>
      <c r="R247" s="2" t="n"/>
      <c r="S247" s="2" t="inlineStr">
        <is>
          <t>À confirmer</t>
        </is>
      </c>
      <c r="T247" s="2" t="n"/>
      <c r="U247" s="2" t="n"/>
      <c r="V247" s="2" t="n"/>
      <c r="W247" s="2" t="n"/>
      <c r="X247" s="2" t="inlineStr">
        <is>
          <t>À documenter</t>
        </is>
      </c>
      <c r="Y247" s="2" t="inlineStr">
        <is>
          <t>À documenter</t>
        </is>
      </c>
      <c r="Z247" s="2" t="inlineStr">
        <is>
          <t>À documenter</t>
        </is>
      </c>
      <c r="AA247" s="2" t="inlineStr">
        <is>
          <t>À documenter</t>
        </is>
      </c>
      <c r="AB247" s="2" t="inlineStr">
        <is>
          <t>À documenter</t>
        </is>
      </c>
      <c r="AC247" s="2" t="inlineStr">
        <is>
          <t>Canon de 47/32 mm; mitrailleuses Breda 8 mm</t>
        </is>
      </c>
      <c r="AD247" s="2" t="inlineStr">
        <is>
          <t>À documenter</t>
        </is>
      </c>
      <c r="AE247" s="2" t="inlineStr">
        <is>
          <t>À documenter</t>
        </is>
      </c>
      <c r="AF247" s="2" t="inlineStr">
        <is>
          <t>À définir</t>
        </is>
      </c>
      <c r="AG247" s="2" t="inlineStr">
        <is>
          <t>À définir</t>
        </is>
      </c>
      <c r="AH247" s="2" t="inlineStr">
        <is>
          <t>Réparation d’origine si véhicule complet ; démontage si incomplet</t>
        </is>
      </c>
      <c r="AI247" s="2" t="inlineStr">
        <is>
          <t>À documenter</t>
        </is>
      </c>
      <c r="AJ247" s="2" t="inlineStr">
        <is>
          <t>À définir séparément des compatibilités historiques</t>
        </is>
      </c>
      <c r="AK247" s="2" t="inlineStr">
        <is>
          <t>À documenter</t>
        </is>
      </c>
      <c r="AL247" s="2" t="inlineStr">
        <is>
          <t>À rechercher / voir sources historiques</t>
        </is>
      </c>
      <c r="AM247" s="2" t="inlineStr">
        <is>
          <t>https://onwar.com/tanks/italy/index.htm</t>
        </is>
      </c>
      <c r="AN247" s="2" t="inlineStr">
        <is>
          <t>Source de niveau variable ; contrôle par variante nécessaire</t>
        </is>
      </c>
      <c r="AO247" s="2" t="inlineStr">
        <is>
          <t>Non renseigné</t>
        </is>
      </c>
      <c r="AP247" s="2" t="inlineStr">
        <is>
          <t>Faible</t>
        </is>
      </c>
      <c r="AQ247" s="2" t="inlineStr">
        <is>
          <t>Partiel</t>
        </is>
      </c>
      <c r="AR247" s="2" t="inlineStr">
        <is>
          <t>Partiel — fiche à compléter</t>
        </is>
      </c>
      <c r="AS247" s="2" t="inlineStr">
        <is>
          <t>P2/P3</t>
        </is>
      </c>
      <c r="AT247" s="2" t="inlineStr">
        <is>
          <t>Évolution du M13/40.</t>
        </is>
      </c>
      <c r="AU247" s="2" t="inlineStr">
        <is>
          <t>À intégrer après validation du prototype</t>
        </is>
      </c>
      <c r="AV247" s="2" t="inlineStr">
        <is>
          <t>M14/41 : véhicule de catégorie « Chars moyens », d'origine Italie. Motorisation recensée : 8 cylindres diesel SPA 15T. Variante historique à vérifier avant validation définitive.</t>
        </is>
      </c>
    </row>
    <row r="248" ht="60" customHeight="1">
      <c r="A248" s="2" t="inlineStr">
        <is>
          <t>VEH-247</t>
        </is>
      </c>
      <c r="B248" s="2" t="inlineStr">
        <is>
          <t>Chars lourds et prototypes</t>
        </is>
      </c>
      <c r="C248" s="2" t="inlineStr">
        <is>
          <t>P26/40</t>
        </is>
      </c>
      <c r="D248" s="2" t="inlineStr">
        <is>
          <t>À distinguer si plusieurs variantes</t>
        </is>
      </c>
      <c r="E248" s="2" t="inlineStr">
        <is>
          <t>Italie</t>
        </is>
      </c>
      <c r="F248" s="2" t="inlineStr">
        <is>
          <t>À documenter</t>
        </is>
      </c>
      <c r="G248" s="2" t="inlineStr">
        <is>
          <t>À confirmer</t>
        </is>
      </c>
      <c r="H248" s="2" t="inlineStr">
        <is>
          <t>Chars lourds et prototypes</t>
        </is>
      </c>
      <c r="I248" s="2" t="inlineStr">
        <is>
          <t>À définir</t>
        </is>
      </c>
      <c r="J248" s="2" t="n"/>
      <c r="K248" s="2" t="n"/>
      <c r="L248" s="2" t="n"/>
      <c r="M248" s="2" t="n"/>
      <c r="N248" s="2" t="n"/>
      <c r="O248" s="2" t="n"/>
      <c r="P248" s="2" t="inlineStr">
        <is>
          <t>12 cylindres diesel SPA 342</t>
        </is>
      </c>
      <c r="Q248" s="2" t="n"/>
      <c r="R248" s="2" t="n"/>
      <c r="S248" s="2" t="inlineStr">
        <is>
          <t>À confirmer</t>
        </is>
      </c>
      <c r="T248" s="2" t="n"/>
      <c r="U248" s="2" t="n"/>
      <c r="V248" s="2" t="n"/>
      <c r="W248" s="2" t="n"/>
      <c r="X248" s="2" t="inlineStr">
        <is>
          <t>À documenter</t>
        </is>
      </c>
      <c r="Y248" s="2" t="inlineStr">
        <is>
          <t>À documenter</t>
        </is>
      </c>
      <c r="Z248" s="2" t="inlineStr">
        <is>
          <t>À documenter</t>
        </is>
      </c>
      <c r="AA248" s="2" t="inlineStr">
        <is>
          <t>À documenter</t>
        </is>
      </c>
      <c r="AB248" s="2" t="inlineStr">
        <is>
          <t>À documenter</t>
        </is>
      </c>
      <c r="AC248" s="2" t="inlineStr">
        <is>
          <t>Armement historique à déterminer précisément pour ce modèle/sa variante</t>
        </is>
      </c>
      <c r="AD248" s="2" t="inlineStr">
        <is>
          <t>À documenter</t>
        </is>
      </c>
      <c r="AE248" s="2" t="inlineStr">
        <is>
          <t>À documenter</t>
        </is>
      </c>
      <c r="AF248" s="2" t="inlineStr">
        <is>
          <t>À définir</t>
        </is>
      </c>
      <c r="AG248" s="2" t="inlineStr">
        <is>
          <t>À définir</t>
        </is>
      </c>
      <c r="AH248" s="2" t="inlineStr">
        <is>
          <t>Réparation d’origine si véhicule complet ; démontage si incomplet</t>
        </is>
      </c>
      <c r="AI248" s="2" t="inlineStr">
        <is>
          <t>À documenter</t>
        </is>
      </c>
      <c r="AJ248" s="2" t="inlineStr">
        <is>
          <t>À définir séparément des compatibilités historiques</t>
        </is>
      </c>
      <c r="AK248" s="2" t="inlineStr">
        <is>
          <t>À documenter</t>
        </is>
      </c>
      <c r="AL248" s="2" t="inlineStr">
        <is>
          <t>À rechercher / voir sources historiques</t>
        </is>
      </c>
      <c r="AM248" s="2" t="inlineStr">
        <is>
          <t>https://onwar.com/tanks/italy/index.htm</t>
        </is>
      </c>
      <c r="AN248" s="2" t="inlineStr">
        <is>
          <t>Source de niveau variable ; contrôle par variante nécessaire</t>
        </is>
      </c>
      <c r="AO248" s="2" t="inlineStr">
        <is>
          <t>Non renseigné</t>
        </is>
      </c>
      <c r="AP248" s="2" t="inlineStr">
        <is>
          <t>Faible</t>
        </is>
      </c>
      <c r="AQ248" s="2" t="inlineStr">
        <is>
          <t>À vérifier</t>
        </is>
      </c>
      <c r="AR248" s="2" t="inlineStr">
        <is>
          <t>Partiel — fiche à compléter</t>
        </is>
      </c>
      <c r="AS248" s="2" t="inlineStr">
        <is>
          <t>P2/P3</t>
        </is>
      </c>
      <c r="AT248" s="2" t="inlineStr">
        <is>
          <t>Char lourd italien ; production très limitée.</t>
        </is>
      </c>
      <c r="AU248" s="2" t="inlineStr">
        <is>
          <t>À intégrer après validation du prototype</t>
        </is>
      </c>
      <c r="AV248" s="2" t="inlineStr">
        <is>
          <t>P26/40 : véhicule de catégorie « Chars lourds et prototypes », d'origine Italie. Motorisation recensée : 12 cylindres diesel SPA 342. Variante historique à vérifier avant validation définitive.</t>
        </is>
      </c>
    </row>
    <row r="249" ht="60" customHeight="1">
      <c r="A249" s="2" t="inlineStr">
        <is>
          <t>VEH-248</t>
        </is>
      </c>
      <c r="B249" s="2" t="inlineStr">
        <is>
          <t>Chasseurs de chars et canons automoteurs</t>
        </is>
      </c>
      <c r="C249" s="2" t="inlineStr">
        <is>
          <t>Semovente L40 da 47/32</t>
        </is>
      </c>
      <c r="D249" s="2" t="inlineStr">
        <is>
          <t>À distinguer si plusieurs variantes</t>
        </is>
      </c>
      <c r="E249" s="2" t="inlineStr">
        <is>
          <t>Italie</t>
        </is>
      </c>
      <c r="F249" s="2" t="inlineStr">
        <is>
          <t>À documenter</t>
        </is>
      </c>
      <c r="G249" s="2" t="inlineStr">
        <is>
          <t>À confirmer</t>
        </is>
      </c>
      <c r="H249" s="2" t="inlineStr">
        <is>
          <t>Chasseurs de chars et canons automoteurs</t>
        </is>
      </c>
      <c r="I249" s="2" t="inlineStr">
        <is>
          <t>À définir</t>
        </is>
      </c>
      <c r="J249" s="2" t="n"/>
      <c r="K249" s="2" t="n"/>
      <c r="L249" s="2" t="n"/>
      <c r="M249" s="2" t="n"/>
      <c r="N249" s="2" t="n"/>
      <c r="O249" s="2" t="n"/>
      <c r="P249" s="2" t="inlineStr">
        <is>
          <t>4 cylindres diesel SPA 18T</t>
        </is>
      </c>
      <c r="Q249" s="2" t="n"/>
      <c r="R249" s="2" t="n"/>
      <c r="S249" s="2" t="inlineStr">
        <is>
          <t>À confirmer</t>
        </is>
      </c>
      <c r="T249" s="2" t="n"/>
      <c r="U249" s="2" t="n"/>
      <c r="V249" s="2" t="n"/>
      <c r="W249" s="2" t="n"/>
      <c r="X249" s="2" t="inlineStr">
        <is>
          <t>À documenter</t>
        </is>
      </c>
      <c r="Y249" s="2" t="inlineStr">
        <is>
          <t>À documenter</t>
        </is>
      </c>
      <c r="Z249" s="2" t="inlineStr">
        <is>
          <t>À documenter</t>
        </is>
      </c>
      <c r="AA249" s="2" t="inlineStr">
        <is>
          <t>À documenter</t>
        </is>
      </c>
      <c r="AB249" s="2" t="inlineStr">
        <is>
          <t>À documenter</t>
        </is>
      </c>
      <c r="AC249" s="2" t="inlineStr">
        <is>
          <t>Armement historique à déterminer précisément pour ce modèle/sa variante</t>
        </is>
      </c>
      <c r="AD249" s="2" t="inlineStr">
        <is>
          <t>À documenter</t>
        </is>
      </c>
      <c r="AE249" s="2" t="inlineStr">
        <is>
          <t>À documenter</t>
        </is>
      </c>
      <c r="AF249" s="2" t="inlineStr">
        <is>
          <t>À définir</t>
        </is>
      </c>
      <c r="AG249" s="2" t="inlineStr">
        <is>
          <t>À définir</t>
        </is>
      </c>
      <c r="AH249" s="2" t="inlineStr">
        <is>
          <t>Réparation d’origine si véhicule complet ; démontage si incomplet</t>
        </is>
      </c>
      <c r="AI249" s="2" t="inlineStr">
        <is>
          <t>À documenter</t>
        </is>
      </c>
      <c r="AJ249" s="2" t="inlineStr">
        <is>
          <t>À définir séparément des compatibilités historiques</t>
        </is>
      </c>
      <c r="AK249" s="2" t="inlineStr">
        <is>
          <t>À documenter</t>
        </is>
      </c>
      <c r="AL249" s="2" t="inlineStr">
        <is>
          <t>À rechercher / voir sources historiques</t>
        </is>
      </c>
      <c r="AM249" s="2" t="inlineStr">
        <is>
          <t>https://onwar.com/tanks/italy/index.htm</t>
        </is>
      </c>
      <c r="AN249" s="2" t="inlineStr">
        <is>
          <t>Source de niveau variable ; contrôle par variante nécessaire</t>
        </is>
      </c>
      <c r="AO249" s="2" t="inlineStr">
        <is>
          <t>Non renseigné</t>
        </is>
      </c>
      <c r="AP249" s="2" t="inlineStr">
        <is>
          <t>Faible</t>
        </is>
      </c>
      <c r="AQ249" s="2" t="inlineStr">
        <is>
          <t>À vérifier</t>
        </is>
      </c>
      <c r="AR249" s="2" t="inlineStr">
        <is>
          <t>Partiel — fiche à compléter</t>
        </is>
      </c>
      <c r="AS249" s="2" t="inlineStr">
        <is>
          <t>P2/P3</t>
        </is>
      </c>
      <c r="AT249" s="2" t="inlineStr">
        <is>
          <t>Châssis L6/40 adapté.</t>
        </is>
      </c>
      <c r="AU249" s="2" t="inlineStr">
        <is>
          <t>À intégrer après validation du prototype</t>
        </is>
      </c>
      <c r="AV249" s="2" t="inlineStr">
        <is>
          <t>Semovente L40 da 47/32 : véhicule de catégorie « Chasseurs de chars et canons automoteurs », d'origine Italie. Motorisation recensée : 4 cylindres diesel SPA 18T. Variante historique à vérifier avant validation définitive.</t>
        </is>
      </c>
    </row>
    <row r="250" ht="60" customHeight="1">
      <c r="A250" s="2" t="inlineStr">
        <is>
          <t>VEH-249</t>
        </is>
      </c>
      <c r="B250" s="2" t="inlineStr">
        <is>
          <t>Chasseurs de chars et canons automoteurs</t>
        </is>
      </c>
      <c r="C250" s="2" t="inlineStr">
        <is>
          <t>Semovente M40/M41 da 75/18</t>
        </is>
      </c>
      <c r="D250" s="2" t="inlineStr">
        <is>
          <t>À distinguer si plusieurs variantes</t>
        </is>
      </c>
      <c r="E250" s="2" t="inlineStr">
        <is>
          <t>Italie</t>
        </is>
      </c>
      <c r="F250" s="2" t="inlineStr">
        <is>
          <t>À documenter</t>
        </is>
      </c>
      <c r="G250" s="2" t="inlineStr">
        <is>
          <t>À confirmer</t>
        </is>
      </c>
      <c r="H250" s="2" t="inlineStr">
        <is>
          <t>Chasseurs de chars et canons automoteurs</t>
        </is>
      </c>
      <c r="I250" s="2" t="inlineStr">
        <is>
          <t>À définir</t>
        </is>
      </c>
      <c r="J250" s="2" t="n"/>
      <c r="K250" s="2" t="n"/>
      <c r="L250" s="2" t="n"/>
      <c r="M250" s="2" t="n"/>
      <c r="N250" s="2" t="n"/>
      <c r="O250" s="2" t="n"/>
      <c r="P250" s="2" t="inlineStr">
        <is>
          <t>8 cylindres diesel SPA 8T / 15T selon châssis</t>
        </is>
      </c>
      <c r="Q250" s="2" t="n"/>
      <c r="R250" s="2" t="n"/>
      <c r="S250" s="2" t="inlineStr">
        <is>
          <t>À confirmer</t>
        </is>
      </c>
      <c r="T250" s="2" t="n"/>
      <c r="U250" s="2" t="n"/>
      <c r="V250" s="2" t="n"/>
      <c r="W250" s="2" t="n"/>
      <c r="X250" s="2" t="inlineStr">
        <is>
          <t>À documenter</t>
        </is>
      </c>
      <c r="Y250" s="2" t="inlineStr">
        <is>
          <t>À documenter</t>
        </is>
      </c>
      <c r="Z250" s="2" t="inlineStr">
        <is>
          <t>À documenter</t>
        </is>
      </c>
      <c r="AA250" s="2" t="inlineStr">
        <is>
          <t>À documenter</t>
        </is>
      </c>
      <c r="AB250" s="2" t="inlineStr">
        <is>
          <t>À documenter</t>
        </is>
      </c>
      <c r="AC250" s="2" t="inlineStr">
        <is>
          <t>Armement historique à déterminer précisément pour ce modèle/sa variante</t>
        </is>
      </c>
      <c r="AD250" s="2" t="inlineStr">
        <is>
          <t>À documenter</t>
        </is>
      </c>
      <c r="AE250" s="2" t="inlineStr">
        <is>
          <t>À documenter</t>
        </is>
      </c>
      <c r="AF250" s="2" t="inlineStr">
        <is>
          <t>À définir</t>
        </is>
      </c>
      <c r="AG250" s="2" t="inlineStr">
        <is>
          <t>À définir</t>
        </is>
      </c>
      <c r="AH250" s="2" t="inlineStr">
        <is>
          <t>Réparation d’origine si véhicule complet ; démontage si incomplet</t>
        </is>
      </c>
      <c r="AI250" s="2" t="inlineStr">
        <is>
          <t>À documenter</t>
        </is>
      </c>
      <c r="AJ250" s="2" t="inlineStr">
        <is>
          <t>À définir séparément des compatibilités historiques</t>
        </is>
      </c>
      <c r="AK250" s="2" t="inlineStr">
        <is>
          <t>À documenter</t>
        </is>
      </c>
      <c r="AL250" s="2" t="inlineStr">
        <is>
          <t>À rechercher / voir sources historiques</t>
        </is>
      </c>
      <c r="AM250" s="2" t="inlineStr">
        <is>
          <t>https://onwar.com/tanks/italy/index.htm</t>
        </is>
      </c>
      <c r="AN250" s="2" t="inlineStr">
        <is>
          <t>Source de niveau variable ; contrôle par variante nécessaire</t>
        </is>
      </c>
      <c r="AO250" s="2" t="inlineStr">
        <is>
          <t>Non renseigné</t>
        </is>
      </c>
      <c r="AP250" s="2" t="inlineStr">
        <is>
          <t>Faible</t>
        </is>
      </c>
      <c r="AQ250" s="2" t="inlineStr">
        <is>
          <t>À vérifier</t>
        </is>
      </c>
      <c r="AR250" s="2" t="inlineStr">
        <is>
          <t>Partiel — fiche à compléter</t>
        </is>
      </c>
      <c r="AS250" s="2" t="inlineStr">
        <is>
          <t>P2/P3</t>
        </is>
      </c>
      <c r="AT250" s="2" t="inlineStr">
        <is>
          <t>Variantes sur M13/40 et M14/41.</t>
        </is>
      </c>
      <c r="AU250" s="2" t="inlineStr">
        <is>
          <t>À intégrer après validation du prototype</t>
        </is>
      </c>
      <c r="AV250" s="2" t="inlineStr">
        <is>
          <t>Semovente M40/M41 da 75/18 : véhicule de catégorie « Chasseurs de chars et canons automoteurs », d'origine Italie. Motorisation recensée : 8 cylindres diesel SPA 8T / 15T selon châssis. Variante historique à vérifier avant validation définitive.</t>
        </is>
      </c>
    </row>
    <row r="251" ht="60" customHeight="1">
      <c r="A251" s="2" t="inlineStr">
        <is>
          <t>VEH-250</t>
        </is>
      </c>
      <c r="B251" s="2" t="inlineStr">
        <is>
          <t>Chasseurs de chars et canons automoteurs</t>
        </is>
      </c>
      <c r="C251" s="2" t="inlineStr">
        <is>
          <t>Semovente M42 da 75/34</t>
        </is>
      </c>
      <c r="D251" s="2" t="inlineStr">
        <is>
          <t>À distinguer si plusieurs variantes</t>
        </is>
      </c>
      <c r="E251" s="2" t="inlineStr">
        <is>
          <t>Italie</t>
        </is>
      </c>
      <c r="F251" s="2" t="inlineStr">
        <is>
          <t>À documenter</t>
        </is>
      </c>
      <c r="G251" s="2" t="inlineStr">
        <is>
          <t>À confirmer</t>
        </is>
      </c>
      <c r="H251" s="2" t="inlineStr">
        <is>
          <t>Chasseurs de chars et canons automoteurs</t>
        </is>
      </c>
      <c r="I251" s="2" t="inlineStr">
        <is>
          <t>À définir</t>
        </is>
      </c>
      <c r="J251" s="2" t="n"/>
      <c r="K251" s="2" t="n"/>
      <c r="L251" s="2" t="n"/>
      <c r="M251" s="2" t="n"/>
      <c r="N251" s="2" t="n"/>
      <c r="O251" s="2" t="n"/>
      <c r="P251" s="2" t="inlineStr">
        <is>
          <t>8 cylindres diesel SPA 15T</t>
        </is>
      </c>
      <c r="Q251" s="2" t="n"/>
      <c r="R251" s="2" t="n"/>
      <c r="S251" s="2" t="inlineStr">
        <is>
          <t>À confirmer</t>
        </is>
      </c>
      <c r="T251" s="2" t="n"/>
      <c r="U251" s="2" t="n"/>
      <c r="V251" s="2" t="n"/>
      <c r="W251" s="2" t="n"/>
      <c r="X251" s="2" t="inlineStr">
        <is>
          <t>À documenter</t>
        </is>
      </c>
      <c r="Y251" s="2" t="inlineStr">
        <is>
          <t>À documenter</t>
        </is>
      </c>
      <c r="Z251" s="2" t="inlineStr">
        <is>
          <t>À documenter</t>
        </is>
      </c>
      <c r="AA251" s="2" t="inlineStr">
        <is>
          <t>À documenter</t>
        </is>
      </c>
      <c r="AB251" s="2" t="inlineStr">
        <is>
          <t>À documenter</t>
        </is>
      </c>
      <c r="AC251" s="2" t="inlineStr">
        <is>
          <t>Armement historique à déterminer précisément pour ce modèle/sa variante</t>
        </is>
      </c>
      <c r="AD251" s="2" t="inlineStr">
        <is>
          <t>À documenter</t>
        </is>
      </c>
      <c r="AE251" s="2" t="inlineStr">
        <is>
          <t>À documenter</t>
        </is>
      </c>
      <c r="AF251" s="2" t="inlineStr">
        <is>
          <t>À définir</t>
        </is>
      </c>
      <c r="AG251" s="2" t="inlineStr">
        <is>
          <t>À définir</t>
        </is>
      </c>
      <c r="AH251" s="2" t="inlineStr">
        <is>
          <t>Réparation d’origine si véhicule complet ; démontage si incomplet</t>
        </is>
      </c>
      <c r="AI251" s="2" t="inlineStr">
        <is>
          <t>À documenter</t>
        </is>
      </c>
      <c r="AJ251" s="2" t="inlineStr">
        <is>
          <t>À définir séparément des compatibilités historiques</t>
        </is>
      </c>
      <c r="AK251" s="2" t="inlineStr">
        <is>
          <t>À documenter</t>
        </is>
      </c>
      <c r="AL251" s="2" t="inlineStr">
        <is>
          <t>À rechercher / voir sources historiques</t>
        </is>
      </c>
      <c r="AM251" s="2" t="inlineStr">
        <is>
          <t>https://onwar.com/tanks/italy/index.htm</t>
        </is>
      </c>
      <c r="AN251" s="2" t="inlineStr">
        <is>
          <t>Source de niveau variable ; contrôle par variante nécessaire</t>
        </is>
      </c>
      <c r="AO251" s="2" t="inlineStr">
        <is>
          <t>Non renseigné</t>
        </is>
      </c>
      <c r="AP251" s="2" t="inlineStr">
        <is>
          <t>Faible</t>
        </is>
      </c>
      <c r="AQ251" s="2" t="inlineStr">
        <is>
          <t>À vérifier</t>
        </is>
      </c>
      <c r="AR251" s="2" t="inlineStr">
        <is>
          <t>Partiel — fiche à compléter</t>
        </is>
      </c>
      <c r="AS251" s="2" t="inlineStr">
        <is>
          <t>P2/P3</t>
        </is>
      </c>
      <c r="AT251" s="2" t="inlineStr">
        <is>
          <t>Canon automoteur sur châssis M15/42.</t>
        </is>
      </c>
      <c r="AU251" s="2" t="inlineStr">
        <is>
          <t>À intégrer après validation du prototype</t>
        </is>
      </c>
      <c r="AV251" s="2" t="inlineStr">
        <is>
          <t>Semovente M42 da 75/34 : véhicule de catégorie « Chasseurs de chars et canons automoteurs », d'origine Italie. Motorisation recensée : 8 cylindres diesel SPA 15T. Variante historique à vérifier avant validation définitive.</t>
        </is>
      </c>
    </row>
    <row r="252" ht="60" customHeight="1">
      <c r="A252" s="2" t="inlineStr">
        <is>
          <t>VEH-251</t>
        </is>
      </c>
      <c r="B252" s="2" t="inlineStr">
        <is>
          <t>Chasseurs de chars et canons automoteurs</t>
        </is>
      </c>
      <c r="C252" s="2" t="inlineStr">
        <is>
          <t>Semovente M43 da 105/25</t>
        </is>
      </c>
      <c r="D252" s="2" t="inlineStr">
        <is>
          <t>À distinguer si plusieurs variantes</t>
        </is>
      </c>
      <c r="E252" s="2" t="inlineStr">
        <is>
          <t>Italie</t>
        </is>
      </c>
      <c r="F252" s="2" t="inlineStr">
        <is>
          <t>À documenter</t>
        </is>
      </c>
      <c r="G252" s="2" t="inlineStr">
        <is>
          <t>À confirmer</t>
        </is>
      </c>
      <c r="H252" s="2" t="inlineStr">
        <is>
          <t>Chasseurs de chars et canons automoteurs</t>
        </is>
      </c>
      <c r="I252" s="2" t="inlineStr">
        <is>
          <t>À définir</t>
        </is>
      </c>
      <c r="J252" s="2" t="n"/>
      <c r="K252" s="2" t="n"/>
      <c r="L252" s="2" t="n"/>
      <c r="M252" s="2" t="n"/>
      <c r="N252" s="2" t="n"/>
      <c r="O252" s="2" t="n"/>
      <c r="P252" s="2" t="inlineStr">
        <is>
          <t>8 cylindres essence/diesel selon châssis, à vérifier</t>
        </is>
      </c>
      <c r="Q252" s="2" t="n"/>
      <c r="R252" s="2" t="n"/>
      <c r="S252" s="2" t="inlineStr">
        <is>
          <t>À confirmer</t>
        </is>
      </c>
      <c r="T252" s="2" t="n"/>
      <c r="U252" s="2" t="n"/>
      <c r="V252" s="2" t="n"/>
      <c r="W252" s="2" t="n"/>
      <c r="X252" s="2" t="inlineStr">
        <is>
          <t>À documenter</t>
        </is>
      </c>
      <c r="Y252" s="2" t="inlineStr">
        <is>
          <t>À documenter</t>
        </is>
      </c>
      <c r="Z252" s="2" t="inlineStr">
        <is>
          <t>À documenter</t>
        </is>
      </c>
      <c r="AA252" s="2" t="inlineStr">
        <is>
          <t>À documenter</t>
        </is>
      </c>
      <c r="AB252" s="2" t="inlineStr">
        <is>
          <t>À documenter</t>
        </is>
      </c>
      <c r="AC252" s="2" t="inlineStr">
        <is>
          <t>Armement historique à déterminer précisément pour ce modèle/sa variante</t>
        </is>
      </c>
      <c r="AD252" s="2" t="inlineStr">
        <is>
          <t>À documenter</t>
        </is>
      </c>
      <c r="AE252" s="2" t="inlineStr">
        <is>
          <t>À documenter</t>
        </is>
      </c>
      <c r="AF252" s="2" t="inlineStr">
        <is>
          <t>À définir</t>
        </is>
      </c>
      <c r="AG252" s="2" t="inlineStr">
        <is>
          <t>À définir</t>
        </is>
      </c>
      <c r="AH252" s="2" t="inlineStr">
        <is>
          <t>Réparation d’origine si véhicule complet ; démontage si incomplet</t>
        </is>
      </c>
      <c r="AI252" s="2" t="inlineStr">
        <is>
          <t>À documenter</t>
        </is>
      </c>
      <c r="AJ252" s="2" t="inlineStr">
        <is>
          <t>À définir séparément des compatibilités historiques</t>
        </is>
      </c>
      <c r="AK252" s="2" t="inlineStr">
        <is>
          <t>À documenter</t>
        </is>
      </c>
      <c r="AL252" s="2" t="inlineStr">
        <is>
          <t>À rechercher / voir sources historiques</t>
        </is>
      </c>
      <c r="AM252" s="2" t="inlineStr">
        <is>
          <t>https://onwar.com/tanks/italy/index.htm</t>
        </is>
      </c>
      <c r="AN252" s="2" t="inlineStr">
        <is>
          <t>Source de niveau variable ; contrôle par variante nécessaire</t>
        </is>
      </c>
      <c r="AO252" s="2" t="inlineStr">
        <is>
          <t>Non renseigné</t>
        </is>
      </c>
      <c r="AP252" s="2" t="inlineStr">
        <is>
          <t>Faible</t>
        </is>
      </c>
      <c r="AQ252" s="2" t="inlineStr">
        <is>
          <t>À vérifier</t>
        </is>
      </c>
      <c r="AR252" s="2" t="inlineStr">
        <is>
          <t>Partiel — fiche à compléter</t>
        </is>
      </c>
      <c r="AS252" s="2" t="inlineStr">
        <is>
          <t>P2/P3</t>
        </is>
      </c>
      <c r="AT252" s="2" t="inlineStr">
        <is>
          <t>Variante tardive ; moteur à confirmer.</t>
        </is>
      </c>
      <c r="AU252" s="2" t="inlineStr">
        <is>
          <t>À intégrer après validation du prototype</t>
        </is>
      </c>
      <c r="AV252" s="2" t="inlineStr">
        <is>
          <t>Semovente M43 da 105/25 : véhicule de catégorie « Chasseurs de chars et canons automoteurs », d'origine Italie. Motorisation recensée : 8 cylindres essence/diesel selon châssis, à vérifier. Variante historique à vérifier avant validation définitive.</t>
        </is>
      </c>
    </row>
    <row r="253" ht="60" customHeight="1">
      <c r="A253" s="2" t="inlineStr">
        <is>
          <t>VEH-252</t>
        </is>
      </c>
      <c r="B253" s="2" t="inlineStr">
        <is>
          <t>Chars légers et chars anciens</t>
        </is>
      </c>
      <c r="C253" s="2" t="inlineStr">
        <is>
          <t>TK-3</t>
        </is>
      </c>
      <c r="D253" s="2" t="inlineStr">
        <is>
          <t>À distinguer si plusieurs variantes</t>
        </is>
      </c>
      <c r="E253" s="2" t="inlineStr">
        <is>
          <t>Pologne</t>
        </is>
      </c>
      <c r="F253" s="2" t="inlineStr">
        <is>
          <t>À documenter</t>
        </is>
      </c>
      <c r="G253" s="2" t="inlineStr">
        <is>
          <t>À confirmer</t>
        </is>
      </c>
      <c r="H253" s="2" t="inlineStr">
        <is>
          <t>Chars légers et chars anciens</t>
        </is>
      </c>
      <c r="I253" s="2" t="inlineStr">
        <is>
          <t>À définir</t>
        </is>
      </c>
      <c r="J253" s="2" t="n"/>
      <c r="K253" s="2" t="n"/>
      <c r="L253" s="2" t="n"/>
      <c r="M253" s="2" t="n"/>
      <c r="N253" s="2" t="n"/>
      <c r="O253" s="2" t="n"/>
      <c r="P253" s="2" t="inlineStr">
        <is>
          <t>4 cylindres essence Ford A (famille à confirmer)</t>
        </is>
      </c>
      <c r="Q253" s="2" t="n"/>
      <c r="R253" s="2" t="n"/>
      <c r="S253" s="2" t="inlineStr">
        <is>
          <t>À confirmer</t>
        </is>
      </c>
      <c r="T253" s="2" t="n"/>
      <c r="U253" s="2" t="n"/>
      <c r="V253" s="2" t="n"/>
      <c r="W253" s="2" t="n"/>
      <c r="X253" s="2" t="inlineStr">
        <is>
          <t>À documenter</t>
        </is>
      </c>
      <c r="Y253" s="2" t="inlineStr">
        <is>
          <t>À documenter</t>
        </is>
      </c>
      <c r="Z253" s="2" t="inlineStr">
        <is>
          <t>À documenter</t>
        </is>
      </c>
      <c r="AA253" s="2" t="inlineStr">
        <is>
          <t>À documenter</t>
        </is>
      </c>
      <c r="AB253" s="2" t="inlineStr">
        <is>
          <t>À documenter</t>
        </is>
      </c>
      <c r="AC253" s="2" t="inlineStr">
        <is>
          <t>Armement historique à déterminer précisément pour ce modèle/sa variante</t>
        </is>
      </c>
      <c r="AD253" s="2" t="inlineStr">
        <is>
          <t>À documenter</t>
        </is>
      </c>
      <c r="AE253" s="2" t="inlineStr">
        <is>
          <t>À documenter</t>
        </is>
      </c>
      <c r="AF253" s="2" t="inlineStr">
        <is>
          <t>À définir</t>
        </is>
      </c>
      <c r="AG253" s="2" t="inlineStr">
        <is>
          <t>À définir</t>
        </is>
      </c>
      <c r="AH253" s="2" t="inlineStr">
        <is>
          <t>Réparation d’origine si véhicule complet ; démontage si incomplet</t>
        </is>
      </c>
      <c r="AI253" s="2" t="inlineStr">
        <is>
          <t>À documenter</t>
        </is>
      </c>
      <c r="AJ253" s="2" t="inlineStr">
        <is>
          <t>À définir séparément des compatibilités historiques</t>
        </is>
      </c>
      <c r="AK253" s="2" t="inlineStr">
        <is>
          <t>À documenter</t>
        </is>
      </c>
      <c r="AL253" s="2" t="inlineStr">
        <is>
          <t>À rechercher / voir sources historiques</t>
        </is>
      </c>
      <c r="AM253" s="2" t="inlineStr">
        <is>
          <t>https://tanks-encyclopedia.com/ww2/polish/tk-3-tks/</t>
        </is>
      </c>
      <c r="AN253" s="2" t="inlineStr">
        <is>
          <t>Source de niveau variable ; contrôle par variante nécessaire</t>
        </is>
      </c>
      <c r="AO253" s="2" t="inlineStr">
        <is>
          <t>Non renseigné</t>
        </is>
      </c>
      <c r="AP253" s="2" t="inlineStr">
        <is>
          <t>Faible</t>
        </is>
      </c>
      <c r="AQ253" s="2" t="inlineStr">
        <is>
          <t>À vérifier</t>
        </is>
      </c>
      <c r="AR253" s="2" t="inlineStr">
        <is>
          <t>Partiel — fiche à compléter</t>
        </is>
      </c>
      <c r="AS253" s="2" t="inlineStr">
        <is>
          <t>P2/P3</t>
        </is>
      </c>
      <c r="AT253" s="2" t="inlineStr">
        <is>
          <t>Tankette ; faible masse et petite mécanique.</t>
        </is>
      </c>
      <c r="AU253" s="2" t="inlineStr">
        <is>
          <t>À intégrer après validation du prototype</t>
        </is>
      </c>
      <c r="AV253" s="2" t="inlineStr">
        <is>
          <t>TK-3 : véhicule de catégorie « Chars légers et chars anciens », d'origine Pologne. Motorisation recensée : 4 cylindres essence Ford A (famille à confirmer). Variante historique à vérifier avant validation définitive.</t>
        </is>
      </c>
    </row>
    <row r="254" ht="60" customHeight="1">
      <c r="A254" s="2" t="inlineStr">
        <is>
          <t>VEH-253</t>
        </is>
      </c>
      <c r="B254" s="2" t="inlineStr">
        <is>
          <t>Chars légers et chars anciens</t>
        </is>
      </c>
      <c r="C254" s="2" t="inlineStr">
        <is>
          <t>TKS</t>
        </is>
      </c>
      <c r="D254" s="2" t="inlineStr">
        <is>
          <t>À distinguer si plusieurs variantes</t>
        </is>
      </c>
      <c r="E254" s="2" t="inlineStr">
        <is>
          <t>Pologne</t>
        </is>
      </c>
      <c r="F254" s="2" t="inlineStr">
        <is>
          <t>À documenter</t>
        </is>
      </c>
      <c r="G254" s="2" t="inlineStr">
        <is>
          <t>À confirmer</t>
        </is>
      </c>
      <c r="H254" s="2" t="inlineStr">
        <is>
          <t>Chars légers et chars anciens</t>
        </is>
      </c>
      <c r="I254" s="2" t="inlineStr">
        <is>
          <t>À définir</t>
        </is>
      </c>
      <c r="J254" s="2" t="n"/>
      <c r="K254" s="2" t="n"/>
      <c r="L254" s="2" t="n"/>
      <c r="M254" s="2" t="n"/>
      <c r="N254" s="2" t="n"/>
      <c r="O254" s="2" t="n"/>
      <c r="P254" s="2" t="inlineStr">
        <is>
          <t>4 cylindres essence Polski Fiat (selon série)</t>
        </is>
      </c>
      <c r="Q254" s="2" t="n"/>
      <c r="R254" s="2" t="n"/>
      <c r="S254" s="2" t="inlineStr">
        <is>
          <t>À confirmer</t>
        </is>
      </c>
      <c r="T254" s="2" t="n"/>
      <c r="U254" s="2" t="n"/>
      <c r="V254" s="2" t="n"/>
      <c r="W254" s="2" t="n"/>
      <c r="X254" s="2" t="inlineStr">
        <is>
          <t>À documenter</t>
        </is>
      </c>
      <c r="Y254" s="2" t="inlineStr">
        <is>
          <t>À documenter</t>
        </is>
      </c>
      <c r="Z254" s="2" t="inlineStr">
        <is>
          <t>À documenter</t>
        </is>
      </c>
      <c r="AA254" s="2" t="inlineStr">
        <is>
          <t>À documenter</t>
        </is>
      </c>
      <c r="AB254" s="2" t="inlineStr">
        <is>
          <t>À documenter</t>
        </is>
      </c>
      <c r="AC254" s="2" t="inlineStr">
        <is>
          <t>Armement historique à déterminer précisément pour ce modèle/sa variante</t>
        </is>
      </c>
      <c r="AD254" s="2" t="inlineStr">
        <is>
          <t>À documenter</t>
        </is>
      </c>
      <c r="AE254" s="2" t="inlineStr">
        <is>
          <t>À documenter</t>
        </is>
      </c>
      <c r="AF254" s="2" t="inlineStr">
        <is>
          <t>À définir</t>
        </is>
      </c>
      <c r="AG254" s="2" t="inlineStr">
        <is>
          <t>À définir</t>
        </is>
      </c>
      <c r="AH254" s="2" t="inlineStr">
        <is>
          <t>Réparation d’origine si véhicule complet ; démontage si incomplet</t>
        </is>
      </c>
      <c r="AI254" s="2" t="inlineStr">
        <is>
          <t>À documenter</t>
        </is>
      </c>
      <c r="AJ254" s="2" t="inlineStr">
        <is>
          <t>À définir séparément des compatibilités historiques</t>
        </is>
      </c>
      <c r="AK254" s="2" t="inlineStr">
        <is>
          <t>À documenter</t>
        </is>
      </c>
      <c r="AL254" s="2" t="inlineStr">
        <is>
          <t>À rechercher / voir sources historiques</t>
        </is>
      </c>
      <c r="AM254" s="2" t="inlineStr">
        <is>
          <t>https://tanks-encyclopedia.com/ww2/polish/tk-3-tks/</t>
        </is>
      </c>
      <c r="AN254" s="2" t="inlineStr">
        <is>
          <t>Source de niveau variable ; contrôle par variante nécessaire</t>
        </is>
      </c>
      <c r="AO254" s="2" t="inlineStr">
        <is>
          <t>Non renseigné</t>
        </is>
      </c>
      <c r="AP254" s="2" t="inlineStr">
        <is>
          <t>Faible</t>
        </is>
      </c>
      <c r="AQ254" s="2" t="inlineStr">
        <is>
          <t>À vérifier</t>
        </is>
      </c>
      <c r="AR254" s="2" t="inlineStr">
        <is>
          <t>Partiel — fiche à compléter</t>
        </is>
      </c>
      <c r="AS254" s="2" t="inlineStr">
        <is>
          <t>P2/P3</t>
        </is>
      </c>
      <c r="AT254" s="2" t="inlineStr">
        <is>
          <t>Variantes moteur selon production.</t>
        </is>
      </c>
      <c r="AU254" s="2" t="inlineStr">
        <is>
          <t>À intégrer après validation du prototype</t>
        </is>
      </c>
      <c r="AV254" s="2" t="inlineStr">
        <is>
          <t>TKS : véhicule de catégorie « Chars légers et chars anciens », d'origine Pologne. Motorisation recensée : 4 cylindres essence Polski Fiat (selon série). Variante historique à vérifier avant validation définitive.</t>
        </is>
      </c>
    </row>
    <row r="255" ht="60" customHeight="1">
      <c r="A255" s="2" t="inlineStr">
        <is>
          <t>VEH-254</t>
        </is>
      </c>
      <c r="B255" s="2" t="inlineStr">
        <is>
          <t>Chars légers et chars anciens</t>
        </is>
      </c>
      <c r="C255" s="2" t="inlineStr">
        <is>
          <t>7TP</t>
        </is>
      </c>
      <c r="D255" s="2" t="inlineStr">
        <is>
          <t>À distinguer si plusieurs variantes</t>
        </is>
      </c>
      <c r="E255" s="2" t="inlineStr">
        <is>
          <t>Pologne</t>
        </is>
      </c>
      <c r="F255" s="2" t="inlineStr">
        <is>
          <t>À documenter</t>
        </is>
      </c>
      <c r="G255" s="2" t="inlineStr">
        <is>
          <t>À confirmer</t>
        </is>
      </c>
      <c r="H255" s="2" t="inlineStr">
        <is>
          <t>Chars légers et chars anciens</t>
        </is>
      </c>
      <c r="I255" s="2" t="inlineStr">
        <is>
          <t>À définir</t>
        </is>
      </c>
      <c r="J255" s="2" t="n"/>
      <c r="K255" s="2" t="n"/>
      <c r="L255" s="2" t="n"/>
      <c r="M255" s="2" t="n"/>
      <c r="N255" s="2" t="n"/>
      <c r="O255" s="2" t="n"/>
      <c r="P255" s="2" t="inlineStr">
        <is>
          <t>6 cylindres diesel Saurer VBLDb</t>
        </is>
      </c>
      <c r="Q255" s="2" t="n"/>
      <c r="R255" s="2" t="n"/>
      <c r="S255" s="2" t="inlineStr">
        <is>
          <t>À confirmer</t>
        </is>
      </c>
      <c r="T255" s="2" t="n"/>
      <c r="U255" s="2" t="n"/>
      <c r="V255" s="2" t="n"/>
      <c r="W255" s="2" t="n"/>
      <c r="X255" s="2" t="inlineStr">
        <is>
          <t>À documenter</t>
        </is>
      </c>
      <c r="Y255" s="2" t="inlineStr">
        <is>
          <t>À documenter</t>
        </is>
      </c>
      <c r="Z255" s="2" t="inlineStr">
        <is>
          <t>À documenter</t>
        </is>
      </c>
      <c r="AA255" s="2" t="inlineStr">
        <is>
          <t>À documenter</t>
        </is>
      </c>
      <c r="AB255" s="2" t="inlineStr">
        <is>
          <t>À documenter</t>
        </is>
      </c>
      <c r="AC255" s="2" t="inlineStr">
        <is>
          <t>Armement historique à déterminer précisément pour ce modèle/sa variante</t>
        </is>
      </c>
      <c r="AD255" s="2" t="inlineStr">
        <is>
          <t>À documenter</t>
        </is>
      </c>
      <c r="AE255" s="2" t="inlineStr">
        <is>
          <t>À documenter</t>
        </is>
      </c>
      <c r="AF255" s="2" t="inlineStr">
        <is>
          <t>À définir</t>
        </is>
      </c>
      <c r="AG255" s="2" t="inlineStr">
        <is>
          <t>À définir</t>
        </is>
      </c>
      <c r="AH255" s="2" t="inlineStr">
        <is>
          <t>Réparation d’origine si véhicule complet ; démontage si incomplet</t>
        </is>
      </c>
      <c r="AI255" s="2" t="inlineStr">
        <is>
          <t>À documenter</t>
        </is>
      </c>
      <c r="AJ255" s="2" t="inlineStr">
        <is>
          <t>À définir séparément des compatibilités historiques</t>
        </is>
      </c>
      <c r="AK255" s="2" t="inlineStr">
        <is>
          <t>À documenter</t>
        </is>
      </c>
      <c r="AL255" s="2" t="inlineStr">
        <is>
          <t>À rechercher / voir sources historiques</t>
        </is>
      </c>
      <c r="AM255" s="2" t="inlineStr">
        <is>
          <t>https://tanks-encyclopedia.com/ww2/polish/7tp/</t>
        </is>
      </c>
      <c r="AN255" s="2" t="inlineStr">
        <is>
          <t>Source de niveau variable ; contrôle par variante nécessaire</t>
        </is>
      </c>
      <c r="AO255" s="2" t="inlineStr">
        <is>
          <t>Non renseigné</t>
        </is>
      </c>
      <c r="AP255" s="2" t="inlineStr">
        <is>
          <t>Faible</t>
        </is>
      </c>
      <c r="AQ255" s="2" t="inlineStr">
        <is>
          <t>À vérifier</t>
        </is>
      </c>
      <c r="AR255" s="2" t="inlineStr">
        <is>
          <t>Partiel — fiche à compléter</t>
        </is>
      </c>
      <c r="AS255" s="2" t="inlineStr">
        <is>
          <t>P2/P3</t>
        </is>
      </c>
      <c r="AT255" s="2" t="inlineStr">
        <is>
          <t>Un des moteurs diesel précoces intéressants du catalogue.</t>
        </is>
      </c>
      <c r="AU255" s="2" t="inlineStr">
        <is>
          <t>À intégrer après validation du prototype</t>
        </is>
      </c>
      <c r="AV255" s="2" t="inlineStr">
        <is>
          <t>7TP : véhicule de catégorie « Chars légers et chars anciens », d'origine Pologne. Motorisation recensée : 6 cylindres diesel Saurer VBLDb. Fiche de catalogue à compléter avec le rôle tactique et les caractéristiques de jeu.</t>
        </is>
      </c>
    </row>
    <row r="256" ht="60" customHeight="1">
      <c r="A256" s="2" t="inlineStr">
        <is>
          <t>VEH-255</t>
        </is>
      </c>
      <c r="B256" s="2" t="inlineStr">
        <is>
          <t>Chars de cavalerie et prototypes</t>
        </is>
      </c>
      <c r="C256" s="2" t="inlineStr">
        <is>
          <t>10TP</t>
        </is>
      </c>
      <c r="D256" s="2" t="inlineStr">
        <is>
          <t>À distinguer si plusieurs variantes</t>
        </is>
      </c>
      <c r="E256" s="2" t="inlineStr">
        <is>
          <t>Pologne</t>
        </is>
      </c>
      <c r="F256" s="2" t="inlineStr">
        <is>
          <t>À documenter</t>
        </is>
      </c>
      <c r="G256" s="2" t="inlineStr">
        <is>
          <t>À confirmer</t>
        </is>
      </c>
      <c r="H256" s="2" t="inlineStr">
        <is>
          <t>Chars de cavalerie et prototypes</t>
        </is>
      </c>
      <c r="I256" s="2" t="inlineStr">
        <is>
          <t>À définir</t>
        </is>
      </c>
      <c r="J256" s="2" t="n"/>
      <c r="K256" s="2" t="n"/>
      <c r="L256" s="2" t="n"/>
      <c r="M256" s="2" t="n"/>
      <c r="N256" s="2" t="n"/>
      <c r="O256" s="2" t="n"/>
      <c r="P256" s="2" t="inlineStr">
        <is>
          <t>12 cylindres essence American LaFrance (famille à confirmer)</t>
        </is>
      </c>
      <c r="Q256" s="2" t="n"/>
      <c r="R256" s="2" t="n"/>
      <c r="S256" s="2" t="inlineStr">
        <is>
          <t>À confirmer</t>
        </is>
      </c>
      <c r="T256" s="2" t="n"/>
      <c r="U256" s="2" t="n"/>
      <c r="V256" s="2" t="n"/>
      <c r="W256" s="2" t="n"/>
      <c r="X256" s="2" t="inlineStr">
        <is>
          <t>À documenter</t>
        </is>
      </c>
      <c r="Y256" s="2" t="inlineStr">
        <is>
          <t>À documenter</t>
        </is>
      </c>
      <c r="Z256" s="2" t="inlineStr">
        <is>
          <t>À documenter</t>
        </is>
      </c>
      <c r="AA256" s="2" t="inlineStr">
        <is>
          <t>À documenter</t>
        </is>
      </c>
      <c r="AB256" s="2" t="inlineStr">
        <is>
          <t>À documenter</t>
        </is>
      </c>
      <c r="AC256" s="2" t="inlineStr">
        <is>
          <t>Armement historique à déterminer précisément pour ce modèle/sa variante</t>
        </is>
      </c>
      <c r="AD256" s="2" t="inlineStr">
        <is>
          <t>À documenter</t>
        </is>
      </c>
      <c r="AE256" s="2" t="inlineStr">
        <is>
          <t>À documenter</t>
        </is>
      </c>
      <c r="AF256" s="2" t="inlineStr">
        <is>
          <t>À définir</t>
        </is>
      </c>
      <c r="AG256" s="2" t="inlineStr">
        <is>
          <t>À définir</t>
        </is>
      </c>
      <c r="AH256" s="2" t="inlineStr">
        <is>
          <t>Réparation d’origine si véhicule complet ; démontage si incomplet</t>
        </is>
      </c>
      <c r="AI256" s="2" t="inlineStr">
        <is>
          <t>À documenter</t>
        </is>
      </c>
      <c r="AJ256" s="2" t="inlineStr">
        <is>
          <t>À définir séparément des compatibilités historiques</t>
        </is>
      </c>
      <c r="AK256" s="2" t="inlineStr">
        <is>
          <t>À documenter</t>
        </is>
      </c>
      <c r="AL256" s="2" t="inlineStr">
        <is>
          <t>À rechercher / voir sources historiques</t>
        </is>
      </c>
      <c r="AM256" s="2" t="inlineStr">
        <is>
          <t>https://tanks-encyclopedia.com/ww2/polish/10tp/</t>
        </is>
      </c>
      <c r="AN256" s="2" t="inlineStr">
        <is>
          <t>Source de niveau variable ; contrôle par variante nécessaire</t>
        </is>
      </c>
      <c r="AO256" s="2" t="inlineStr">
        <is>
          <t>Non renseigné</t>
        </is>
      </c>
      <c r="AP256" s="2" t="inlineStr">
        <is>
          <t>Faible</t>
        </is>
      </c>
      <c r="AQ256" s="2" t="inlineStr">
        <is>
          <t>À vérifier</t>
        </is>
      </c>
      <c r="AR256" s="2" t="inlineStr">
        <is>
          <t>Partiel — fiche à compléter</t>
        </is>
      </c>
      <c r="AS256" s="2" t="inlineStr">
        <is>
          <t>P2/P3</t>
        </is>
      </c>
      <c r="AT256" s="2" t="inlineStr">
        <is>
          <t>Prototype à roues/chenilles, conçu avant la guerre.</t>
        </is>
      </c>
      <c r="AU256" s="2" t="inlineStr">
        <is>
          <t>À intégrer après validation du prototype</t>
        </is>
      </c>
      <c r="AV256" s="2" t="inlineStr">
        <is>
          <t>10TP : véhicule de catégorie « Chars de cavalerie et prototypes », d'origine Pologne. Motorisation recensée : 12 cylindres essence American LaFrance (famille à confirmer). Variante historique à vérifier avant validation définitive.</t>
        </is>
      </c>
    </row>
    <row r="257" ht="60" customHeight="1">
      <c r="A257" s="2" t="inlineStr">
        <is>
          <t>VEH-256</t>
        </is>
      </c>
      <c r="B257" s="2" t="inlineStr">
        <is>
          <t>Chars de cavalerie et prototypes</t>
        </is>
      </c>
      <c r="C257" s="2" t="inlineStr">
        <is>
          <t>14TP</t>
        </is>
      </c>
      <c r="D257" s="2" t="inlineStr">
        <is>
          <t>À distinguer si plusieurs variantes</t>
        </is>
      </c>
      <c r="E257" s="2" t="inlineStr">
        <is>
          <t>Pologne</t>
        </is>
      </c>
      <c r="F257" s="2" t="inlineStr">
        <is>
          <t>À documenter</t>
        </is>
      </c>
      <c r="G257" s="2" t="inlineStr">
        <is>
          <t>À confirmer</t>
        </is>
      </c>
      <c r="H257" s="2" t="inlineStr">
        <is>
          <t>Chars de cavalerie et prototypes</t>
        </is>
      </c>
      <c r="I257" s="2" t="inlineStr">
        <is>
          <t>À définir</t>
        </is>
      </c>
      <c r="J257" s="2" t="n"/>
      <c r="K257" s="2" t="n"/>
      <c r="L257" s="2" t="n"/>
      <c r="M257" s="2" t="n"/>
      <c r="N257" s="2" t="n"/>
      <c r="O257" s="2" t="n"/>
      <c r="P257" s="2" t="inlineStr">
        <is>
          <t>12 cylindres essence prévu, type à confirmer</t>
        </is>
      </c>
      <c r="Q257" s="2" t="n"/>
      <c r="R257" s="2" t="n"/>
      <c r="S257" s="2" t="inlineStr">
        <is>
          <t>À confirmer</t>
        </is>
      </c>
      <c r="T257" s="2" t="n"/>
      <c r="U257" s="2" t="n"/>
      <c r="V257" s="2" t="n"/>
      <c r="W257" s="2" t="n"/>
      <c r="X257" s="2" t="inlineStr">
        <is>
          <t>À documenter</t>
        </is>
      </c>
      <c r="Y257" s="2" t="inlineStr">
        <is>
          <t>À documenter</t>
        </is>
      </c>
      <c r="Z257" s="2" t="inlineStr">
        <is>
          <t>À documenter</t>
        </is>
      </c>
      <c r="AA257" s="2" t="inlineStr">
        <is>
          <t>À documenter</t>
        </is>
      </c>
      <c r="AB257" s="2" t="inlineStr">
        <is>
          <t>À documenter</t>
        </is>
      </c>
      <c r="AC257" s="2" t="inlineStr">
        <is>
          <t>Armement historique à déterminer précisément pour ce modèle/sa variante</t>
        </is>
      </c>
      <c r="AD257" s="2" t="inlineStr">
        <is>
          <t>À documenter</t>
        </is>
      </c>
      <c r="AE257" s="2" t="inlineStr">
        <is>
          <t>À documenter</t>
        </is>
      </c>
      <c r="AF257" s="2" t="inlineStr">
        <is>
          <t>À définir</t>
        </is>
      </c>
      <c r="AG257" s="2" t="inlineStr">
        <is>
          <t>À définir</t>
        </is>
      </c>
      <c r="AH257" s="2" t="inlineStr">
        <is>
          <t>Réparation d’origine si véhicule complet ; démontage si incomplet</t>
        </is>
      </c>
      <c r="AI257" s="2" t="inlineStr">
        <is>
          <t>À documenter</t>
        </is>
      </c>
      <c r="AJ257" s="2" t="inlineStr">
        <is>
          <t>À définir séparément des compatibilités historiques</t>
        </is>
      </c>
      <c r="AK257" s="2" t="inlineStr">
        <is>
          <t>À documenter</t>
        </is>
      </c>
      <c r="AL257" s="2" t="inlineStr">
        <is>
          <t>À rechercher / voir sources historiques</t>
        </is>
      </c>
      <c r="AM257" s="2" t="inlineStr">
        <is>
          <t>https://tanks-encyclopedia.com/ww2/polish/14tp/</t>
        </is>
      </c>
      <c r="AN257" s="2" t="inlineStr">
        <is>
          <t>Source de niveau variable ; contrôle par variante nécessaire</t>
        </is>
      </c>
      <c r="AO257" s="2" t="inlineStr">
        <is>
          <t>Non renseigné</t>
        </is>
      </c>
      <c r="AP257" s="2" t="inlineStr">
        <is>
          <t>Faible</t>
        </is>
      </c>
      <c r="AQ257" s="2" t="inlineStr">
        <is>
          <t>À vérifier</t>
        </is>
      </c>
      <c r="AR257" s="2" t="inlineStr">
        <is>
          <t>Partiel — fiche à compléter</t>
        </is>
      </c>
      <c r="AS257" s="2" t="inlineStr">
        <is>
          <t>P2/P3</t>
        </is>
      </c>
      <c r="AT257" s="2" t="inlineStr">
        <is>
          <t>Projet interrompu ; ne pas compter comme véhicule de série.</t>
        </is>
      </c>
      <c r="AU257" s="2" t="inlineStr">
        <is>
          <t>À intégrer après validation du prototype</t>
        </is>
      </c>
      <c r="AV257" s="2" t="inlineStr">
        <is>
          <t>14TP : véhicule de catégorie « Chars de cavalerie et prototypes », d'origine Pologne. Motorisation recensée : 12 cylindres essence prévu, type à confirmer. Variante historique à vérifier avant validation définitive.</t>
        </is>
      </c>
    </row>
    <row r="258" ht="60" customHeight="1">
      <c r="A258" s="2" t="inlineStr">
        <is>
          <t>VEH-257</t>
        </is>
      </c>
      <c r="B258" s="2" t="inlineStr">
        <is>
          <t>Chars légers et chars anciens</t>
        </is>
      </c>
      <c r="C258" s="2" t="inlineStr">
        <is>
          <t>LT vz. 34</t>
        </is>
      </c>
      <c r="D258" s="2" t="inlineStr">
        <is>
          <t>À distinguer si plusieurs variantes</t>
        </is>
      </c>
      <c r="E258" s="2" t="inlineStr">
        <is>
          <t>Tchécoslovaquie</t>
        </is>
      </c>
      <c r="F258" s="2" t="inlineStr">
        <is>
          <t>À documenter</t>
        </is>
      </c>
      <c r="G258" s="2" t="inlineStr">
        <is>
          <t>À confirmer</t>
        </is>
      </c>
      <c r="H258" s="2" t="inlineStr">
        <is>
          <t>Chars légers et chars anciens</t>
        </is>
      </c>
      <c r="I258" s="2" t="inlineStr">
        <is>
          <t>À définir</t>
        </is>
      </c>
      <c r="J258" s="2" t="n"/>
      <c r="K258" s="2" t="n"/>
      <c r="L258" s="2" t="n"/>
      <c r="M258" s="2" t="n"/>
      <c r="N258" s="2" t="n"/>
      <c r="O258" s="2" t="n"/>
      <c r="P258" s="2" t="inlineStr">
        <is>
          <t>4 cylindres essence Praga</t>
        </is>
      </c>
      <c r="Q258" s="2" t="n"/>
      <c r="R258" s="2" t="n"/>
      <c r="S258" s="2" t="inlineStr">
        <is>
          <t>À confirmer</t>
        </is>
      </c>
      <c r="T258" s="2" t="n"/>
      <c r="U258" s="2" t="n"/>
      <c r="V258" s="2" t="n"/>
      <c r="W258" s="2" t="n"/>
      <c r="X258" s="2" t="inlineStr">
        <is>
          <t>À documenter</t>
        </is>
      </c>
      <c r="Y258" s="2" t="inlineStr">
        <is>
          <t>À documenter</t>
        </is>
      </c>
      <c r="Z258" s="2" t="inlineStr">
        <is>
          <t>À documenter</t>
        </is>
      </c>
      <c r="AA258" s="2" t="inlineStr">
        <is>
          <t>À documenter</t>
        </is>
      </c>
      <c r="AB258" s="2" t="inlineStr">
        <is>
          <t>À documenter</t>
        </is>
      </c>
      <c r="AC258" s="2" t="inlineStr">
        <is>
          <t>Armement historique à déterminer précisément pour ce modèle/sa variante</t>
        </is>
      </c>
      <c r="AD258" s="2" t="inlineStr">
        <is>
          <t>À documenter</t>
        </is>
      </c>
      <c r="AE258" s="2" t="inlineStr">
        <is>
          <t>À documenter</t>
        </is>
      </c>
      <c r="AF258" s="2" t="inlineStr">
        <is>
          <t>À définir</t>
        </is>
      </c>
      <c r="AG258" s="2" t="inlineStr">
        <is>
          <t>À définir</t>
        </is>
      </c>
      <c r="AH258" s="2" t="inlineStr">
        <is>
          <t>Réparation d’origine si véhicule complet ; démontage si incomplet</t>
        </is>
      </c>
      <c r="AI258" s="2" t="inlineStr">
        <is>
          <t>À documenter</t>
        </is>
      </c>
      <c r="AJ258" s="2" t="inlineStr">
        <is>
          <t>À définir séparément des compatibilités historiques</t>
        </is>
      </c>
      <c r="AK258" s="2" t="inlineStr">
        <is>
          <t>À documenter</t>
        </is>
      </c>
      <c r="AL258" s="2" t="inlineStr">
        <is>
          <t>À rechercher / voir sources historiques</t>
        </is>
      </c>
      <c r="AM258" s="2" t="inlineStr">
        <is>
          <t>https://tanks-encyclopedia.com/ww2/czechoslovakia/lt-vz-34/</t>
        </is>
      </c>
      <c r="AN258" s="2" t="inlineStr">
        <is>
          <t>Source de niveau variable ; contrôle par variante nécessaire</t>
        </is>
      </c>
      <c r="AO258" s="2" t="inlineStr">
        <is>
          <t>Non renseigné</t>
        </is>
      </c>
      <c r="AP258" s="2" t="inlineStr">
        <is>
          <t>Faible</t>
        </is>
      </c>
      <c r="AQ258" s="2" t="inlineStr">
        <is>
          <t>À vérifier</t>
        </is>
      </c>
      <c r="AR258" s="2" t="inlineStr">
        <is>
          <t>Partiel — fiche à compléter</t>
        </is>
      </c>
      <c r="AS258" s="2" t="inlineStr">
        <is>
          <t>P2/P3</t>
        </is>
      </c>
      <c r="AT258" s="2" t="inlineStr">
        <is>
          <t>Char léger de l'entre-deux-guerres.</t>
        </is>
      </c>
      <c r="AU258" s="2" t="inlineStr">
        <is>
          <t>À intégrer après validation du prototype</t>
        </is>
      </c>
      <c r="AV258" s="2" t="inlineStr">
        <is>
          <t>LT vz. 34 : véhicule de catégorie « Chars légers et chars anciens », d'origine Tchécoslovaquie. Motorisation recensée : 4 cylindres essence Praga. Variante historique à vérifier avant validation définitive.</t>
        </is>
      </c>
    </row>
    <row r="259" ht="60" customHeight="1">
      <c r="A259" s="2" t="inlineStr">
        <is>
          <t>VEH-258</t>
        </is>
      </c>
      <c r="B259" s="2" t="inlineStr">
        <is>
          <t>Chars légers et chars anciens</t>
        </is>
      </c>
      <c r="C259" s="2" t="inlineStr">
        <is>
          <t>LT vz. 35 / Panzer 35(t)</t>
        </is>
      </c>
      <c r="D259" s="2" t="inlineStr">
        <is>
          <t>À distinguer si plusieurs variantes</t>
        </is>
      </c>
      <c r="E259" s="2" t="inlineStr">
        <is>
          <t>Tchécoslovaquie</t>
        </is>
      </c>
      <c r="F259" s="2" t="inlineStr">
        <is>
          <t>À documenter</t>
        </is>
      </c>
      <c r="G259" s="2" t="inlineStr">
        <is>
          <t>À confirmer</t>
        </is>
      </c>
      <c r="H259" s="2" t="inlineStr">
        <is>
          <t>Chars légers et chars anciens</t>
        </is>
      </c>
      <c r="I259" s="2" t="inlineStr">
        <is>
          <t>À définir</t>
        </is>
      </c>
      <c r="J259" s="2" t="n"/>
      <c r="K259" s="2" t="n"/>
      <c r="L259" s="2" t="n"/>
      <c r="M259" s="2" t="n"/>
      <c r="N259" s="2" t="n"/>
      <c r="O259" s="2" t="n"/>
      <c r="P259" s="2" t="inlineStr">
        <is>
          <t>6 cylindres essence Škoda T-11</t>
        </is>
      </c>
      <c r="Q259" s="2" t="n"/>
      <c r="R259" s="2" t="n"/>
      <c r="S259" s="2" t="inlineStr">
        <is>
          <t>À confirmer</t>
        </is>
      </c>
      <c r="T259" s="2" t="n"/>
      <c r="U259" s="2" t="n"/>
      <c r="V259" s="2" t="n"/>
      <c r="W259" s="2" t="n"/>
      <c r="X259" s="2" t="inlineStr">
        <is>
          <t>À documenter</t>
        </is>
      </c>
      <c r="Y259" s="2" t="inlineStr">
        <is>
          <t>À documenter</t>
        </is>
      </c>
      <c r="Z259" s="2" t="inlineStr">
        <is>
          <t>À documenter</t>
        </is>
      </c>
      <c r="AA259" s="2" t="inlineStr">
        <is>
          <t>À documenter</t>
        </is>
      </c>
      <c r="AB259" s="2" t="inlineStr">
        <is>
          <t>À documenter</t>
        </is>
      </c>
      <c r="AC259" s="2" t="inlineStr">
        <is>
          <t>Armement historique à déterminer précisément pour ce modèle/sa variante</t>
        </is>
      </c>
      <c r="AD259" s="2" t="inlineStr">
        <is>
          <t>À documenter</t>
        </is>
      </c>
      <c r="AE259" s="2" t="inlineStr">
        <is>
          <t>À documenter</t>
        </is>
      </c>
      <c r="AF259" s="2" t="inlineStr">
        <is>
          <t>À définir</t>
        </is>
      </c>
      <c r="AG259" s="2" t="inlineStr">
        <is>
          <t>À définir</t>
        </is>
      </c>
      <c r="AH259" s="2" t="inlineStr">
        <is>
          <t>Réparation d’origine si véhicule complet ; démontage si incomplet</t>
        </is>
      </c>
      <c r="AI259" s="2" t="inlineStr">
        <is>
          <t>À documenter</t>
        </is>
      </c>
      <c r="AJ259" s="2" t="inlineStr">
        <is>
          <t>À définir séparément des compatibilités historiques</t>
        </is>
      </c>
      <c r="AK259" s="2" t="inlineStr">
        <is>
          <t>À documenter</t>
        </is>
      </c>
      <c r="AL259" s="2" t="inlineStr">
        <is>
          <t>À rechercher / voir sources historiques</t>
        </is>
      </c>
      <c r="AM259" s="2" t="inlineStr">
        <is>
          <t>https://tanks-encyclopedia.com/ww2/czechoslovakia/lt-vz-35/</t>
        </is>
      </c>
      <c r="AN259" s="2" t="inlineStr">
        <is>
          <t>Source de niveau variable ; contrôle par variante nécessaire</t>
        </is>
      </c>
      <c r="AO259" s="2" t="inlineStr">
        <is>
          <t>Non renseigné</t>
        </is>
      </c>
      <c r="AP259" s="2" t="inlineStr">
        <is>
          <t>Faible</t>
        </is>
      </c>
      <c r="AQ259" s="2" t="inlineStr">
        <is>
          <t>À vérifier</t>
        </is>
      </c>
      <c r="AR259" s="2" t="inlineStr">
        <is>
          <t>Partiel — fiche à compléter</t>
        </is>
      </c>
      <c r="AS259" s="2" t="inlineStr">
        <is>
          <t>P2/P3</t>
        </is>
      </c>
      <c r="AT259" s="2" t="inlineStr">
        <is>
          <t>Famille Škoda ; versions export et allemandes.</t>
        </is>
      </c>
      <c r="AU259" s="2" t="inlineStr">
        <is>
          <t>À intégrer après validation du prototype</t>
        </is>
      </c>
      <c r="AV259" s="2" t="inlineStr">
        <is>
          <t>LT vz. 35 / Panzer 35(t) : véhicule de catégorie « Chars légers et chars anciens », d'origine Tchécoslovaquie. Motorisation recensée : 6 cylindres essence Škoda T-11. Fiche de catalogue à compléter avec le rôle tactique et les caractéristiques de jeu.</t>
        </is>
      </c>
    </row>
    <row r="260" ht="60" customHeight="1">
      <c r="A260" s="2" t="inlineStr">
        <is>
          <t>VEH-259</t>
        </is>
      </c>
      <c r="B260" s="2" t="inlineStr">
        <is>
          <t>Chars légers et chars anciens</t>
        </is>
      </c>
      <c r="C260" s="2" t="inlineStr">
        <is>
          <t>LT vz. 38 / Panzer 38(t)</t>
        </is>
      </c>
      <c r="D260" s="2" t="inlineStr">
        <is>
          <t>À distinguer si plusieurs variantes</t>
        </is>
      </c>
      <c r="E260" s="2" t="inlineStr">
        <is>
          <t>Tchécoslovaquie</t>
        </is>
      </c>
      <c r="F260" s="2" t="inlineStr">
        <is>
          <t>À documenter</t>
        </is>
      </c>
      <c r="G260" s="2" t="inlineStr">
        <is>
          <t>À confirmer</t>
        </is>
      </c>
      <c r="H260" s="2" t="inlineStr">
        <is>
          <t>Chars légers et chars anciens</t>
        </is>
      </c>
      <c r="I260" s="2" t="inlineStr">
        <is>
          <t>À définir</t>
        </is>
      </c>
      <c r="J260" s="2" t="n"/>
      <c r="K260" s="2" t="n"/>
      <c r="L260" s="2" t="n"/>
      <c r="M260" s="2" t="n"/>
      <c r="N260" s="2" t="n"/>
      <c r="O260" s="2" t="n"/>
      <c r="P260" s="2" t="inlineStr">
        <is>
          <t>6 cylindres essence Praga EPA</t>
        </is>
      </c>
      <c r="Q260" s="2" t="n"/>
      <c r="R260" s="2" t="n"/>
      <c r="S260" s="2" t="inlineStr">
        <is>
          <t>À confirmer</t>
        </is>
      </c>
      <c r="T260" s="2" t="n"/>
      <c r="U260" s="2" t="n"/>
      <c r="V260" s="2" t="n"/>
      <c r="W260" s="2" t="n"/>
      <c r="X260" s="2" t="inlineStr">
        <is>
          <t>À documenter</t>
        </is>
      </c>
      <c r="Y260" s="2" t="inlineStr">
        <is>
          <t>À documenter</t>
        </is>
      </c>
      <c r="Z260" s="2" t="inlineStr">
        <is>
          <t>À documenter</t>
        </is>
      </c>
      <c r="AA260" s="2" t="inlineStr">
        <is>
          <t>À documenter</t>
        </is>
      </c>
      <c r="AB260" s="2" t="inlineStr">
        <is>
          <t>À documenter</t>
        </is>
      </c>
      <c r="AC260" s="2" t="inlineStr">
        <is>
          <t>Armement historique à déterminer précisément pour ce modèle/sa variante</t>
        </is>
      </c>
      <c r="AD260" s="2" t="inlineStr">
        <is>
          <t>À documenter</t>
        </is>
      </c>
      <c r="AE260" s="2" t="inlineStr">
        <is>
          <t>À documenter</t>
        </is>
      </c>
      <c r="AF260" s="2" t="inlineStr">
        <is>
          <t>À définir</t>
        </is>
      </c>
      <c r="AG260" s="2" t="inlineStr">
        <is>
          <t>À définir</t>
        </is>
      </c>
      <c r="AH260" s="2" t="inlineStr">
        <is>
          <t>Réparation d’origine si véhicule complet ; démontage si incomplet</t>
        </is>
      </c>
      <c r="AI260" s="2" t="inlineStr">
        <is>
          <t>À documenter</t>
        </is>
      </c>
      <c r="AJ260" s="2" t="inlineStr">
        <is>
          <t>À définir séparément des compatibilités historiques</t>
        </is>
      </c>
      <c r="AK260" s="2" t="inlineStr">
        <is>
          <t>À documenter</t>
        </is>
      </c>
      <c r="AL260" s="2" t="inlineStr">
        <is>
          <t>À rechercher / voir sources historiques</t>
        </is>
      </c>
      <c r="AM260" s="2" t="inlineStr">
        <is>
          <t>https://tanks-encyclopedia.com/ww2/czechoslovakia/lt-vz-38/</t>
        </is>
      </c>
      <c r="AN260" s="2" t="inlineStr">
        <is>
          <t>Source de niveau variable ; contrôle par variante nécessaire</t>
        </is>
      </c>
      <c r="AO260" s="2" t="inlineStr">
        <is>
          <t>Non renseigné</t>
        </is>
      </c>
      <c r="AP260" s="2" t="inlineStr">
        <is>
          <t>Faible</t>
        </is>
      </c>
      <c r="AQ260" s="2" t="inlineStr">
        <is>
          <t>À vérifier</t>
        </is>
      </c>
      <c r="AR260" s="2" t="inlineStr">
        <is>
          <t>Partiel — fiche à compléter</t>
        </is>
      </c>
      <c r="AS260" s="2" t="inlineStr">
        <is>
          <t>P2/P3</t>
        </is>
      </c>
      <c r="AT260" s="2" t="inlineStr">
        <is>
          <t>Famille moteur Praga réutilisée sur plusieurs dérivés.</t>
        </is>
      </c>
      <c r="AU260" s="2" t="inlineStr">
        <is>
          <t>À intégrer après validation du prototype</t>
        </is>
      </c>
      <c r="AV260" s="2" t="inlineStr">
        <is>
          <t>LT vz. 38 / Panzer 38(t) : véhicule de catégorie « Chars légers et chars anciens », d'origine Tchécoslovaquie. Motorisation recensée : 6 cylindres essence Praga EPA. Fiche de catalogue à compléter avec le rôle tactique et les caractéristiques de jeu.</t>
        </is>
      </c>
    </row>
    <row r="261" ht="60" customHeight="1">
      <c r="A261" s="2" t="inlineStr">
        <is>
          <t>VEH-260</t>
        </is>
      </c>
      <c r="B261" s="2" t="inlineStr">
        <is>
          <t>Chars légers et chars anciens</t>
        </is>
      </c>
      <c r="C261" s="2" t="inlineStr">
        <is>
          <t>AH-IV</t>
        </is>
      </c>
      <c r="D261" s="2" t="inlineStr">
        <is>
          <t>À distinguer si plusieurs variantes</t>
        </is>
      </c>
      <c r="E261" s="2" t="inlineStr">
        <is>
          <t>Tchécoslovaquie</t>
        </is>
      </c>
      <c r="F261" s="2" t="inlineStr">
        <is>
          <t>À documenter</t>
        </is>
      </c>
      <c r="G261" s="2" t="inlineStr">
        <is>
          <t>À confirmer</t>
        </is>
      </c>
      <c r="H261" s="2" t="inlineStr">
        <is>
          <t>Chars légers et chars anciens</t>
        </is>
      </c>
      <c r="I261" s="2" t="inlineStr">
        <is>
          <t>À définir</t>
        </is>
      </c>
      <c r="J261" s="2" t="n"/>
      <c r="K261" s="2" t="n"/>
      <c r="L261" s="2" t="n"/>
      <c r="M261" s="2" t="n"/>
      <c r="N261" s="2" t="n"/>
      <c r="O261" s="2" t="n"/>
      <c r="P261" s="2" t="inlineStr">
        <is>
          <t>6 cylindres essence Praga (à confirmer)</t>
        </is>
      </c>
      <c r="Q261" s="2" t="n"/>
      <c r="R261" s="2" t="n"/>
      <c r="S261" s="2" t="inlineStr">
        <is>
          <t>À confirmer</t>
        </is>
      </c>
      <c r="T261" s="2" t="n"/>
      <c r="U261" s="2" t="n"/>
      <c r="V261" s="2" t="n"/>
      <c r="W261" s="2" t="n"/>
      <c r="X261" s="2" t="inlineStr">
        <is>
          <t>À documenter</t>
        </is>
      </c>
      <c r="Y261" s="2" t="inlineStr">
        <is>
          <t>À documenter</t>
        </is>
      </c>
      <c r="Z261" s="2" t="inlineStr">
        <is>
          <t>À documenter</t>
        </is>
      </c>
      <c r="AA261" s="2" t="inlineStr">
        <is>
          <t>À documenter</t>
        </is>
      </c>
      <c r="AB261" s="2" t="inlineStr">
        <is>
          <t>À documenter</t>
        </is>
      </c>
      <c r="AC261" s="2" t="inlineStr">
        <is>
          <t>Armement historique à déterminer précisément pour ce modèle/sa variante</t>
        </is>
      </c>
      <c r="AD261" s="2" t="inlineStr">
        <is>
          <t>À documenter</t>
        </is>
      </c>
      <c r="AE261" s="2" t="inlineStr">
        <is>
          <t>À documenter</t>
        </is>
      </c>
      <c r="AF261" s="2" t="inlineStr">
        <is>
          <t>À définir</t>
        </is>
      </c>
      <c r="AG261" s="2" t="inlineStr">
        <is>
          <t>À définir</t>
        </is>
      </c>
      <c r="AH261" s="2" t="inlineStr">
        <is>
          <t>Réparation d’origine si véhicule complet ; démontage si incomplet</t>
        </is>
      </c>
      <c r="AI261" s="2" t="inlineStr">
        <is>
          <t>À documenter</t>
        </is>
      </c>
      <c r="AJ261" s="2" t="inlineStr">
        <is>
          <t>À définir séparément des compatibilités historiques</t>
        </is>
      </c>
      <c r="AK261" s="2" t="inlineStr">
        <is>
          <t>À documenter</t>
        </is>
      </c>
      <c r="AL261" s="2" t="inlineStr">
        <is>
          <t>À rechercher / voir sources historiques</t>
        </is>
      </c>
      <c r="AM261" s="2" t="inlineStr">
        <is>
          <t>https://tanks-encyclopedia.com/ww2/czechoslovakia/ah-iv/</t>
        </is>
      </c>
      <c r="AN261" s="2" t="inlineStr">
        <is>
          <t>Source de niveau variable ; contrôle par variante nécessaire</t>
        </is>
      </c>
      <c r="AO261" s="2" t="inlineStr">
        <is>
          <t>Non renseigné</t>
        </is>
      </c>
      <c r="AP261" s="2" t="inlineStr">
        <is>
          <t>Faible</t>
        </is>
      </c>
      <c r="AQ261" s="2" t="inlineStr">
        <is>
          <t>À vérifier</t>
        </is>
      </c>
      <c r="AR261" s="2" t="inlineStr">
        <is>
          <t>Partiel — fiche à compléter</t>
        </is>
      </c>
      <c r="AS261" s="2" t="inlineStr">
        <is>
          <t>P2/P3</t>
        </is>
      </c>
      <c r="AT261" s="2" t="inlineStr">
        <is>
          <t>Tankette exportée et utilisée par plusieurs pays.</t>
        </is>
      </c>
      <c r="AU261" s="2" t="inlineStr">
        <is>
          <t>À intégrer après validation du prototype</t>
        </is>
      </c>
      <c r="AV261" s="2" t="inlineStr">
        <is>
          <t>AH-IV : véhicule de catégorie « Chars légers et chars anciens », d'origine Tchécoslovaquie. Motorisation recensée : 6 cylindres essence Praga (à confirmer). Variante historique à vérifier avant validation définitive.</t>
        </is>
      </c>
    </row>
    <row r="262" ht="60" customHeight="1">
      <c r="A262" s="2" t="inlineStr">
        <is>
          <t>VEH-261</t>
        </is>
      </c>
      <c r="B262" s="2" t="inlineStr">
        <is>
          <t>Chars légers et chars anciens</t>
        </is>
      </c>
      <c r="C262" s="2" t="inlineStr">
        <is>
          <t>Strv m/38 (L-60)</t>
        </is>
      </c>
      <c r="D262" s="2" t="inlineStr">
        <is>
          <t>À distinguer si plusieurs variantes</t>
        </is>
      </c>
      <c r="E262" s="2" t="inlineStr">
        <is>
          <t>Suède</t>
        </is>
      </c>
      <c r="F262" s="2" t="inlineStr">
        <is>
          <t>À documenter</t>
        </is>
      </c>
      <c r="G262" s="2" t="inlineStr">
        <is>
          <t>À confirmer</t>
        </is>
      </c>
      <c r="H262" s="2" t="inlineStr">
        <is>
          <t>Chars légers et chars anciens</t>
        </is>
      </c>
      <c r="I262" s="2" t="inlineStr">
        <is>
          <t>À définir</t>
        </is>
      </c>
      <c r="J262" s="2" t="n"/>
      <c r="K262" s="2" t="n"/>
      <c r="L262" s="2" t="n"/>
      <c r="M262" s="2" t="n"/>
      <c r="N262" s="2" t="n"/>
      <c r="O262" s="2" t="n"/>
      <c r="P262" s="2" t="inlineStr">
        <is>
          <t>8 cylindres essence Scania-Vabis (type à confirmer)</t>
        </is>
      </c>
      <c r="Q262" s="2" t="n"/>
      <c r="R262" s="2" t="n"/>
      <c r="S262" s="2" t="inlineStr">
        <is>
          <t>À confirmer</t>
        </is>
      </c>
      <c r="T262" s="2" t="n"/>
      <c r="U262" s="2" t="n"/>
      <c r="V262" s="2" t="n"/>
      <c r="W262" s="2" t="n"/>
      <c r="X262" s="2" t="inlineStr">
        <is>
          <t>À documenter</t>
        </is>
      </c>
      <c r="Y262" s="2" t="inlineStr">
        <is>
          <t>À documenter</t>
        </is>
      </c>
      <c r="Z262" s="2" t="inlineStr">
        <is>
          <t>À documenter</t>
        </is>
      </c>
      <c r="AA262" s="2" t="inlineStr">
        <is>
          <t>À documenter</t>
        </is>
      </c>
      <c r="AB262" s="2" t="inlineStr">
        <is>
          <t>À documenter</t>
        </is>
      </c>
      <c r="AC262" s="2" t="inlineStr">
        <is>
          <t>Armement historique à déterminer précisément pour ce modèle/sa variante</t>
        </is>
      </c>
      <c r="AD262" s="2" t="inlineStr">
        <is>
          <t>À documenter</t>
        </is>
      </c>
      <c r="AE262" s="2" t="inlineStr">
        <is>
          <t>À documenter</t>
        </is>
      </c>
      <c r="AF262" s="2" t="inlineStr">
        <is>
          <t>À définir</t>
        </is>
      </c>
      <c r="AG262" s="2" t="inlineStr">
        <is>
          <t>À définir</t>
        </is>
      </c>
      <c r="AH262" s="2" t="inlineStr">
        <is>
          <t>Réparation d’origine si véhicule complet ; démontage si incomplet</t>
        </is>
      </c>
      <c r="AI262" s="2" t="inlineStr">
        <is>
          <t>À documenter</t>
        </is>
      </c>
      <c r="AJ262" s="2" t="inlineStr">
        <is>
          <t>À définir séparément des compatibilités historiques</t>
        </is>
      </c>
      <c r="AK262" s="2" t="inlineStr">
        <is>
          <t>À documenter</t>
        </is>
      </c>
      <c r="AL262" s="2" t="inlineStr">
        <is>
          <t>À rechercher / voir sources historiques</t>
        </is>
      </c>
      <c r="AM262" s="2" t="inlineStr">
        <is>
          <t>https://www.militaryfactory.com/armor/ww2-swedish-tanks.php</t>
        </is>
      </c>
      <c r="AN262" s="2" t="inlineStr">
        <is>
          <t>Source de niveau variable ; contrôle par variante nécessaire</t>
        </is>
      </c>
      <c r="AO262" s="2" t="inlineStr">
        <is>
          <t>Non renseigné</t>
        </is>
      </c>
      <c r="AP262" s="2" t="inlineStr">
        <is>
          <t>Faible</t>
        </is>
      </c>
      <c r="AQ262" s="2" t="inlineStr">
        <is>
          <t>À vérifier</t>
        </is>
      </c>
      <c r="AR262" s="2" t="inlineStr">
        <is>
          <t>Partiel — fiche à compléter</t>
        </is>
      </c>
      <c r="AS262" s="2" t="inlineStr">
        <is>
          <t>P2/P3</t>
        </is>
      </c>
      <c r="AT262" s="2" t="inlineStr">
        <is>
          <t>Famille suédoise ; variantes m/38–m/40 à distinguer.</t>
        </is>
      </c>
      <c r="AU262" s="2" t="inlineStr">
        <is>
          <t>À intégrer après validation du prototype</t>
        </is>
      </c>
      <c r="AV262" s="2" t="inlineStr">
        <is>
          <t>Strv m/38 (L-60) : véhicule de catégorie « Chars légers et chars anciens », d'origine Suède. Motorisation recensée : 8 cylindres essence Scania-Vabis (type à confirmer). Variante historique à vérifier avant validation définitive.</t>
        </is>
      </c>
    </row>
    <row r="263" ht="60" customHeight="1">
      <c r="A263" s="2" t="inlineStr">
        <is>
          <t>VEH-262</t>
        </is>
      </c>
      <c r="B263" s="2" t="inlineStr">
        <is>
          <t>Chars légers et chars anciens</t>
        </is>
      </c>
      <c r="C263" s="2" t="inlineStr">
        <is>
          <t>Strv m/39</t>
        </is>
      </c>
      <c r="D263" s="2" t="inlineStr">
        <is>
          <t>À distinguer si plusieurs variantes</t>
        </is>
      </c>
      <c r="E263" s="2" t="inlineStr">
        <is>
          <t>Suède</t>
        </is>
      </c>
      <c r="F263" s="2" t="inlineStr">
        <is>
          <t>À documenter</t>
        </is>
      </c>
      <c r="G263" s="2" t="inlineStr">
        <is>
          <t>À confirmer</t>
        </is>
      </c>
      <c r="H263" s="2" t="inlineStr">
        <is>
          <t>Chars légers et chars anciens</t>
        </is>
      </c>
      <c r="I263" s="2" t="inlineStr">
        <is>
          <t>À définir</t>
        </is>
      </c>
      <c r="J263" s="2" t="n"/>
      <c r="K263" s="2" t="n"/>
      <c r="L263" s="2" t="n"/>
      <c r="M263" s="2" t="n"/>
      <c r="N263" s="2" t="n"/>
      <c r="O263" s="2" t="n"/>
      <c r="P263" s="2" t="inlineStr">
        <is>
          <t>8 cylindres essence Scania-Vabis (à confirmer)</t>
        </is>
      </c>
      <c r="Q263" s="2" t="n"/>
      <c r="R263" s="2" t="n"/>
      <c r="S263" s="2" t="inlineStr">
        <is>
          <t>À confirmer</t>
        </is>
      </c>
      <c r="T263" s="2" t="n"/>
      <c r="U263" s="2" t="n"/>
      <c r="V263" s="2" t="n"/>
      <c r="W263" s="2" t="n"/>
      <c r="X263" s="2" t="inlineStr">
        <is>
          <t>À documenter</t>
        </is>
      </c>
      <c r="Y263" s="2" t="inlineStr">
        <is>
          <t>À documenter</t>
        </is>
      </c>
      <c r="Z263" s="2" t="inlineStr">
        <is>
          <t>À documenter</t>
        </is>
      </c>
      <c r="AA263" s="2" t="inlineStr">
        <is>
          <t>À documenter</t>
        </is>
      </c>
      <c r="AB263" s="2" t="inlineStr">
        <is>
          <t>À documenter</t>
        </is>
      </c>
      <c r="AC263" s="2" t="inlineStr">
        <is>
          <t>Armement historique à déterminer précisément pour ce modèle/sa variante</t>
        </is>
      </c>
      <c r="AD263" s="2" t="inlineStr">
        <is>
          <t>À documenter</t>
        </is>
      </c>
      <c r="AE263" s="2" t="inlineStr">
        <is>
          <t>À documenter</t>
        </is>
      </c>
      <c r="AF263" s="2" t="inlineStr">
        <is>
          <t>À définir</t>
        </is>
      </c>
      <c r="AG263" s="2" t="inlineStr">
        <is>
          <t>À définir</t>
        </is>
      </c>
      <c r="AH263" s="2" t="inlineStr">
        <is>
          <t>Réparation d’origine si véhicule complet ; démontage si incomplet</t>
        </is>
      </c>
      <c r="AI263" s="2" t="inlineStr">
        <is>
          <t>À documenter</t>
        </is>
      </c>
      <c r="AJ263" s="2" t="inlineStr">
        <is>
          <t>À définir séparément des compatibilités historiques</t>
        </is>
      </c>
      <c r="AK263" s="2" t="inlineStr">
        <is>
          <t>À documenter</t>
        </is>
      </c>
      <c r="AL263" s="2" t="inlineStr">
        <is>
          <t>À rechercher / voir sources historiques</t>
        </is>
      </c>
      <c r="AM263" s="2" t="inlineStr">
        <is>
          <t>https://www.militaryfactory.com/armor/ww2-swedish-tanks.php</t>
        </is>
      </c>
      <c r="AN263" s="2" t="inlineStr">
        <is>
          <t>Source de niveau variable ; contrôle par variante nécessaire</t>
        </is>
      </c>
      <c r="AO263" s="2" t="inlineStr">
        <is>
          <t>Non renseigné</t>
        </is>
      </c>
      <c r="AP263" s="2" t="inlineStr">
        <is>
          <t>Faible</t>
        </is>
      </c>
      <c r="AQ263" s="2" t="inlineStr">
        <is>
          <t>À vérifier</t>
        </is>
      </c>
      <c r="AR263" s="2" t="inlineStr">
        <is>
          <t>Partiel — fiche à compléter</t>
        </is>
      </c>
      <c r="AS263" s="2" t="inlineStr">
        <is>
          <t>P2/P3</t>
        </is>
      </c>
      <c r="AT263" s="2" t="inlineStr">
        <is>
          <t>Évolution du Strv m/38.</t>
        </is>
      </c>
      <c r="AU263" s="2" t="inlineStr">
        <is>
          <t>À intégrer après validation du prototype</t>
        </is>
      </c>
      <c r="AV263" s="2" t="inlineStr">
        <is>
          <t>Strv m/39 : véhicule de catégorie « Chars légers et chars anciens », d'origine Suède. Motorisation recensée : 8 cylindres essence Scania-Vabis (à confirmer). Variante historique à vérifier avant validation définitive.</t>
        </is>
      </c>
    </row>
    <row r="264" ht="60" customHeight="1">
      <c r="A264" s="2" t="inlineStr">
        <is>
          <t>VEH-263</t>
        </is>
      </c>
      <c r="B264" s="2" t="inlineStr">
        <is>
          <t>Chars légers et chars anciens</t>
        </is>
      </c>
      <c r="C264" s="2" t="inlineStr">
        <is>
          <t>Strv m/40</t>
        </is>
      </c>
      <c r="D264" s="2" t="inlineStr">
        <is>
          <t>À distinguer si plusieurs variantes</t>
        </is>
      </c>
      <c r="E264" s="2" t="inlineStr">
        <is>
          <t>Suède</t>
        </is>
      </c>
      <c r="F264" s="2" t="inlineStr">
        <is>
          <t>À documenter</t>
        </is>
      </c>
      <c r="G264" s="2" t="inlineStr">
        <is>
          <t>À confirmer</t>
        </is>
      </c>
      <c r="H264" s="2" t="inlineStr">
        <is>
          <t>Chars légers et chars anciens</t>
        </is>
      </c>
      <c r="I264" s="2" t="inlineStr">
        <is>
          <t>À définir</t>
        </is>
      </c>
      <c r="J264" s="2" t="n"/>
      <c r="K264" s="2" t="n"/>
      <c r="L264" s="2" t="n"/>
      <c r="M264" s="2" t="n"/>
      <c r="N264" s="2" t="n"/>
      <c r="O264" s="2" t="n"/>
      <c r="P264" s="2" t="inlineStr">
        <is>
          <t>8 cylindres essence Scania-Vabis (à confirmer)</t>
        </is>
      </c>
      <c r="Q264" s="2" t="n"/>
      <c r="R264" s="2" t="n"/>
      <c r="S264" s="2" t="inlineStr">
        <is>
          <t>À confirmer</t>
        </is>
      </c>
      <c r="T264" s="2" t="n"/>
      <c r="U264" s="2" t="n"/>
      <c r="V264" s="2" t="n"/>
      <c r="W264" s="2" t="n"/>
      <c r="X264" s="2" t="inlineStr">
        <is>
          <t>À documenter</t>
        </is>
      </c>
      <c r="Y264" s="2" t="inlineStr">
        <is>
          <t>À documenter</t>
        </is>
      </c>
      <c r="Z264" s="2" t="inlineStr">
        <is>
          <t>À documenter</t>
        </is>
      </c>
      <c r="AA264" s="2" t="inlineStr">
        <is>
          <t>À documenter</t>
        </is>
      </c>
      <c r="AB264" s="2" t="inlineStr">
        <is>
          <t>À documenter</t>
        </is>
      </c>
      <c r="AC264" s="2" t="inlineStr">
        <is>
          <t>Armement historique à déterminer précisément pour ce modèle/sa variante</t>
        </is>
      </c>
      <c r="AD264" s="2" t="inlineStr">
        <is>
          <t>À documenter</t>
        </is>
      </c>
      <c r="AE264" s="2" t="inlineStr">
        <is>
          <t>À documenter</t>
        </is>
      </c>
      <c r="AF264" s="2" t="inlineStr">
        <is>
          <t>À définir</t>
        </is>
      </c>
      <c r="AG264" s="2" t="inlineStr">
        <is>
          <t>À définir</t>
        </is>
      </c>
      <c r="AH264" s="2" t="inlineStr">
        <is>
          <t>Réparation d’origine si véhicule complet ; démontage si incomplet</t>
        </is>
      </c>
      <c r="AI264" s="2" t="inlineStr">
        <is>
          <t>À documenter</t>
        </is>
      </c>
      <c r="AJ264" s="2" t="inlineStr">
        <is>
          <t>À définir séparément des compatibilités historiques</t>
        </is>
      </c>
      <c r="AK264" s="2" t="inlineStr">
        <is>
          <t>À documenter</t>
        </is>
      </c>
      <c r="AL264" s="2" t="inlineStr">
        <is>
          <t>À rechercher / voir sources historiques</t>
        </is>
      </c>
      <c r="AM264" s="2" t="inlineStr">
        <is>
          <t>https://www.militaryfactory.com/armor/ww2-swedish-tanks.php</t>
        </is>
      </c>
      <c r="AN264" s="2" t="inlineStr">
        <is>
          <t>Source de niveau variable ; contrôle par variante nécessaire</t>
        </is>
      </c>
      <c r="AO264" s="2" t="inlineStr">
        <is>
          <t>Non renseigné</t>
        </is>
      </c>
      <c r="AP264" s="2" t="inlineStr">
        <is>
          <t>Faible</t>
        </is>
      </c>
      <c r="AQ264" s="2" t="inlineStr">
        <is>
          <t>À vérifier</t>
        </is>
      </c>
      <c r="AR264" s="2" t="inlineStr">
        <is>
          <t>Partiel — fiche à compléter</t>
        </is>
      </c>
      <c r="AS264" s="2" t="inlineStr">
        <is>
          <t>P2/P3</t>
        </is>
      </c>
      <c r="AT264" s="2" t="inlineStr">
        <is>
          <t>Évolution du L-60.</t>
        </is>
      </c>
      <c r="AU264" s="2" t="inlineStr">
        <is>
          <t>À intégrer après validation du prototype</t>
        </is>
      </c>
      <c r="AV264" s="2" t="inlineStr">
        <is>
          <t>Strv m/40 : véhicule de catégorie « Chars légers et chars anciens », d'origine Suède. Motorisation recensée : 8 cylindres essence Scania-Vabis (à confirmer). Variante historique à vérifier avant validation définitive.</t>
        </is>
      </c>
    </row>
    <row r="265" ht="60" customHeight="1">
      <c r="A265" s="2" t="inlineStr">
        <is>
          <t>VEH-264</t>
        </is>
      </c>
      <c r="B265" s="2" t="inlineStr">
        <is>
          <t>Chars moyens</t>
        </is>
      </c>
      <c r="C265" s="2" t="inlineStr">
        <is>
          <t>Strv m/42</t>
        </is>
      </c>
      <c r="D265" s="2" t="inlineStr">
        <is>
          <t>À distinguer si plusieurs variantes</t>
        </is>
      </c>
      <c r="E265" s="2" t="inlineStr">
        <is>
          <t>Suède</t>
        </is>
      </c>
      <c r="F265" s="2" t="inlineStr">
        <is>
          <t>À documenter</t>
        </is>
      </c>
      <c r="G265" s="2" t="inlineStr">
        <is>
          <t>À confirmer</t>
        </is>
      </c>
      <c r="H265" s="2" t="inlineStr">
        <is>
          <t>Chars moyens</t>
        </is>
      </c>
      <c r="I265" s="2" t="inlineStr">
        <is>
          <t>À définir</t>
        </is>
      </c>
      <c r="J265" s="2" t="n"/>
      <c r="K265" s="2" t="n"/>
      <c r="L265" s="2" t="n"/>
      <c r="M265" s="2" t="n"/>
      <c r="N265" s="2" t="n"/>
      <c r="O265" s="2" t="n"/>
      <c r="P265" s="2" t="inlineStr">
        <is>
          <t>6 cylindres essence Scania-Vabis typiquement (selon version)</t>
        </is>
      </c>
      <c r="Q265" s="2" t="n"/>
      <c r="R265" s="2" t="n"/>
      <c r="S265" s="2" t="inlineStr">
        <is>
          <t>À confirmer</t>
        </is>
      </c>
      <c r="T265" s="2" t="n"/>
      <c r="U265" s="2" t="n"/>
      <c r="V265" s="2" t="n"/>
      <c r="W265" s="2" t="n"/>
      <c r="X265" s="2" t="inlineStr">
        <is>
          <t>À documenter</t>
        </is>
      </c>
      <c r="Y265" s="2" t="inlineStr">
        <is>
          <t>À documenter</t>
        </is>
      </c>
      <c r="Z265" s="2" t="inlineStr">
        <is>
          <t>À documenter</t>
        </is>
      </c>
      <c r="AA265" s="2" t="inlineStr">
        <is>
          <t>À documenter</t>
        </is>
      </c>
      <c r="AB265" s="2" t="inlineStr">
        <is>
          <t>À documenter</t>
        </is>
      </c>
      <c r="AC265" s="2" t="inlineStr">
        <is>
          <t>Armement historique à déterminer précisément pour ce modèle/sa variante</t>
        </is>
      </c>
      <c r="AD265" s="2" t="inlineStr">
        <is>
          <t>À documenter</t>
        </is>
      </c>
      <c r="AE265" s="2" t="inlineStr">
        <is>
          <t>À documenter</t>
        </is>
      </c>
      <c r="AF265" s="2" t="inlineStr">
        <is>
          <t>À définir</t>
        </is>
      </c>
      <c r="AG265" s="2" t="inlineStr">
        <is>
          <t>À définir</t>
        </is>
      </c>
      <c r="AH265" s="2" t="inlineStr">
        <is>
          <t>Réparation d’origine si véhicule complet ; démontage si incomplet</t>
        </is>
      </c>
      <c r="AI265" s="2" t="inlineStr">
        <is>
          <t>À documenter</t>
        </is>
      </c>
      <c r="AJ265" s="2" t="inlineStr">
        <is>
          <t>À définir séparément des compatibilités historiques</t>
        </is>
      </c>
      <c r="AK265" s="2" t="inlineStr">
        <is>
          <t>À documenter</t>
        </is>
      </c>
      <c r="AL265" s="2" t="inlineStr">
        <is>
          <t>À rechercher / voir sources historiques</t>
        </is>
      </c>
      <c r="AM265" s="2" t="inlineStr">
        <is>
          <t>https://www.militaryfactory.com/armor/ww2-swedish-tanks.php</t>
        </is>
      </c>
      <c r="AN265" s="2" t="inlineStr">
        <is>
          <t>Source de niveau variable ; contrôle par variante nécessaire</t>
        </is>
      </c>
      <c r="AO265" s="2" t="inlineStr">
        <is>
          <t>Non renseigné</t>
        </is>
      </c>
      <c r="AP265" s="2" t="inlineStr">
        <is>
          <t>Faible</t>
        </is>
      </c>
      <c r="AQ265" s="2" t="inlineStr">
        <is>
          <t>À vérifier</t>
        </is>
      </c>
      <c r="AR265" s="2" t="inlineStr">
        <is>
          <t>Partiel — fiche à compléter</t>
        </is>
      </c>
      <c r="AS265" s="2" t="inlineStr">
        <is>
          <t>P2/P3</t>
        </is>
      </c>
      <c r="AT265" s="2" t="inlineStr">
        <is>
          <t>Certaines versions peuvent employer deux moteurs ; vérifier par variante.</t>
        </is>
      </c>
      <c r="AU265" s="2" t="inlineStr">
        <is>
          <t>À intégrer après validation du prototype</t>
        </is>
      </c>
      <c r="AV265" s="2" t="inlineStr">
        <is>
          <t>Strv m/42 : véhicule de catégorie « Chars moyens », d'origine Suède. Motorisation recensée : 6 cylindres essence Scania-Vabis typiquement (selon version). Variante historique à vérifier avant validation définitive.</t>
        </is>
      </c>
    </row>
    <row r="266" ht="60" customHeight="1">
      <c r="A266" s="2" t="inlineStr">
        <is>
          <t>VEH-265</t>
        </is>
      </c>
      <c r="B266" s="2" t="inlineStr">
        <is>
          <t>Chars légers et chars anciens</t>
        </is>
      </c>
      <c r="C266" s="2" t="inlineStr">
        <is>
          <t>Toldi I / II / III</t>
        </is>
      </c>
      <c r="D266" s="2" t="inlineStr">
        <is>
          <t>À distinguer si plusieurs variantes</t>
        </is>
      </c>
      <c r="E266" s="2" t="inlineStr">
        <is>
          <t>Hongrie</t>
        </is>
      </c>
      <c r="F266" s="2" t="inlineStr">
        <is>
          <t>À documenter</t>
        </is>
      </c>
      <c r="G266" s="2" t="inlineStr">
        <is>
          <t>À confirmer</t>
        </is>
      </c>
      <c r="H266" s="2" t="inlineStr">
        <is>
          <t>Chars légers et chars anciens</t>
        </is>
      </c>
      <c r="I266" s="2" t="inlineStr">
        <is>
          <t>À définir</t>
        </is>
      </c>
      <c r="J266" s="2" t="n"/>
      <c r="K266" s="2" t="n"/>
      <c r="L266" s="2" t="n"/>
      <c r="M266" s="2" t="n"/>
      <c r="N266" s="2" t="n"/>
      <c r="O266" s="2" t="n"/>
      <c r="P266" s="2" t="inlineStr">
        <is>
          <t>8 cylindres essence Bussing-NAG / Ganz selon variantes</t>
        </is>
      </c>
      <c r="Q266" s="2" t="n"/>
      <c r="R266" s="2" t="n"/>
      <c r="S266" s="2" t="inlineStr">
        <is>
          <t>À confirmer</t>
        </is>
      </c>
      <c r="T266" s="2" t="n"/>
      <c r="U266" s="2" t="n"/>
      <c r="V266" s="2" t="n"/>
      <c r="W266" s="2" t="n"/>
      <c r="X266" s="2" t="inlineStr">
        <is>
          <t>À documenter</t>
        </is>
      </c>
      <c r="Y266" s="2" t="inlineStr">
        <is>
          <t>À documenter</t>
        </is>
      </c>
      <c r="Z266" s="2" t="inlineStr">
        <is>
          <t>À documenter</t>
        </is>
      </c>
      <c r="AA266" s="2" t="inlineStr">
        <is>
          <t>À documenter</t>
        </is>
      </c>
      <c r="AB266" s="2" t="inlineStr">
        <is>
          <t>À documenter</t>
        </is>
      </c>
      <c r="AC266" s="2" t="inlineStr">
        <is>
          <t>Armement historique à déterminer précisément pour ce modèle/sa variante</t>
        </is>
      </c>
      <c r="AD266" s="2" t="inlineStr">
        <is>
          <t>À documenter</t>
        </is>
      </c>
      <c r="AE266" s="2" t="inlineStr">
        <is>
          <t>À documenter</t>
        </is>
      </c>
      <c r="AF266" s="2" t="inlineStr">
        <is>
          <t>À définir</t>
        </is>
      </c>
      <c r="AG266" s="2" t="inlineStr">
        <is>
          <t>À définir</t>
        </is>
      </c>
      <c r="AH266" s="2" t="inlineStr">
        <is>
          <t>Réparation d’origine si véhicule complet ; démontage si incomplet</t>
        </is>
      </c>
      <c r="AI266" s="2" t="inlineStr">
        <is>
          <t>À documenter</t>
        </is>
      </c>
      <c r="AJ266" s="2" t="inlineStr">
        <is>
          <t>À définir séparément des compatibilités historiques</t>
        </is>
      </c>
      <c r="AK266" s="2" t="inlineStr">
        <is>
          <t>À documenter</t>
        </is>
      </c>
      <c r="AL266" s="2" t="inlineStr">
        <is>
          <t>À rechercher / voir sources historiques</t>
        </is>
      </c>
      <c r="AM266" s="2" t="inlineStr">
        <is>
          <t>https://generalstab.org/military_history/second_world_war/barbarossa-axis-allies/hungarian-weapons-statistics/</t>
        </is>
      </c>
      <c r="AN266" s="2" t="inlineStr">
        <is>
          <t>Source de niveau variable ; contrôle par variante nécessaire</t>
        </is>
      </c>
      <c r="AO266" s="2" t="inlineStr">
        <is>
          <t>Non renseigné</t>
        </is>
      </c>
      <c r="AP266" s="2" t="inlineStr">
        <is>
          <t>Faible</t>
        </is>
      </c>
      <c r="AQ266" s="2" t="inlineStr">
        <is>
          <t>À vérifier</t>
        </is>
      </c>
      <c r="AR266" s="2" t="inlineStr">
        <is>
          <t>Partiel — fiche à compléter</t>
        </is>
      </c>
      <c r="AS266" s="2" t="inlineStr">
        <is>
          <t>P2/P3</t>
        </is>
      </c>
      <c r="AT266" s="2" t="inlineStr">
        <is>
          <t>Distinguer les moteurs selon sous-modèle et licence.</t>
        </is>
      </c>
      <c r="AU266" s="2" t="inlineStr">
        <is>
          <t>À intégrer après validation du prototype</t>
        </is>
      </c>
      <c r="AV266" s="2" t="inlineStr">
        <is>
          <t>Toldi I / II / III : véhicule de catégorie « Chars légers et chars anciens », d'origine Hongrie. Motorisation recensée : 8 cylindres essence Bussing-NAG / Ganz selon variantes. Fiche de catalogue à compléter avec le rôle tactique et les caractéristiques de jeu.</t>
        </is>
      </c>
    </row>
    <row r="267" ht="60" customHeight="1">
      <c r="A267" s="2" t="inlineStr">
        <is>
          <t>VEH-266</t>
        </is>
      </c>
      <c r="B267" s="2" t="inlineStr">
        <is>
          <t>Chars moyens</t>
        </is>
      </c>
      <c r="C267" s="2" t="inlineStr">
        <is>
          <t>Turan I / II</t>
        </is>
      </c>
      <c r="D267" s="2" t="inlineStr">
        <is>
          <t>À distinguer si plusieurs variantes</t>
        </is>
      </c>
      <c r="E267" s="2" t="inlineStr">
        <is>
          <t>Hongrie</t>
        </is>
      </c>
      <c r="F267" s="2" t="inlineStr">
        <is>
          <t>À documenter</t>
        </is>
      </c>
      <c r="G267" s="2" t="inlineStr">
        <is>
          <t>À confirmer</t>
        </is>
      </c>
      <c r="H267" s="2" t="inlineStr">
        <is>
          <t>Chars moyens</t>
        </is>
      </c>
      <c r="I267" s="2" t="inlineStr">
        <is>
          <t>À définir</t>
        </is>
      </c>
      <c r="J267" s="2" t="n"/>
      <c r="K267" s="2" t="n"/>
      <c r="L267" s="2" t="n"/>
      <c r="M267" s="2" t="n"/>
      <c r="N267" s="2" t="n"/>
      <c r="O267" s="2" t="n"/>
      <c r="P267" s="2" t="inlineStr">
        <is>
          <t>8 cylindres essence Weiss Manfréd V-8H (type à confirmer)</t>
        </is>
      </c>
      <c r="Q267" s="2" t="n"/>
      <c r="R267" s="2" t="n"/>
      <c r="S267" s="2" t="inlineStr">
        <is>
          <t>À confirmer</t>
        </is>
      </c>
      <c r="T267" s="2" t="n"/>
      <c r="U267" s="2" t="n"/>
      <c r="V267" s="2" t="n"/>
      <c r="W267" s="2" t="n"/>
      <c r="X267" s="2" t="inlineStr">
        <is>
          <t>À documenter</t>
        </is>
      </c>
      <c r="Y267" s="2" t="inlineStr">
        <is>
          <t>À documenter</t>
        </is>
      </c>
      <c r="Z267" s="2" t="inlineStr">
        <is>
          <t>À documenter</t>
        </is>
      </c>
      <c r="AA267" s="2" t="inlineStr">
        <is>
          <t>À documenter</t>
        </is>
      </c>
      <c r="AB267" s="2" t="inlineStr">
        <is>
          <t>À documenter</t>
        </is>
      </c>
      <c r="AC267" s="2" t="inlineStr">
        <is>
          <t>Armement historique à déterminer précisément pour ce modèle/sa variante</t>
        </is>
      </c>
      <c r="AD267" s="2" t="inlineStr">
        <is>
          <t>À documenter</t>
        </is>
      </c>
      <c r="AE267" s="2" t="inlineStr">
        <is>
          <t>À documenter</t>
        </is>
      </c>
      <c r="AF267" s="2" t="inlineStr">
        <is>
          <t>À définir</t>
        </is>
      </c>
      <c r="AG267" s="2" t="inlineStr">
        <is>
          <t>À définir</t>
        </is>
      </c>
      <c r="AH267" s="2" t="inlineStr">
        <is>
          <t>Réparation d’origine si véhicule complet ; démontage si incomplet</t>
        </is>
      </c>
      <c r="AI267" s="2" t="inlineStr">
        <is>
          <t>À documenter</t>
        </is>
      </c>
      <c r="AJ267" s="2" t="inlineStr">
        <is>
          <t>À définir séparément des compatibilités historiques</t>
        </is>
      </c>
      <c r="AK267" s="2" t="inlineStr">
        <is>
          <t>À documenter</t>
        </is>
      </c>
      <c r="AL267" s="2" t="inlineStr">
        <is>
          <t>À rechercher / voir sources historiques</t>
        </is>
      </c>
      <c r="AM267" s="2" t="inlineStr">
        <is>
          <t>https://generalstab.org/military_history/second_world_war/barbarossa-axis-allies/hungarian-weapons-statistics/</t>
        </is>
      </c>
      <c r="AN267" s="2" t="inlineStr">
        <is>
          <t>Source de niveau variable ; contrôle par variante nécessaire</t>
        </is>
      </c>
      <c r="AO267" s="2" t="inlineStr">
        <is>
          <t>Non renseigné</t>
        </is>
      </c>
      <c r="AP267" s="2" t="inlineStr">
        <is>
          <t>Faible</t>
        </is>
      </c>
      <c r="AQ267" s="2" t="inlineStr">
        <is>
          <t>À vérifier</t>
        </is>
      </c>
      <c r="AR267" s="2" t="inlineStr">
        <is>
          <t>Partiel — fiche à compléter</t>
        </is>
      </c>
      <c r="AS267" s="2" t="inlineStr">
        <is>
          <t>P2/P3</t>
        </is>
      </c>
      <c r="AT267" s="2" t="inlineStr">
        <is>
          <t>Char moyen hongrois, variantes de tourelle et armement.</t>
        </is>
      </c>
      <c r="AU267" s="2" t="inlineStr">
        <is>
          <t>À intégrer après validation du prototype</t>
        </is>
      </c>
      <c r="AV267" s="2" t="inlineStr">
        <is>
          <t>Turan I / II : véhicule de catégorie « Chars moyens », d'origine Hongrie. Motorisation recensée : 8 cylindres essence Weiss Manfréd V-8H (type à confirmer). Variante historique à vérifier avant validation définitive.</t>
        </is>
      </c>
    </row>
    <row r="268" ht="60" customHeight="1">
      <c r="A268" s="2" t="inlineStr">
        <is>
          <t>VEH-267</t>
        </is>
      </c>
      <c r="B268" s="2" t="inlineStr">
        <is>
          <t>Chasseurs de chars et canons automoteurs</t>
        </is>
      </c>
      <c r="C268" s="2" t="inlineStr">
        <is>
          <t>Zrínyi II</t>
        </is>
      </c>
      <c r="D268" s="2" t="inlineStr">
        <is>
          <t>À distinguer si plusieurs variantes</t>
        </is>
      </c>
      <c r="E268" s="2" t="inlineStr">
        <is>
          <t>Hongrie</t>
        </is>
      </c>
      <c r="F268" s="2" t="inlineStr">
        <is>
          <t>À documenter</t>
        </is>
      </c>
      <c r="G268" s="2" t="inlineStr">
        <is>
          <t>À confirmer</t>
        </is>
      </c>
      <c r="H268" s="2" t="inlineStr">
        <is>
          <t>Chasseurs de chars et canons automoteurs</t>
        </is>
      </c>
      <c r="I268" s="2" t="inlineStr">
        <is>
          <t>À définir</t>
        </is>
      </c>
      <c r="J268" s="2" t="n"/>
      <c r="K268" s="2" t="n"/>
      <c r="L268" s="2" t="n"/>
      <c r="M268" s="2" t="n"/>
      <c r="N268" s="2" t="n"/>
      <c r="O268" s="2" t="n"/>
      <c r="P268" s="2" t="inlineStr">
        <is>
          <t>8 cylindres essence famille Turán (à confirmer)</t>
        </is>
      </c>
      <c r="Q268" s="2" t="n"/>
      <c r="R268" s="2" t="n"/>
      <c r="S268" s="2" t="inlineStr">
        <is>
          <t>À confirmer</t>
        </is>
      </c>
      <c r="T268" s="2" t="n"/>
      <c r="U268" s="2" t="n"/>
      <c r="V268" s="2" t="n"/>
      <c r="W268" s="2" t="n"/>
      <c r="X268" s="2" t="inlineStr">
        <is>
          <t>À documenter</t>
        </is>
      </c>
      <c r="Y268" s="2" t="inlineStr">
        <is>
          <t>À documenter</t>
        </is>
      </c>
      <c r="Z268" s="2" t="inlineStr">
        <is>
          <t>À documenter</t>
        </is>
      </c>
      <c r="AA268" s="2" t="inlineStr">
        <is>
          <t>À documenter</t>
        </is>
      </c>
      <c r="AB268" s="2" t="inlineStr">
        <is>
          <t>À documenter</t>
        </is>
      </c>
      <c r="AC268" s="2" t="inlineStr">
        <is>
          <t>Armement historique à déterminer précisément pour ce modèle/sa variante</t>
        </is>
      </c>
      <c r="AD268" s="2" t="inlineStr">
        <is>
          <t>À documenter</t>
        </is>
      </c>
      <c r="AE268" s="2" t="inlineStr">
        <is>
          <t>À documenter</t>
        </is>
      </c>
      <c r="AF268" s="2" t="inlineStr">
        <is>
          <t>À définir</t>
        </is>
      </c>
      <c r="AG268" s="2" t="inlineStr">
        <is>
          <t>À définir</t>
        </is>
      </c>
      <c r="AH268" s="2" t="inlineStr">
        <is>
          <t>Réparation d’origine si véhicule complet ; démontage si incomplet</t>
        </is>
      </c>
      <c r="AI268" s="2" t="inlineStr">
        <is>
          <t>À documenter</t>
        </is>
      </c>
      <c r="AJ268" s="2" t="inlineStr">
        <is>
          <t>À définir séparément des compatibilités historiques</t>
        </is>
      </c>
      <c r="AK268" s="2" t="inlineStr">
        <is>
          <t>À documenter</t>
        </is>
      </c>
      <c r="AL268" s="2" t="inlineStr">
        <is>
          <t>À rechercher / voir sources historiques</t>
        </is>
      </c>
      <c r="AM268" s="2" t="inlineStr">
        <is>
          <t>https://epa.oszk.hu/02400/02463/00042/pdf/EPA02463_hadtudomanyi_szemle_2019_ksz_235-248.pdf</t>
        </is>
      </c>
      <c r="AN268" s="2" t="inlineStr">
        <is>
          <t>Source de niveau variable ; contrôle par variante nécessaire</t>
        </is>
      </c>
      <c r="AO268" s="2" t="inlineStr">
        <is>
          <t>Non renseigné</t>
        </is>
      </c>
      <c r="AP268" s="2" t="inlineStr">
        <is>
          <t>Faible</t>
        </is>
      </c>
      <c r="AQ268" s="2" t="inlineStr">
        <is>
          <t>À vérifier</t>
        </is>
      </c>
      <c r="AR268" s="2" t="inlineStr">
        <is>
          <t>Partiel — fiche à compléter</t>
        </is>
      </c>
      <c r="AS268" s="2" t="inlineStr">
        <is>
          <t>P2/P3</t>
        </is>
      </c>
      <c r="AT268" s="2" t="inlineStr">
        <is>
          <t>Canon d'assaut sur châssis Turán.</t>
        </is>
      </c>
      <c r="AU268" s="2" t="inlineStr">
        <is>
          <t>À intégrer après validation du prototype</t>
        </is>
      </c>
      <c r="AV268" s="2" t="inlineStr">
        <is>
          <t>Zrínyi II : véhicule de catégorie « Chasseurs de chars et canons automoteurs », d'origine Hongrie. Motorisation recensée : 8 cylindres essence famille Turán (à confirmer). Variante historique à vérifier avant validation définitive.</t>
        </is>
      </c>
    </row>
    <row r="269" ht="60" customHeight="1">
      <c r="A269" s="2" t="inlineStr">
        <is>
          <t>VEH-268</t>
        </is>
      </c>
      <c r="B269" s="2" t="inlineStr">
        <is>
          <t>Chasseurs de chars et canons automoteurs</t>
        </is>
      </c>
      <c r="C269" s="2" t="inlineStr">
        <is>
          <t>Nimród</t>
        </is>
      </c>
      <c r="D269" s="2" t="inlineStr">
        <is>
          <t>À distinguer si plusieurs variantes</t>
        </is>
      </c>
      <c r="E269" s="2" t="inlineStr">
        <is>
          <t>Hongrie</t>
        </is>
      </c>
      <c r="F269" s="2" t="inlineStr">
        <is>
          <t>À documenter</t>
        </is>
      </c>
      <c r="G269" s="2" t="inlineStr">
        <is>
          <t>À confirmer</t>
        </is>
      </c>
      <c r="H269" s="2" t="inlineStr">
        <is>
          <t>Chasseurs de chars et canons automoteurs</t>
        </is>
      </c>
      <c r="I269" s="2" t="inlineStr">
        <is>
          <t>À définir</t>
        </is>
      </c>
      <c r="J269" s="2" t="n"/>
      <c r="K269" s="2" t="n"/>
      <c r="L269" s="2" t="n"/>
      <c r="M269" s="2" t="n"/>
      <c r="N269" s="2" t="n"/>
      <c r="O269" s="2" t="n"/>
      <c r="P269" s="2" t="inlineStr">
        <is>
          <t>8 cylindres essence Büssing-NAG (à confirmer)</t>
        </is>
      </c>
      <c r="Q269" s="2" t="n"/>
      <c r="R269" s="2" t="n"/>
      <c r="S269" s="2" t="inlineStr">
        <is>
          <t>À confirmer</t>
        </is>
      </c>
      <c r="T269" s="2" t="n"/>
      <c r="U269" s="2" t="n"/>
      <c r="V269" s="2" t="n"/>
      <c r="W269" s="2" t="n"/>
      <c r="X269" s="2" t="inlineStr">
        <is>
          <t>À documenter</t>
        </is>
      </c>
      <c r="Y269" s="2" t="inlineStr">
        <is>
          <t>À documenter</t>
        </is>
      </c>
      <c r="Z269" s="2" t="inlineStr">
        <is>
          <t>À documenter</t>
        </is>
      </c>
      <c r="AA269" s="2" t="inlineStr">
        <is>
          <t>À documenter</t>
        </is>
      </c>
      <c r="AB269" s="2" t="inlineStr">
        <is>
          <t>À documenter</t>
        </is>
      </c>
      <c r="AC269" s="2" t="inlineStr">
        <is>
          <t>Armement historique à déterminer précisément pour ce modèle/sa variante</t>
        </is>
      </c>
      <c r="AD269" s="2" t="inlineStr">
        <is>
          <t>À documenter</t>
        </is>
      </c>
      <c r="AE269" s="2" t="inlineStr">
        <is>
          <t>À documenter</t>
        </is>
      </c>
      <c r="AF269" s="2" t="inlineStr">
        <is>
          <t>À définir</t>
        </is>
      </c>
      <c r="AG269" s="2" t="inlineStr">
        <is>
          <t>À définir</t>
        </is>
      </c>
      <c r="AH269" s="2" t="inlineStr">
        <is>
          <t>Réparation d’origine si véhicule complet ; démontage si incomplet</t>
        </is>
      </c>
      <c r="AI269" s="2" t="inlineStr">
        <is>
          <t>À documenter</t>
        </is>
      </c>
      <c r="AJ269" s="2" t="inlineStr">
        <is>
          <t>À définir séparément des compatibilités historiques</t>
        </is>
      </c>
      <c r="AK269" s="2" t="inlineStr">
        <is>
          <t>À documenter</t>
        </is>
      </c>
      <c r="AL269" s="2" t="inlineStr">
        <is>
          <t>À rechercher / voir sources historiques</t>
        </is>
      </c>
      <c r="AM269" s="2" t="inlineStr">
        <is>
          <t>https://generalstab.org/military_history/second_world_war/barbarossa-axis-allies/hungarian-weapons-statistics/</t>
        </is>
      </c>
      <c r="AN269" s="2" t="inlineStr">
        <is>
          <t>Source de niveau variable ; contrôle par variante nécessaire</t>
        </is>
      </c>
      <c r="AO269" s="2" t="inlineStr">
        <is>
          <t>Non renseigné</t>
        </is>
      </c>
      <c r="AP269" s="2" t="inlineStr">
        <is>
          <t>Faible</t>
        </is>
      </c>
      <c r="AQ269" s="2" t="inlineStr">
        <is>
          <t>À vérifier</t>
        </is>
      </c>
      <c r="AR269" s="2" t="inlineStr">
        <is>
          <t>Partiel — fiche à compléter</t>
        </is>
      </c>
      <c r="AS269" s="2" t="inlineStr">
        <is>
          <t>P2/P3</t>
        </is>
      </c>
      <c r="AT269" s="2" t="inlineStr">
        <is>
          <t>Automoteur antiaérien dérivé du Landsverk L-62.</t>
        </is>
      </c>
      <c r="AU269" s="2" t="inlineStr">
        <is>
          <t>À intégrer après validation du prototype</t>
        </is>
      </c>
      <c r="AV269" s="2" t="inlineStr">
        <is>
          <t>Nimród : véhicule de catégorie « Chasseurs de chars et canons automoteurs », d'origine Hongrie. Motorisation recensée : 8 cylindres essence Büssing-NAG (à confirmer). Variante historique à vérifier avant validation définitive.</t>
        </is>
      </c>
    </row>
    <row r="270" ht="60" customHeight="1">
      <c r="A270" s="2" t="inlineStr">
        <is>
          <t>VEH-269</t>
        </is>
      </c>
      <c r="B270" s="2" t="inlineStr">
        <is>
          <t>Chasseurs de chars et canons automoteurs</t>
        </is>
      </c>
      <c r="C270" s="2" t="inlineStr">
        <is>
          <t>TACAM R-2</t>
        </is>
      </c>
      <c r="D270" s="2" t="inlineStr">
        <is>
          <t>À distinguer si plusieurs variantes</t>
        </is>
      </c>
      <c r="E270" s="2" t="inlineStr">
        <is>
          <t>Roumanie</t>
        </is>
      </c>
      <c r="F270" s="2" t="inlineStr">
        <is>
          <t>À documenter</t>
        </is>
      </c>
      <c r="G270" s="2" t="inlineStr">
        <is>
          <t>À confirmer</t>
        </is>
      </c>
      <c r="H270" s="2" t="inlineStr">
        <is>
          <t>Chasseurs de chars et canons automoteurs</t>
        </is>
      </c>
      <c r="I270" s="2" t="inlineStr">
        <is>
          <t>À définir</t>
        </is>
      </c>
      <c r="J270" s="2" t="n"/>
      <c r="K270" s="2" t="n"/>
      <c r="L270" s="2" t="n"/>
      <c r="M270" s="2" t="n"/>
      <c r="N270" s="2" t="n"/>
      <c r="O270" s="2" t="n"/>
      <c r="P270" s="2" t="inlineStr">
        <is>
          <t>6 cylindres essence Škoda T-11</t>
        </is>
      </c>
      <c r="Q270" s="2" t="n"/>
      <c r="R270" s="2" t="n"/>
      <c r="S270" s="2" t="inlineStr">
        <is>
          <t>À confirmer</t>
        </is>
      </c>
      <c r="T270" s="2" t="n"/>
      <c r="U270" s="2" t="n"/>
      <c r="V270" s="2" t="n"/>
      <c r="W270" s="2" t="n"/>
      <c r="X270" s="2" t="inlineStr">
        <is>
          <t>À documenter</t>
        </is>
      </c>
      <c r="Y270" s="2" t="inlineStr">
        <is>
          <t>À documenter</t>
        </is>
      </c>
      <c r="Z270" s="2" t="inlineStr">
        <is>
          <t>À documenter</t>
        </is>
      </c>
      <c r="AA270" s="2" t="inlineStr">
        <is>
          <t>À documenter</t>
        </is>
      </c>
      <c r="AB270" s="2" t="inlineStr">
        <is>
          <t>À documenter</t>
        </is>
      </c>
      <c r="AC270" s="2" t="inlineStr">
        <is>
          <t>Canon antichar soviétique de 76,2 mm F-22 ou ZiS-3 selon version</t>
        </is>
      </c>
      <c r="AD270" s="2" t="inlineStr">
        <is>
          <t>À documenter</t>
        </is>
      </c>
      <c r="AE270" s="2" t="inlineStr">
        <is>
          <t>À documenter</t>
        </is>
      </c>
      <c r="AF270" s="2" t="inlineStr">
        <is>
          <t>À définir</t>
        </is>
      </c>
      <c r="AG270" s="2" t="inlineStr">
        <is>
          <t>À définir</t>
        </is>
      </c>
      <c r="AH270" s="2" t="inlineStr">
        <is>
          <t>Réparation d’origine si véhicule complet ; démontage si incomplet</t>
        </is>
      </c>
      <c r="AI270" s="2" t="inlineStr">
        <is>
          <t>À documenter</t>
        </is>
      </c>
      <c r="AJ270" s="2" t="inlineStr">
        <is>
          <t>À définir séparément des compatibilités historiques</t>
        </is>
      </c>
      <c r="AK270" s="2" t="inlineStr">
        <is>
          <t>À documenter</t>
        </is>
      </c>
      <c r="AL270" s="2" t="inlineStr">
        <is>
          <t>À rechercher / voir sources historiques</t>
        </is>
      </c>
      <c r="AM270" s="2" t="inlineStr">
        <is>
          <t>https://www.worldwar2.ro/arme/?article=242&amp;language=ro</t>
        </is>
      </c>
      <c r="AN270" s="2" t="inlineStr">
        <is>
          <t>Source de niveau variable ; contrôle par variante nécessaire</t>
        </is>
      </c>
      <c r="AO270" s="2" t="inlineStr">
        <is>
          <t>Non renseigné</t>
        </is>
      </c>
      <c r="AP270" s="2" t="inlineStr">
        <is>
          <t>Faible</t>
        </is>
      </c>
      <c r="AQ270" s="2" t="inlineStr">
        <is>
          <t>Partiel</t>
        </is>
      </c>
      <c r="AR270" s="2" t="inlineStr">
        <is>
          <t>Partiel — fiche à compléter</t>
        </is>
      </c>
      <c r="AS270" s="2" t="inlineStr">
        <is>
          <t>P2/P3</t>
        </is>
      </c>
      <c r="AT270" s="2" t="inlineStr">
        <is>
          <t>Conversion roumaine sur châssis R-2/Panzer 35(t).</t>
        </is>
      </c>
      <c r="AU270" s="2" t="inlineStr">
        <is>
          <t>À intégrer après validation du prototype</t>
        </is>
      </c>
      <c r="AV270" s="2" t="inlineStr">
        <is>
          <t>TACAM R-2 : véhicule de catégorie « Chasseurs de chars et canons automoteurs », d'origine Roumanie. Motorisation recensée : 6 cylindres essence Škoda T-11. Fiche de catalogue à compléter avec le rôle tactique et les caractéristiques de jeu.</t>
        </is>
      </c>
    </row>
    <row r="271" ht="60" customHeight="1">
      <c r="A271" s="2" t="inlineStr">
        <is>
          <t>VEH-270</t>
        </is>
      </c>
      <c r="B271" s="2" t="inlineStr">
        <is>
          <t>Chasseurs de chars et canons automoteurs</t>
        </is>
      </c>
      <c r="C271" s="2" t="inlineStr">
        <is>
          <t>TACAM T-60</t>
        </is>
      </c>
      <c r="D271" s="2" t="inlineStr">
        <is>
          <t>À distinguer si plusieurs variantes</t>
        </is>
      </c>
      <c r="E271" s="2" t="inlineStr">
        <is>
          <t>Roumanie</t>
        </is>
      </c>
      <c r="F271" s="2" t="inlineStr">
        <is>
          <t>À documenter</t>
        </is>
      </c>
      <c r="G271" s="2" t="inlineStr">
        <is>
          <t>À confirmer</t>
        </is>
      </c>
      <c r="H271" s="2" t="inlineStr">
        <is>
          <t>Chasseurs de chars et canons automoteurs</t>
        </is>
      </c>
      <c r="I271" s="2" t="inlineStr">
        <is>
          <t>À définir</t>
        </is>
      </c>
      <c r="J271" s="2" t="n"/>
      <c r="K271" s="2" t="n"/>
      <c r="L271" s="2" t="n"/>
      <c r="M271" s="2" t="n"/>
      <c r="N271" s="2" t="n"/>
      <c r="O271" s="2" t="n"/>
      <c r="P271" s="2" t="inlineStr">
        <is>
          <t>6 cylindres essence GAZ-202 (famille à confirmer)</t>
        </is>
      </c>
      <c r="Q271" s="2" t="n"/>
      <c r="R271" s="2" t="n"/>
      <c r="S271" s="2" t="inlineStr">
        <is>
          <t>À confirmer</t>
        </is>
      </c>
      <c r="T271" s="2" t="n"/>
      <c r="U271" s="2" t="n"/>
      <c r="V271" s="2" t="n"/>
      <c r="W271" s="2" t="n"/>
      <c r="X271" s="2" t="inlineStr">
        <is>
          <t>À documenter</t>
        </is>
      </c>
      <c r="Y271" s="2" t="inlineStr">
        <is>
          <t>À documenter</t>
        </is>
      </c>
      <c r="Z271" s="2" t="inlineStr">
        <is>
          <t>À documenter</t>
        </is>
      </c>
      <c r="AA271" s="2" t="inlineStr">
        <is>
          <t>À documenter</t>
        </is>
      </c>
      <c r="AB271" s="2" t="inlineStr">
        <is>
          <t>À documenter</t>
        </is>
      </c>
      <c r="AC271" s="2" t="inlineStr">
        <is>
          <t>Canon antichar soviétique de 76,2 mm F-22 ou ZiS-3 selon version</t>
        </is>
      </c>
      <c r="AD271" s="2" t="inlineStr">
        <is>
          <t>À documenter</t>
        </is>
      </c>
      <c r="AE271" s="2" t="inlineStr">
        <is>
          <t>À documenter</t>
        </is>
      </c>
      <c r="AF271" s="2" t="inlineStr">
        <is>
          <t>À définir</t>
        </is>
      </c>
      <c r="AG271" s="2" t="inlineStr">
        <is>
          <t>À définir</t>
        </is>
      </c>
      <c r="AH271" s="2" t="inlineStr">
        <is>
          <t>Réparation d’origine si véhicule complet ; démontage si incomplet</t>
        </is>
      </c>
      <c r="AI271" s="2" t="inlineStr">
        <is>
          <t>À documenter</t>
        </is>
      </c>
      <c r="AJ271" s="2" t="inlineStr">
        <is>
          <t>À définir séparément des compatibilités historiques</t>
        </is>
      </c>
      <c r="AK271" s="2" t="inlineStr">
        <is>
          <t>À documenter</t>
        </is>
      </c>
      <c r="AL271" s="2" t="inlineStr">
        <is>
          <t>À rechercher / voir sources historiques</t>
        </is>
      </c>
      <c r="AM271" s="2" t="inlineStr">
        <is>
          <t>https://onwar.com/wwii/tanks/romania/index.html</t>
        </is>
      </c>
      <c r="AN271" s="2" t="inlineStr">
        <is>
          <t>Source de niveau variable ; contrôle par variante nécessaire</t>
        </is>
      </c>
      <c r="AO271" s="2" t="inlineStr">
        <is>
          <t>Non renseigné</t>
        </is>
      </c>
      <c r="AP271" s="2" t="inlineStr">
        <is>
          <t>Faible</t>
        </is>
      </c>
      <c r="AQ271" s="2" t="inlineStr">
        <is>
          <t>Partiel</t>
        </is>
      </c>
      <c r="AR271" s="2" t="inlineStr">
        <is>
          <t>Partiel — fiche à compléter</t>
        </is>
      </c>
      <c r="AS271" s="2" t="inlineStr">
        <is>
          <t>P2/P3</t>
        </is>
      </c>
      <c r="AT271" s="2" t="inlineStr">
        <is>
          <t>Conversion d'un châssis soviétique capturé.</t>
        </is>
      </c>
      <c r="AU271" s="2" t="inlineStr">
        <is>
          <t>À intégrer après validation du prototype</t>
        </is>
      </c>
      <c r="AV271" s="2" t="inlineStr">
        <is>
          <t>TACAM T-60 : véhicule de catégorie « Chasseurs de chars et canons automoteurs », d'origine Roumanie. Motorisation recensée : 6 cylindres essence GAZ-202 (famille à confirmer). Variante historique à vérifier avant validation définitive.</t>
        </is>
      </c>
    </row>
    <row r="272" ht="60" customHeight="1">
      <c r="A272" s="2" t="inlineStr">
        <is>
          <t>VEH-271</t>
        </is>
      </c>
      <c r="B272" s="2" t="inlineStr">
        <is>
          <t>Chasseurs de chars et canons automoteurs</t>
        </is>
      </c>
      <c r="C272" s="2" t="inlineStr">
        <is>
          <t>Vanatorul de care R-35</t>
        </is>
      </c>
      <c r="D272" s="2" t="inlineStr">
        <is>
          <t>À distinguer si plusieurs variantes</t>
        </is>
      </c>
      <c r="E272" s="2" t="inlineStr">
        <is>
          <t>Roumanie</t>
        </is>
      </c>
      <c r="F272" s="2" t="inlineStr">
        <is>
          <t>À documenter</t>
        </is>
      </c>
      <c r="G272" s="2" t="inlineStr">
        <is>
          <t>À confirmer</t>
        </is>
      </c>
      <c r="H272" s="2" t="inlineStr">
        <is>
          <t>Chasseurs de chars et canons automoteurs</t>
        </is>
      </c>
      <c r="I272" s="2" t="inlineStr">
        <is>
          <t>À définir</t>
        </is>
      </c>
      <c r="J272" s="2" t="n"/>
      <c r="K272" s="2" t="n"/>
      <c r="L272" s="2" t="n"/>
      <c r="M272" s="2" t="n"/>
      <c r="N272" s="2" t="n"/>
      <c r="O272" s="2" t="n"/>
      <c r="P272" s="2" t="inlineStr">
        <is>
          <t>4 cylindres essence Renault du R-35</t>
        </is>
      </c>
      <c r="Q272" s="2" t="n"/>
      <c r="R272" s="2" t="n"/>
      <c r="S272" s="2" t="inlineStr">
        <is>
          <t>À confirmer</t>
        </is>
      </c>
      <c r="T272" s="2" t="n"/>
      <c r="U272" s="2" t="n"/>
      <c r="V272" s="2" t="n"/>
      <c r="W272" s="2" t="n"/>
      <c r="X272" s="2" t="inlineStr">
        <is>
          <t>À documenter</t>
        </is>
      </c>
      <c r="Y272" s="2" t="inlineStr">
        <is>
          <t>À documenter</t>
        </is>
      </c>
      <c r="Z272" s="2" t="inlineStr">
        <is>
          <t>À documenter</t>
        </is>
      </c>
      <c r="AA272" s="2" t="inlineStr">
        <is>
          <t>À documenter</t>
        </is>
      </c>
      <c r="AB272" s="2" t="inlineStr">
        <is>
          <t>À documenter</t>
        </is>
      </c>
      <c r="AC272" s="2" t="inlineStr">
        <is>
          <t>Armement historique à déterminer précisément pour ce modèle/sa variante</t>
        </is>
      </c>
      <c r="AD272" s="2" t="inlineStr">
        <is>
          <t>À documenter</t>
        </is>
      </c>
      <c r="AE272" s="2" t="inlineStr">
        <is>
          <t>À documenter</t>
        </is>
      </c>
      <c r="AF272" s="2" t="inlineStr">
        <is>
          <t>À définir</t>
        </is>
      </c>
      <c r="AG272" s="2" t="inlineStr">
        <is>
          <t>À définir</t>
        </is>
      </c>
      <c r="AH272" s="2" t="inlineStr">
        <is>
          <t>Réparation d’origine si véhicule complet ; démontage si incomplet</t>
        </is>
      </c>
      <c r="AI272" s="2" t="inlineStr">
        <is>
          <t>À documenter</t>
        </is>
      </c>
      <c r="AJ272" s="2" t="inlineStr">
        <is>
          <t>À définir séparément des compatibilités historiques</t>
        </is>
      </c>
      <c r="AK272" s="2" t="inlineStr">
        <is>
          <t>À documenter</t>
        </is>
      </c>
      <c r="AL272" s="2" t="inlineStr">
        <is>
          <t>À rechercher / voir sources historiques</t>
        </is>
      </c>
      <c r="AM272" s="2" t="inlineStr">
        <is>
          <t>https://onwar.com/wwii/tanks/romania/index.html</t>
        </is>
      </c>
      <c r="AN272" s="2" t="inlineStr">
        <is>
          <t>Source de niveau variable ; contrôle par variante nécessaire</t>
        </is>
      </c>
      <c r="AO272" s="2" t="inlineStr">
        <is>
          <t>Non renseigné</t>
        </is>
      </c>
      <c r="AP272" s="2" t="inlineStr">
        <is>
          <t>Faible</t>
        </is>
      </c>
      <c r="AQ272" s="2" t="inlineStr">
        <is>
          <t>À vérifier</t>
        </is>
      </c>
      <c r="AR272" s="2" t="inlineStr">
        <is>
          <t>Partiel — fiche à compléter</t>
        </is>
      </c>
      <c r="AS272" s="2" t="inlineStr">
        <is>
          <t>P2/P3</t>
        </is>
      </c>
      <c r="AT272" s="2" t="inlineStr">
        <is>
          <t>Châssis français modifié avec canon différent.</t>
        </is>
      </c>
      <c r="AU272" s="2" t="inlineStr">
        <is>
          <t>À intégrer après validation du prototype</t>
        </is>
      </c>
      <c r="AV272" s="2" t="inlineStr">
        <is>
          <t>Vanatorul de care R-35 : véhicule de catégorie « Chasseurs de chars et canons automoteurs », d'origine Roumanie. Motorisation recensée : 4 cylindres essence Renault du R-35. Variante historique à vérifier avant validation définitive.</t>
        </is>
      </c>
    </row>
    <row r="273" ht="60" customHeight="1">
      <c r="A273" s="2" t="inlineStr">
        <is>
          <t>VEH-272</t>
        </is>
      </c>
      <c r="B273" s="2" t="inlineStr">
        <is>
          <t>Chasseurs de chars et canons automoteurs</t>
        </is>
      </c>
      <c r="C273" s="2" t="inlineStr">
        <is>
          <t>BT-42</t>
        </is>
      </c>
      <c r="D273" s="2" t="inlineStr">
        <is>
          <t>À distinguer si plusieurs variantes</t>
        </is>
      </c>
      <c r="E273" s="2" t="inlineStr">
        <is>
          <t>Finlande</t>
        </is>
      </c>
      <c r="F273" s="2" t="inlineStr">
        <is>
          <t>À documenter</t>
        </is>
      </c>
      <c r="G273" s="2" t="inlineStr">
        <is>
          <t>À confirmer</t>
        </is>
      </c>
      <c r="H273" s="2" t="inlineStr">
        <is>
          <t>Chasseurs de chars et canons automoteurs</t>
        </is>
      </c>
      <c r="I273" s="2" t="inlineStr">
        <is>
          <t>À définir</t>
        </is>
      </c>
      <c r="J273" s="2" t="n"/>
      <c r="K273" s="2" t="n"/>
      <c r="L273" s="2" t="n"/>
      <c r="M273" s="2" t="n"/>
      <c r="N273" s="2" t="n"/>
      <c r="O273" s="2" t="n"/>
      <c r="P273" s="2" t="inlineStr">
        <is>
          <t>12 cylindres essence M-17, famille de BT-7</t>
        </is>
      </c>
      <c r="Q273" s="2" t="n"/>
      <c r="R273" s="2" t="n"/>
      <c r="S273" s="2" t="inlineStr">
        <is>
          <t>À confirmer</t>
        </is>
      </c>
      <c r="T273" s="2" t="n"/>
      <c r="U273" s="2" t="n"/>
      <c r="V273" s="2" t="n"/>
      <c r="W273" s="2" t="n"/>
      <c r="X273" s="2" t="inlineStr">
        <is>
          <t>À documenter</t>
        </is>
      </c>
      <c r="Y273" s="2" t="inlineStr">
        <is>
          <t>À documenter</t>
        </is>
      </c>
      <c r="Z273" s="2" t="inlineStr">
        <is>
          <t>À documenter</t>
        </is>
      </c>
      <c r="AA273" s="2" t="inlineStr">
        <is>
          <t>À documenter</t>
        </is>
      </c>
      <c r="AB273" s="2" t="inlineStr">
        <is>
          <t>À documenter</t>
        </is>
      </c>
      <c r="AC273" s="2" t="inlineStr">
        <is>
          <t>Armement historique à déterminer précisément pour ce modèle/sa variante</t>
        </is>
      </c>
      <c r="AD273" s="2" t="inlineStr">
        <is>
          <t>À documenter</t>
        </is>
      </c>
      <c r="AE273" s="2" t="inlineStr">
        <is>
          <t>À documenter</t>
        </is>
      </c>
      <c r="AF273" s="2" t="inlineStr">
        <is>
          <t>À définir</t>
        </is>
      </c>
      <c r="AG273" s="2" t="inlineStr">
        <is>
          <t>À définir</t>
        </is>
      </c>
      <c r="AH273" s="2" t="inlineStr">
        <is>
          <t>Réparation d’origine si véhicule complet ; démontage si incomplet</t>
        </is>
      </c>
      <c r="AI273" s="2" t="inlineStr">
        <is>
          <t>À documenter</t>
        </is>
      </c>
      <c r="AJ273" s="2" t="inlineStr">
        <is>
          <t>À définir séparément des compatibilités historiques</t>
        </is>
      </c>
      <c r="AK273" s="2" t="inlineStr">
        <is>
          <t>À documenter</t>
        </is>
      </c>
      <c r="AL273" s="2" t="inlineStr">
        <is>
          <t>À rechercher / voir sources historiques</t>
        </is>
      </c>
      <c r="AM273" s="2" t="inlineStr">
        <is>
          <t>https://tanks-encyclopedia.com/ww2/finland/bt-42/</t>
        </is>
      </c>
      <c r="AN273" s="2" t="inlineStr">
        <is>
          <t>Source de niveau variable ; contrôle par variante nécessaire</t>
        </is>
      </c>
      <c r="AO273" s="2" t="inlineStr">
        <is>
          <t>Non renseigné</t>
        </is>
      </c>
      <c r="AP273" s="2" t="inlineStr">
        <is>
          <t>Faible</t>
        </is>
      </c>
      <c r="AQ273" s="2" t="inlineStr">
        <is>
          <t>À vérifier</t>
        </is>
      </c>
      <c r="AR273" s="2" t="inlineStr">
        <is>
          <t>Partiel — fiche à compléter</t>
        </is>
      </c>
      <c r="AS273" s="2" t="inlineStr">
        <is>
          <t>P2/P3</t>
        </is>
      </c>
      <c r="AT273" s="2" t="inlineStr">
        <is>
          <t>Conversion finlandaise d'un châssis soviétique.</t>
        </is>
      </c>
      <c r="AU273" s="2" t="inlineStr">
        <is>
          <t>À intégrer après validation du prototype</t>
        </is>
      </c>
      <c r="AV273" s="2" t="inlineStr">
        <is>
          <t>BT-42 : véhicule de catégorie « Chasseurs de chars et canons automoteurs », d'origine Finlande. Motorisation recensée : 12 cylindres essence M-17, famille de BT-7. Variante historique à vérifier avant validation définitive.</t>
        </is>
      </c>
    </row>
    <row r="274" ht="60" customHeight="1">
      <c r="A274" s="2" t="inlineStr">
        <is>
          <t>VEH-273</t>
        </is>
      </c>
      <c r="B274" s="2" t="inlineStr">
        <is>
          <t>Chars légers et chars anciens</t>
        </is>
      </c>
      <c r="C274" s="2" t="inlineStr">
        <is>
          <t>Vickers 6-Ton</t>
        </is>
      </c>
      <c r="D274" s="2" t="inlineStr">
        <is>
          <t>À distinguer si plusieurs variantes</t>
        </is>
      </c>
      <c r="E274" s="2" t="inlineStr">
        <is>
          <t>Royaume-Uni / export</t>
        </is>
      </c>
      <c r="F274" s="2" t="inlineStr">
        <is>
          <t>À documenter</t>
        </is>
      </c>
      <c r="G274" s="2" t="inlineStr">
        <is>
          <t>À confirmer</t>
        </is>
      </c>
      <c r="H274" s="2" t="inlineStr">
        <is>
          <t>Chars légers et chars anciens</t>
        </is>
      </c>
      <c r="I274" s="2" t="inlineStr">
        <is>
          <t>À définir</t>
        </is>
      </c>
      <c r="J274" s="2" t="n"/>
      <c r="K274" s="2" t="n"/>
      <c r="L274" s="2" t="n"/>
      <c r="M274" s="2" t="n"/>
      <c r="N274" s="2" t="n"/>
      <c r="O274" s="2" t="n"/>
      <c r="P274" s="2" t="inlineStr">
        <is>
          <t>4 cylindres essence Armstrong Siddeley (selon version)</t>
        </is>
      </c>
      <c r="Q274" s="2" t="n"/>
      <c r="R274" s="2" t="n"/>
      <c r="S274" s="2" t="inlineStr">
        <is>
          <t>À confirmer</t>
        </is>
      </c>
      <c r="T274" s="2" t="n"/>
      <c r="U274" s="2" t="n"/>
      <c r="V274" s="2" t="n"/>
      <c r="W274" s="2" t="n"/>
      <c r="X274" s="2" t="inlineStr">
        <is>
          <t>À documenter</t>
        </is>
      </c>
      <c r="Y274" s="2" t="inlineStr">
        <is>
          <t>À documenter</t>
        </is>
      </c>
      <c r="Z274" s="2" t="inlineStr">
        <is>
          <t>À documenter</t>
        </is>
      </c>
      <c r="AA274" s="2" t="inlineStr">
        <is>
          <t>À documenter</t>
        </is>
      </c>
      <c r="AB274" s="2" t="inlineStr">
        <is>
          <t>À documenter</t>
        </is>
      </c>
      <c r="AC274" s="2" t="inlineStr">
        <is>
          <t>Armement historique à déterminer précisément pour ce modèle/sa variante</t>
        </is>
      </c>
      <c r="AD274" s="2" t="inlineStr">
        <is>
          <t>À documenter</t>
        </is>
      </c>
      <c r="AE274" s="2" t="inlineStr">
        <is>
          <t>À documenter</t>
        </is>
      </c>
      <c r="AF274" s="2" t="inlineStr">
        <is>
          <t>À définir</t>
        </is>
      </c>
      <c r="AG274" s="2" t="inlineStr">
        <is>
          <t>À définir</t>
        </is>
      </c>
      <c r="AH274" s="2" t="inlineStr">
        <is>
          <t>Réparation d’origine si véhicule complet ; démontage si incomplet</t>
        </is>
      </c>
      <c r="AI274" s="2" t="inlineStr">
        <is>
          <t>À documenter</t>
        </is>
      </c>
      <c r="AJ274" s="2" t="inlineStr">
        <is>
          <t>À définir séparément des compatibilités historiques</t>
        </is>
      </c>
      <c r="AK274" s="2" t="inlineStr">
        <is>
          <t>À documenter</t>
        </is>
      </c>
      <c r="AL274" s="2" t="inlineStr">
        <is>
          <t>À rechercher / voir sources historiques</t>
        </is>
      </c>
      <c r="AM274" s="2" t="inlineStr">
        <is>
          <t>https://tanks-encyclopedia.com/ww2/uk/vickers-6-ton/</t>
        </is>
      </c>
      <c r="AN274" s="2" t="inlineStr">
        <is>
          <t>Source de niveau variable ; contrôle par variante nécessaire</t>
        </is>
      </c>
      <c r="AO274" s="2" t="inlineStr">
        <is>
          <t>Non renseigné</t>
        </is>
      </c>
      <c r="AP274" s="2" t="inlineStr">
        <is>
          <t>Faible</t>
        </is>
      </c>
      <c r="AQ274" s="2" t="inlineStr">
        <is>
          <t>À vérifier</t>
        </is>
      </c>
      <c r="AR274" s="2" t="inlineStr">
        <is>
          <t>Partiel — fiche à compléter</t>
        </is>
      </c>
      <c r="AS274" s="2" t="inlineStr">
        <is>
          <t>P2/P3</t>
        </is>
      </c>
      <c r="AT274" s="2" t="inlineStr">
        <is>
          <t>Base de plusieurs conceptions étrangères.</t>
        </is>
      </c>
      <c r="AU274" s="2" t="inlineStr">
        <is>
          <t>À intégrer après validation du prototype</t>
        </is>
      </c>
      <c r="AV274" s="2" t="inlineStr">
        <is>
          <t>Vickers 6-Ton : véhicule de catégorie « Chars légers et chars anciens », d'origine Royaume-Uni / export. Motorisation recensée : 4 cylindres essence Armstrong Siddeley (selon version). Variante historique à vérifier avant validation définitive.</t>
        </is>
      </c>
    </row>
    <row r="275" ht="60" customHeight="1">
      <c r="A275" s="2" t="inlineStr">
        <is>
          <t>VEH-274</t>
        </is>
      </c>
      <c r="B275" s="2" t="inlineStr">
        <is>
          <t>Chasseurs de chars et canons automoteurs</t>
        </is>
      </c>
      <c r="C275" s="2" t="inlineStr">
        <is>
          <t>T-13 B1/B2</t>
        </is>
      </c>
      <c r="D275" s="2" t="inlineStr">
        <is>
          <t>À distinguer si plusieurs variantes</t>
        </is>
      </c>
      <c r="E275" s="2" t="inlineStr">
        <is>
          <t>Belgique</t>
        </is>
      </c>
      <c r="F275" s="2" t="inlineStr">
        <is>
          <t>À documenter</t>
        </is>
      </c>
      <c r="G275" s="2" t="inlineStr">
        <is>
          <t>À confirmer</t>
        </is>
      </c>
      <c r="H275" s="2" t="inlineStr">
        <is>
          <t>Chasseurs de chars et canons automoteurs</t>
        </is>
      </c>
      <c r="I275" s="2" t="inlineStr">
        <is>
          <t>À définir</t>
        </is>
      </c>
      <c r="J275" s="2" t="n"/>
      <c r="K275" s="2" t="n"/>
      <c r="L275" s="2" t="n"/>
      <c r="M275" s="2" t="n"/>
      <c r="N275" s="2" t="n"/>
      <c r="O275" s="2" t="n"/>
      <c r="P275" s="2" t="inlineStr">
        <is>
          <t>4 cylindres essence Vickers / Meadows (selon série à confirmer)</t>
        </is>
      </c>
      <c r="Q275" s="2" t="n"/>
      <c r="R275" s="2" t="n"/>
      <c r="S275" s="2" t="inlineStr">
        <is>
          <t>À confirmer</t>
        </is>
      </c>
      <c r="T275" s="2" t="n"/>
      <c r="U275" s="2" t="n"/>
      <c r="V275" s="2" t="n"/>
      <c r="W275" s="2" t="n"/>
      <c r="X275" s="2" t="inlineStr">
        <is>
          <t>À documenter</t>
        </is>
      </c>
      <c r="Y275" s="2" t="inlineStr">
        <is>
          <t>À documenter</t>
        </is>
      </c>
      <c r="Z275" s="2" t="inlineStr">
        <is>
          <t>À documenter</t>
        </is>
      </c>
      <c r="AA275" s="2" t="inlineStr">
        <is>
          <t>À documenter</t>
        </is>
      </c>
      <c r="AB275" s="2" t="inlineStr">
        <is>
          <t>À documenter</t>
        </is>
      </c>
      <c r="AC275" s="2" t="inlineStr">
        <is>
          <t>Armement historique à déterminer précisément pour ce modèle/sa variante</t>
        </is>
      </c>
      <c r="AD275" s="2" t="inlineStr">
        <is>
          <t>À documenter</t>
        </is>
      </c>
      <c r="AE275" s="2" t="inlineStr">
        <is>
          <t>À documenter</t>
        </is>
      </c>
      <c r="AF275" s="2" t="inlineStr">
        <is>
          <t>À définir</t>
        </is>
      </c>
      <c r="AG275" s="2" t="inlineStr">
        <is>
          <t>À définir</t>
        </is>
      </c>
      <c r="AH275" s="2" t="inlineStr">
        <is>
          <t>Réparation d’origine si véhicule complet ; démontage si incomplet</t>
        </is>
      </c>
      <c r="AI275" s="2" t="inlineStr">
        <is>
          <t>À documenter</t>
        </is>
      </c>
      <c r="AJ275" s="2" t="inlineStr">
        <is>
          <t>À définir séparément des compatibilités historiques</t>
        </is>
      </c>
      <c r="AK275" s="2" t="inlineStr">
        <is>
          <t>À documenter</t>
        </is>
      </c>
      <c r="AL275" s="2" t="inlineStr">
        <is>
          <t>À rechercher / voir sources historiques</t>
        </is>
      </c>
      <c r="AM275" s="2" t="inlineStr">
        <is>
          <t>https://tanks-encyclopedia.com/ww2/belgium/t13/</t>
        </is>
      </c>
      <c r="AN275" s="2" t="inlineStr">
        <is>
          <t>Source de niveau variable ; contrôle par variante nécessaire</t>
        </is>
      </c>
      <c r="AO275" s="2" t="inlineStr">
        <is>
          <t>Non renseigné</t>
        </is>
      </c>
      <c r="AP275" s="2" t="inlineStr">
        <is>
          <t>Faible</t>
        </is>
      </c>
      <c r="AQ275" s="2" t="inlineStr">
        <is>
          <t>À vérifier</t>
        </is>
      </c>
      <c r="AR275" s="2" t="inlineStr">
        <is>
          <t>Partiel — fiche à compléter</t>
        </is>
      </c>
      <c r="AS275" s="2" t="inlineStr">
        <is>
          <t>P2/P3</t>
        </is>
      </c>
      <c r="AT275" s="2" t="inlineStr">
        <is>
          <t>Chasseur de chars léger belge.</t>
        </is>
      </c>
      <c r="AU275" s="2" t="inlineStr">
        <is>
          <t>À intégrer après validation du prototype</t>
        </is>
      </c>
      <c r="AV275" s="2" t="inlineStr">
        <is>
          <t>T-13 B1/B2 : véhicule de catégorie « Chasseurs de chars et canons automoteurs », d'origine Belgique. Motorisation recensée : 4 cylindres essence Vickers / Meadows (selon série à confirmer). Variante historique à vérifier avant validation définitive.</t>
        </is>
      </c>
    </row>
    <row r="276" ht="60" customHeight="1">
      <c r="A276" s="2" t="inlineStr">
        <is>
          <t>VEH-275</t>
        </is>
      </c>
      <c r="B276" s="2" t="inlineStr">
        <is>
          <t>Chars légers et chars anciens</t>
        </is>
      </c>
      <c r="C276" s="2" t="inlineStr">
        <is>
          <t>T-15</t>
        </is>
      </c>
      <c r="D276" s="2" t="inlineStr">
        <is>
          <t>À distinguer si plusieurs variantes</t>
        </is>
      </c>
      <c r="E276" s="2" t="inlineStr">
        <is>
          <t>Belgique</t>
        </is>
      </c>
      <c r="F276" s="2" t="inlineStr">
        <is>
          <t>À documenter</t>
        </is>
      </c>
      <c r="G276" s="2" t="inlineStr">
        <is>
          <t>À confirmer</t>
        </is>
      </c>
      <c r="H276" s="2" t="inlineStr">
        <is>
          <t>Chars légers et chars anciens</t>
        </is>
      </c>
      <c r="I276" s="2" t="inlineStr">
        <is>
          <t>À définir</t>
        </is>
      </c>
      <c r="J276" s="2" t="n"/>
      <c r="K276" s="2" t="n"/>
      <c r="L276" s="2" t="n"/>
      <c r="M276" s="2" t="n"/>
      <c r="N276" s="2" t="n"/>
      <c r="O276" s="2" t="n"/>
      <c r="P276" s="2" t="inlineStr">
        <is>
          <t>4 cylindres essence Meadows (à confirmer)</t>
        </is>
      </c>
      <c r="Q276" s="2" t="n"/>
      <c r="R276" s="2" t="n"/>
      <c r="S276" s="2" t="inlineStr">
        <is>
          <t>À confirmer</t>
        </is>
      </c>
      <c r="T276" s="2" t="n"/>
      <c r="U276" s="2" t="n"/>
      <c r="V276" s="2" t="n"/>
      <c r="W276" s="2" t="n"/>
      <c r="X276" s="2" t="inlineStr">
        <is>
          <t>À documenter</t>
        </is>
      </c>
      <c r="Y276" s="2" t="inlineStr">
        <is>
          <t>À documenter</t>
        </is>
      </c>
      <c r="Z276" s="2" t="inlineStr">
        <is>
          <t>À documenter</t>
        </is>
      </c>
      <c r="AA276" s="2" t="inlineStr">
        <is>
          <t>À documenter</t>
        </is>
      </c>
      <c r="AB276" s="2" t="inlineStr">
        <is>
          <t>À documenter</t>
        </is>
      </c>
      <c r="AC276" s="2" t="inlineStr">
        <is>
          <t>Armement historique à déterminer précisément pour ce modèle/sa variante</t>
        </is>
      </c>
      <c r="AD276" s="2" t="inlineStr">
        <is>
          <t>À documenter</t>
        </is>
      </c>
      <c r="AE276" s="2" t="inlineStr">
        <is>
          <t>À documenter</t>
        </is>
      </c>
      <c r="AF276" s="2" t="inlineStr">
        <is>
          <t>À définir</t>
        </is>
      </c>
      <c r="AG276" s="2" t="inlineStr">
        <is>
          <t>À définir</t>
        </is>
      </c>
      <c r="AH276" s="2" t="inlineStr">
        <is>
          <t>Réparation d’origine si véhicule complet ; démontage si incomplet</t>
        </is>
      </c>
      <c r="AI276" s="2" t="inlineStr">
        <is>
          <t>À documenter</t>
        </is>
      </c>
      <c r="AJ276" s="2" t="inlineStr">
        <is>
          <t>À définir séparément des compatibilités historiques</t>
        </is>
      </c>
      <c r="AK276" s="2" t="inlineStr">
        <is>
          <t>À documenter</t>
        </is>
      </c>
      <c r="AL276" s="2" t="inlineStr">
        <is>
          <t>À rechercher / voir sources historiques</t>
        </is>
      </c>
      <c r="AM276" s="2" t="inlineStr">
        <is>
          <t>https://tanks-encyclopedia.com/ww2/belgium/t15/</t>
        </is>
      </c>
      <c r="AN276" s="2" t="inlineStr">
        <is>
          <t>Source de niveau variable ; contrôle par variante nécessaire</t>
        </is>
      </c>
      <c r="AO276" s="2" t="inlineStr">
        <is>
          <t>Non renseigné</t>
        </is>
      </c>
      <c r="AP276" s="2" t="inlineStr">
        <is>
          <t>Faible</t>
        </is>
      </c>
      <c r="AQ276" s="2" t="inlineStr">
        <is>
          <t>À vérifier</t>
        </is>
      </c>
      <c r="AR276" s="2" t="inlineStr">
        <is>
          <t>Partiel — fiche à compléter</t>
        </is>
      </c>
      <c r="AS276" s="2" t="inlineStr">
        <is>
          <t>P2/P3</t>
        </is>
      </c>
      <c r="AT276" s="2" t="inlineStr">
        <is>
          <t>Char léger belge dérivé de conception britannique.</t>
        </is>
      </c>
      <c r="AU276" s="2" t="inlineStr">
        <is>
          <t>À intégrer après validation du prototype</t>
        </is>
      </c>
      <c r="AV276" s="2" t="inlineStr">
        <is>
          <t>T-15 : véhicule de catégorie « Chars légers et chars anciens », d'origine Belgique. Motorisation recensée : 4 cylindres essence Meadows (à confirmer). Variante historique à vérifier avant validation définitive.</t>
        </is>
      </c>
    </row>
  </sheetData>
  <autoFilter ref="A1:AV27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20" customWidth="1" min="1" max="1"/>
    <col width="40" customWidth="1" min="2" max="2"/>
    <col width="28" customWidth="1" min="3" max="3"/>
    <col width="100" customWidth="1" min="4" max="4"/>
  </cols>
  <sheetData>
    <row r="1">
      <c r="A1" s="25" t="inlineStr">
        <is>
          <t>Domaine</t>
        </is>
      </c>
      <c r="B1" s="25" t="inlineStr">
        <is>
          <t>Indicateur / règle</t>
        </is>
      </c>
      <c r="C1" s="25" t="inlineStr">
        <is>
          <t>Valeur</t>
        </is>
      </c>
      <c r="D1" s="25" t="inlineStr">
        <is>
          <t>Interprétation</t>
        </is>
      </c>
    </row>
    <row r="2" ht="42" customHeight="1">
      <c r="A2" s="2" t="inlineStr">
        <is>
          <t>Périmètre</t>
        </is>
      </c>
      <c r="B2" s="2" t="inlineStr">
        <is>
          <t>Nombre de fiches importées</t>
        </is>
      </c>
      <c r="C2" s="2" t="n">
        <v>275</v>
      </c>
      <c r="D2" s="2" t="inlineStr">
        <is>
          <t>Une ligne par entrée du catalogue initial ; variantes doivent ensuite être normalisées.</t>
        </is>
      </c>
    </row>
    <row r="3" ht="42" customHeight="1">
      <c r="A3" s="2" t="inlineStr">
        <is>
          <t>Données</t>
        </is>
      </c>
      <c r="B3" s="2" t="inlineStr">
        <is>
          <t>Dimensions complètes (L/l/h)</t>
        </is>
      </c>
      <c r="C3" s="2">
        <f>COUNTIFS('Base maître véhicules'!L2:L276,"&gt;0",'Base maître véhicules'!M2:M276,"&gt;0",'Base maître véhicules'!N2:N276,"&gt;0")</f>
        <v/>
      </c>
      <c r="D3" s="2" t="inlineStr">
        <is>
          <t>Valeurs absentes = à documenter ; certaines fiches sont estimatives.</t>
        </is>
      </c>
    </row>
    <row r="4" ht="42" customHeight="1">
      <c r="A4" s="2" t="inlineStr">
        <is>
          <t>Données</t>
        </is>
      </c>
      <c r="B4" s="2" t="inlineStr">
        <is>
          <t>Masse renseignée</t>
        </is>
      </c>
      <c r="C4" s="2">
        <f>COUNT('Base maître véhicules'!J2:J276)</f>
        <v/>
      </c>
      <c r="D4" s="2" t="inlineStr">
        <is>
          <t>Distinguer masse à vide, en ordre de marche et combat.</t>
        </is>
      </c>
    </row>
    <row r="5" ht="42" customHeight="1">
      <c r="A5" s="2" t="inlineStr">
        <is>
          <t>Données</t>
        </is>
      </c>
      <c r="B5" s="2" t="inlineStr">
        <is>
          <t>Puissance renseignée</t>
        </is>
      </c>
      <c r="C5" s="2">
        <f>COUNT('Base maître véhicules'!R2:R276)</f>
        <v/>
      </c>
      <c r="D5" s="2" t="inlineStr">
        <is>
          <t>Valeur historique doit être liée à la variante moteur.</t>
        </is>
      </c>
    </row>
    <row r="6" ht="42" customHeight="1">
      <c r="A6" s="2" t="inlineStr">
        <is>
          <t>Données</t>
        </is>
      </c>
      <c r="B6" s="2" t="inlineStr">
        <is>
          <t>Capacité carburant renseignée</t>
        </is>
      </c>
      <c r="C6" s="2">
        <f>COUNT('Base maître véhicules'!T2:T276)</f>
        <v/>
      </c>
      <c r="D6" s="2" t="inlineStr">
        <is>
          <t>Donnée importante pour l’autonomie de gameplay.</t>
        </is>
      </c>
    </row>
    <row r="7" ht="42" customHeight="1">
      <c r="A7" s="2" t="inlineStr">
        <is>
          <t>Données</t>
        </is>
      </c>
      <c r="B7" s="2" t="inlineStr">
        <is>
          <t>Source technique dédiée</t>
        </is>
      </c>
      <c r="C7" s="2">
        <f>COUNTIF('Base maître véhicules'!AL2:AL276,"http*")</f>
        <v/>
      </c>
      <c r="D7" s="2" t="inlineStr">
        <is>
          <t>Une source par champ idéalement ; la source générale de la ligne ne suffit pas toujours.</t>
        </is>
      </c>
    </row>
    <row r="8" ht="42" customHeight="1">
      <c r="A8" s="2" t="inlineStr">
        <is>
          <t>Qualité</t>
        </is>
      </c>
      <c r="B8" s="2" t="inlineStr">
        <is>
          <t>Priorité P1</t>
        </is>
      </c>
      <c r="C8" s="2">
        <f>COUNTIF('Base maître véhicules'!AS2:AS276,"P1")</f>
        <v/>
      </c>
      <c r="D8" s="2" t="inlineStr">
        <is>
          <t>Véhicules prioritaires pour les premières mécaniques et la direction artistique.</t>
        </is>
      </c>
    </row>
    <row r="9" ht="42" customHeight="1">
      <c r="A9" s="2" t="inlineStr">
        <is>
          <t>Qualité</t>
        </is>
      </c>
      <c r="B9" s="2" t="inlineStr">
        <is>
          <t>À compléter</t>
        </is>
      </c>
      <c r="C9" s="2">
        <f>COUNTIF('Base maître véhicules'!AN2:AN276,"Partiel*")</f>
        <v/>
      </c>
      <c r="D9" s="2" t="inlineStr">
        <is>
          <t>La complétude ne signifie pas que toutes les données sont vérifiées.</t>
        </is>
      </c>
    </row>
    <row r="10" ht="42" customHeight="1">
      <c r="A10" s="2" t="inlineStr">
        <is>
          <t>Règle</t>
        </is>
      </c>
      <c r="B10" s="2" t="inlineStr">
        <is>
          <t>Variantes</t>
        </is>
      </c>
      <c r="C10" s="2" t="inlineStr">
        <is>
          <t>Une fiche par variante jouable distincte</t>
        </is>
      </c>
      <c r="D10" s="2" t="inlineStr">
        <is>
          <t>Si le moteur, la masse, les dimensions, l’armement ou les ancrages changent significativement, créer une variante séparée.</t>
        </is>
      </c>
    </row>
    <row r="11" ht="42" customHeight="1">
      <c r="A11" s="2" t="inlineStr">
        <is>
          <t>Règle</t>
        </is>
      </c>
      <c r="B11" s="2" t="inlineStr">
        <is>
          <t>Données historiques vs gameplay</t>
        </is>
      </c>
      <c r="C11" s="2" t="inlineStr">
        <is>
          <t>Ne jamais mélanger les deux</t>
        </is>
      </c>
      <c r="D11" s="2" t="inlineStr">
        <is>
          <t>Les valeurs historiques sourcées alimentent les calculs de départ ; les modificateurs de gameplay sont stockés dans des champs séparés.</t>
        </is>
      </c>
    </row>
    <row r="12" ht="42" customHeight="1">
      <c r="A12" s="2" t="inlineStr">
        <is>
          <t>Règle</t>
        </is>
      </c>
      <c r="B12" s="2" t="inlineStr">
        <is>
          <t>Confiance</t>
        </is>
      </c>
      <c r="C12" s="2" t="inlineStr">
        <is>
          <t>Élevé / moyen / faible / non renseigné</t>
        </is>
      </c>
      <c r="D12" s="2" t="inlineStr">
        <is>
          <t>Chaque champ critique doit avoir une source et un niveau de confiance avant d’être utilisé comme référence définitive.</t>
        </is>
      </c>
    </row>
    <row r="13" ht="42" customHeight="1">
      <c r="A13" s="2" t="inlineStr">
        <is>
          <t>Règle</t>
        </is>
      </c>
      <c r="B13" s="2" t="inlineStr">
        <is>
          <t>Statut prototype</t>
        </is>
      </c>
      <c r="C13" s="2" t="inlineStr">
        <is>
          <t>Prototype / véhicule de série / conversion / projet</t>
        </is>
      </c>
      <c r="D13" s="2" t="inlineStr">
        <is>
          <t>Un prototype ou projet historique ne doit pas être présenté comme un véhicule de série.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showGridLines="0" workbookViewId="0">
      <pane ySplit="1" topLeftCell="A2" activePane="bottomLeft" state="frozen"/>
      <selection pane="bottomLeft" activeCell="A1" sqref="A1"/>
    </sheetView>
  </sheetViews>
  <sheetFormatPr baseColWidth="8" defaultRowHeight="15"/>
  <cols>
    <col width="30" customWidth="1" min="1" max="1"/>
    <col width="38" customWidth="1" min="2" max="2"/>
    <col width="90" customWidth="1" min="3" max="3"/>
    <col width="30" customWidth="1" min="4" max="4"/>
    <col width="70" customWidth="1" min="5" max="5"/>
    <col width="75" customWidth="1" min="6" max="6"/>
  </cols>
  <sheetData>
    <row r="1">
      <c r="A1" s="25" t="inlineStr">
        <is>
          <t>Véhicule / variante</t>
        </is>
      </c>
      <c r="B1" s="25" t="inlineStr">
        <is>
          <t>Source</t>
        </is>
      </c>
      <c r="C1" s="25" t="inlineStr">
        <is>
          <t>URL</t>
        </is>
      </c>
      <c r="D1" s="25" t="inlineStr">
        <is>
          <t>Type</t>
        </is>
      </c>
      <c r="E1" s="25" t="inlineStr">
        <is>
          <t>Données utilisables</t>
        </is>
      </c>
      <c r="F1" s="25" t="inlineStr">
        <is>
          <t>Précautions</t>
        </is>
      </c>
    </row>
    <row r="2" ht="60" customHeight="1">
      <c r="A2" s="2" t="inlineStr">
        <is>
          <t>M3 Half Track</t>
        </is>
      </c>
      <c r="B2" s="2" t="inlineStr">
        <is>
          <t>National WWII Museum</t>
        </is>
      </c>
      <c r="C2" s="2" t="inlineStr">
        <is>
          <t>https://www.nationalww2museum.org/visit/museum-campus/us-freedom-pavilion/vehicles-war/white-m3-half-track</t>
        </is>
      </c>
      <c r="D2" s="2" t="inlineStr">
        <is>
          <t>Musée</t>
        </is>
      </c>
      <c r="E2" s="2" t="inlineStr">
        <is>
          <t>Masse brute, dimensions, moteur White 160AX, équipage/capacité, rôle</t>
        </is>
      </c>
      <c r="F2" s="2" t="inlineStr">
        <is>
          <t>Ne pas confondre masse brute avec masse à vide ; variantes M3/M3A1.</t>
        </is>
      </c>
    </row>
    <row r="3" ht="60" customHeight="1">
      <c r="A3" s="2" t="inlineStr">
        <is>
          <t>M3 Half Track</t>
        </is>
      </c>
      <c r="B3" s="2" t="inlineStr">
        <is>
          <t>MVCG France</t>
        </is>
      </c>
      <c r="C3" s="2" t="inlineStr">
        <is>
          <t>https://www.mvcgfrance.org/half-track-m3/</t>
        </is>
      </c>
      <c r="D3" s="2" t="inlineStr">
        <is>
          <t>Association spécialisée</t>
        </is>
      </c>
      <c r="E3" s="2" t="inlineStr">
        <is>
          <t>Production, moteur, puissance, rôle, référence TM 9-710</t>
        </is>
      </c>
      <c r="F3" s="2" t="inlineStr">
        <is>
          <t>À recouper avec le manuel d’époque.</t>
        </is>
      </c>
    </row>
    <row r="4" ht="60" customHeight="1">
      <c r="A4" s="2" t="inlineStr">
        <is>
          <t>M3 Stuart</t>
        </is>
      </c>
      <c r="B4" s="2" t="inlineStr">
        <is>
          <t>US Army TM 9-726 (1942)</t>
        </is>
      </c>
      <c r="C4" s="2" t="inlineStr">
        <is>
          <t>https://commons.wikimedia.org/wiki/File%3ATM_9-726_Light_Tank_M3%2C_1942_%28IA_TM9-726%29.pdf</t>
        </is>
      </c>
      <c r="D4" s="2" t="inlineStr">
        <is>
          <t>Manuel technique primaire</t>
        </is>
      </c>
      <c r="E4" s="2" t="inlineStr">
        <is>
          <t>Moteur, transmission, capacités, maintenance et armement</t>
        </is>
      </c>
      <c r="F4" s="2" t="inlineStr">
        <is>
          <t>Concerne une version M3 documentée, pas toutes les variantes Stuart.</t>
        </is>
      </c>
    </row>
    <row r="5" ht="60" customHeight="1">
      <c r="A5" s="2" t="inlineStr">
        <is>
          <t>M3 Stuart</t>
        </is>
      </c>
      <c r="B5" s="2" t="inlineStr">
        <is>
          <t>MVCG France</t>
        </is>
      </c>
      <c r="C5" s="2" t="inlineStr">
        <is>
          <t>https://www.mvcgfrance.org/stuart-m3/</t>
        </is>
      </c>
      <c r="D5" s="2" t="inlineStr">
        <is>
          <t>Association spécialisée</t>
        </is>
      </c>
      <c r="E5" s="2" t="inlineStr">
        <is>
          <t>Caractéristiques générales d’un M3A1 exposé</t>
        </is>
      </c>
      <c r="F5" s="2" t="inlineStr">
        <is>
          <t>Ne pas fusionner M3 et M3A1.</t>
        </is>
      </c>
    </row>
    <row r="6" ht="60" customHeight="1">
      <c r="A6" s="2" t="inlineStr">
        <is>
          <t>Tiger II</t>
        </is>
      </c>
      <c r="B6" s="2" t="inlineStr">
        <is>
          <t>The Tank Museum</t>
        </is>
      </c>
      <c r="C6" s="2" t="inlineStr">
        <is>
          <t>https://tankmuseum.org/tank_collection/tiger-ii</t>
        </is>
      </c>
      <c r="D6" s="2" t="inlineStr">
        <is>
          <t>Musée spécialisé</t>
        </is>
      </c>
      <c r="E6" s="2" t="inlineStr">
        <is>
          <t>Production, équipage, masse, armement, vitesse publiée</t>
        </is>
      </c>
      <c r="F6" s="2" t="inlineStr">
        <is>
          <t>La vitesse diffère de certaines fiches secondaires ; garder une source principale et noter l’écart.</t>
        </is>
      </c>
    </row>
    <row r="7" ht="60" customHeight="1">
      <c r="A7" s="2" t="inlineStr">
        <is>
          <t>Tiger II</t>
        </is>
      </c>
      <c r="B7" s="2" t="inlineStr">
        <is>
          <t>Normandy Victory Museum</t>
        </is>
      </c>
      <c r="C7" s="2" t="inlineStr">
        <is>
          <t>https://normandy-victory-museum.fr/vie-du-musee/un-char-tigre-2-au-normandy-victory-museum/</t>
        </is>
      </c>
      <c r="D7" s="2" t="inlineStr">
        <is>
          <t>Musée</t>
        </is>
      </c>
      <c r="E7" s="2" t="inlineStr">
        <is>
          <t>Dimensions, moteur HL 230 P30, carburant, blindage et performances</t>
        </is>
      </c>
      <c r="F7" s="2" t="inlineStr">
        <is>
          <t>Valeurs générales de la famille de production ; configuration à préciser.</t>
        </is>
      </c>
    </row>
    <row r="8" ht="60" customHeight="1">
      <c r="A8" s="2" t="inlineStr">
        <is>
          <t>DUKW</t>
        </is>
      </c>
      <c r="B8" s="2" t="inlineStr">
        <is>
          <t>US Army TM 9-802</t>
        </is>
      </c>
      <c r="C8" s="2" t="inlineStr">
        <is>
          <t>https://transportation.army.mil/museum/docs/TM9-802-Declassified.pdf</t>
        </is>
      </c>
      <c r="D8" s="2" t="inlineStr">
        <is>
          <t>Manuel technique primaire</t>
        </is>
      </c>
      <c r="E8" s="2" t="inlineStr">
        <is>
          <t>Référence de base pour entretien et systèmes du DUKW-353</t>
        </is>
      </c>
      <c r="F8" s="2" t="inlineStr">
        <is>
          <t>Vérifier les caractéristiques dans le corps du manuel avant verrouillage.</t>
        </is>
      </c>
    </row>
    <row r="9" ht="60" customHeight="1">
      <c r="A9" s="2" t="inlineStr">
        <is>
          <t>DUKW</t>
        </is>
      </c>
      <c r="B9" s="2" t="inlineStr">
        <is>
          <t>AFCVM</t>
        </is>
      </c>
      <c r="C9" s="2" t="inlineStr">
        <is>
          <t>https://www.afcvm.com/dukw/</t>
        </is>
      </c>
      <c r="D9" s="2" t="inlineStr">
        <is>
          <t>Association spécialisée</t>
        </is>
      </c>
      <c r="E9" s="2" t="inlineStr">
        <is>
          <t>Historique, système amphibie, réglage pression pneus</t>
        </is>
      </c>
      <c r="F9" s="2" t="inlineStr">
        <is>
          <t>Source secondaire ; recouper les valeurs chiffrées.</t>
        </is>
      </c>
    </row>
    <row r="10" ht="60" customHeight="1">
      <c r="A10" s="2" t="inlineStr">
        <is>
          <t>M4 Sherman</t>
        </is>
      </c>
      <c r="B10" s="2" t="inlineStr">
        <is>
          <t>National WWII Museum</t>
        </is>
      </c>
      <c r="C10" s="2" t="inlineStr">
        <is>
          <t>https://www.nationalww2museum.org/visit/museum-campus/us-freedom-pavilion/vehicles-war/m4-sherman-tank</t>
        </is>
      </c>
      <c r="D10" s="2" t="inlineStr">
        <is>
          <t>Musée</t>
        </is>
      </c>
      <c r="E10" s="2" t="inlineStr">
        <is>
          <t>M4A3 de 1943, Ford GAA, équipage, vitesse et armement</t>
        </is>
      </c>
      <c r="F10" s="2" t="inlineStr">
        <is>
          <t>La fiche décrit un exemplaire M4A3 précis.</t>
        </is>
      </c>
    </row>
    <row r="11" ht="60" customHeight="1">
      <c r="A11" s="2" t="inlineStr">
        <is>
          <t>M4A2 Sherman</t>
        </is>
      </c>
      <c r="B11" s="2" t="inlineStr">
        <is>
          <t>Fiche technique M4A2(76)W</t>
        </is>
      </c>
      <c r="C11" s="2" t="inlineStr">
        <is>
          <t>https://www.theshermantank.com/wp-content/uploads/M4A2-76w-spec-sheet.pdf</t>
        </is>
      </c>
      <c r="D11" s="2" t="inlineStr">
        <is>
          <t>Fiche technique de variante</t>
        </is>
      </c>
      <c r="E11" s="2" t="inlineStr">
        <is>
          <t>Moteur GM 6046, carburant diesel, dimensions, masse, armement</t>
        </is>
      </c>
      <c r="F11" s="2" t="inlineStr">
        <is>
          <t>Ne pas appliquer sans distinction à toutes les M4A2.</t>
        </is>
      </c>
    </row>
    <row r="12" ht="60" customHeight="1">
      <c r="A12" s="2" t="inlineStr">
        <is>
          <t>M4A4 Sherman</t>
        </is>
      </c>
      <c r="B12" s="2" t="inlineStr">
        <is>
          <t>Dossier technique Sherman</t>
        </is>
      </c>
      <c r="C12" s="2" t="inlineStr">
        <is>
          <t>https://www.unabcc.org/app/download/8279667/Sherman.pdf</t>
        </is>
      </c>
      <c r="D12" s="2" t="inlineStr">
        <is>
          <t>Dossier technique spécialisé</t>
        </is>
      </c>
      <c r="E12" s="2" t="inlineStr">
        <is>
          <t>Moteur Chrysler A57, dimensions, masse, capacité et performances</t>
        </is>
      </c>
      <c r="F12" s="2" t="inlineStr">
        <is>
          <t>La conversion Firefly est une variante distincte.</t>
        </is>
      </c>
    </row>
    <row r="13" ht="60" customHeight="1">
      <c r="A13" s="2" t="inlineStr">
        <is>
          <t>Sherman famille</t>
        </is>
      </c>
      <c r="B13" s="2" t="inlineStr">
        <is>
          <t>RDG Museum</t>
        </is>
      </c>
      <c r="C13" s="2" t="inlineStr">
        <is>
          <t>https://www.rdgmuseum.org.uk/history-and-research/tanks-and-vehicles/the-1940s/the-m4-sherman-medium-tank/</t>
        </is>
      </c>
      <c r="D13" s="2" t="inlineStr">
        <is>
          <t>Musée</t>
        </is>
      </c>
      <c r="E13" s="2" t="inlineStr">
        <is>
          <t>Différences entre les grandes variantes et évolution des équipements</t>
        </is>
      </c>
      <c r="F13" s="2" t="inlineStr">
        <is>
          <t>Source de synthèse, compléter par fiches techniques par variante.</t>
        </is>
      </c>
    </row>
  </sheetData>
  <autoFilter ref="A1:F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32" customWidth="1" min="1" max="1"/>
    <col width="46" customWidth="1" min="2" max="2"/>
    <col width="90" customWidth="1" min="3" max="3"/>
    <col width="32" customWidth="1" min="4" max="4"/>
    <col width="70" customWidth="1" min="5" max="5"/>
    <col width="70" customWidth="1" min="6" max="6"/>
  </cols>
  <sheetData>
    <row r="1">
      <c r="A1" s="25" t="inlineStr">
        <is>
          <t>Véhicule / famille</t>
        </is>
      </c>
      <c r="B1" s="25" t="inlineStr">
        <is>
          <t>Source</t>
        </is>
      </c>
      <c r="C1" s="25" t="inlineStr">
        <is>
          <t>URL</t>
        </is>
      </c>
      <c r="D1" s="25" t="inlineStr">
        <is>
          <t>Type de source</t>
        </is>
      </c>
      <c r="E1" s="25" t="inlineStr">
        <is>
          <t>Données couvertes / usage</t>
        </is>
      </c>
      <c r="F1" s="25" t="inlineStr">
        <is>
          <t>Réserves</t>
        </is>
      </c>
    </row>
    <row r="2" ht="65" customHeight="1">
      <c r="A2" s="2" t="inlineStr">
        <is>
          <t>Willys MB</t>
        </is>
      </c>
      <c r="B2" s="2" t="inlineStr">
        <is>
          <t>US War Department, TM 10-1513</t>
        </is>
      </c>
      <c r="C2" s="2" t="inlineStr">
        <is>
          <t>https://web.willys.co.rs/knjige/TM_10-1513_Willys_MB_Jeep_1942.pdf</t>
        </is>
      </c>
      <c r="D2" s="2" t="inlineStr">
        <is>
          <t>Manuel technique primaire</t>
        </is>
      </c>
      <c r="E2" s="2" t="inlineStr">
        <is>
          <t>Dimensions, capacités, poids, fonctionnement et entretien</t>
        </is>
      </c>
      <c r="F2" s="2" t="inlineStr">
        <is>
          <t>Vérifier les unités, l’année et les équipements optionnels.</t>
        </is>
      </c>
    </row>
    <row r="3" ht="65" customHeight="1">
      <c r="A3" s="2" t="inlineStr">
        <is>
          <t>GMC CCKW 352/353</t>
        </is>
      </c>
      <c r="B3" s="2" t="inlineStr">
        <is>
          <t>US Army, TM 10-1563</t>
        </is>
      </c>
      <c r="C3" s="2" t="inlineStr">
        <is>
          <t>https://bushmakow.com/wp-content/uploads/2024/05/668.-TM-10-1563-CCKW-352-353-1942-compressed_bushmakow.pdf</t>
        </is>
      </c>
      <c r="D3" s="2" t="inlineStr">
        <is>
          <t>Manuel technique primaire</t>
        </is>
      </c>
      <c r="E3" s="2" t="inlineStr">
        <is>
          <t>Dimensions et différences de châssis 352/353, carrosseries</t>
        </is>
      </c>
      <c r="F3" s="2" t="inlineStr">
        <is>
          <t>Les caisses, treuils et équipements changent le gabarit.</t>
        </is>
      </c>
    </row>
    <row r="4" ht="65" customHeight="1">
      <c r="A4" s="2" t="inlineStr">
        <is>
          <t>Diamond T 968A/969A/970A/972</t>
        </is>
      </c>
      <c r="B4" s="2" t="inlineStr">
        <is>
          <t>US War Department, TM 9-811</t>
        </is>
      </c>
      <c r="C4" s="2" t="inlineStr">
        <is>
          <t>https://commons.wikimedia.org/wiki/File%3ATM_9-811_4-Ton%2C_6x6_Trucks_%28Diamond_T_Models_968A_Cargo%2C_969A_Wrecker%2C_970A_Ponton%2C_And_972_Dump%29%2C_1944_%28IA_TM9-811%29.pdf</t>
        </is>
      </c>
      <c r="D4" s="2" t="inlineStr">
        <is>
          <t>Manuel technique primaire</t>
        </is>
      </c>
      <c r="E4" s="2" t="inlineStr">
        <is>
          <t>Description, maintenance, groupes mécaniques, variantes de carrosserie</t>
        </is>
      </c>
      <c r="F4" s="2" t="inlineStr">
        <is>
          <t>Ne pas fusionner les modèles 968A, 969A, 970A et 972.</t>
        </is>
      </c>
    </row>
    <row r="5" ht="65" customHeight="1">
      <c r="A5" s="2" t="inlineStr">
        <is>
          <t>Diamond T 969A</t>
        </is>
      </c>
      <c r="B5" s="2" t="inlineStr">
        <is>
          <t>UNIVEM Paris</t>
        </is>
      </c>
      <c r="C5" s="2" t="inlineStr">
        <is>
          <t>https://univem-paris.com/project/diamond-t-969a/</t>
        </is>
      </c>
      <c r="D5" s="2" t="inlineStr">
        <is>
          <t>Fiche de collection spécialisée</t>
        </is>
      </c>
      <c r="E5" s="2" t="inlineStr">
        <is>
          <t>Dimensions, masse, moteur, puissance, capacité carburant, vitesse</t>
        </is>
      </c>
      <c r="F5" s="2" t="inlineStr">
        <is>
          <t>À croiser avec TM 9-811 ; les définitions de masse peuvent varier.</t>
        </is>
      </c>
    </row>
    <row r="6" ht="65" customHeight="1">
      <c r="A6" s="2" t="inlineStr">
        <is>
          <t>BMW R75 sidecar</t>
        </is>
      </c>
      <c r="B6" s="2" t="inlineStr">
        <is>
          <t>BMW Bikes / fiche technique R75 Sidecar Unit</t>
        </is>
      </c>
      <c r="C6" s="2" t="inlineStr">
        <is>
          <t>https://bmbikes.bmw-club.org.uk/PDF%20Downloads/R75sidecarunitSpec.pdf</t>
        </is>
      </c>
      <c r="D6" s="2" t="inlineStr">
        <is>
          <t>Fiche technique secondaire spécialisée</t>
        </is>
      </c>
      <c r="E6" s="2" t="inlineStr">
        <is>
          <t>Moteur 745 cm³, puissance, architecture et transmission</t>
        </is>
      </c>
      <c r="F6" s="2" t="inlineStr">
        <is>
          <t>Distinguer précisément R75 militaire avec side-car des BMW R75 civiles d’après-guerre.</t>
        </is>
      </c>
    </row>
    <row r="7" ht="65" customHeight="1">
      <c r="A7" s="2" t="inlineStr">
        <is>
          <t>M4 Sherman (mid-production)</t>
        </is>
      </c>
      <c r="B7" s="2" t="inlineStr">
        <is>
          <t>WarDrawings</t>
        </is>
      </c>
      <c r="C7" s="2" t="inlineStr">
        <is>
          <t>https://www.wardrawings.be/WW2/Files/1-Vehicles/Allies/1-USA/02-MediumTanks/M4-Sherman/Data/M4%28mid%29.htm</t>
        </is>
      </c>
      <c r="D7" s="2" t="inlineStr">
        <is>
          <t>Référence secondaire détaillée</t>
        </is>
      </c>
      <c r="E7" s="2" t="inlineStr">
        <is>
          <t>Dimensions, masse, équipage, armement, blindage d’une variante donnée</t>
        </is>
      </c>
      <c r="F7" s="2" t="inlineStr">
        <is>
          <t>Ne pas extrapoler ces valeurs à toutes les variantes M4.</t>
        </is>
      </c>
    </row>
    <row r="8" ht="65" customHeight="1">
      <c r="A8" s="2" t="inlineStr">
        <is>
          <t>M4A3 Sherman</t>
        </is>
      </c>
      <c r="B8" s="2" t="inlineStr">
        <is>
          <t>US Army Rock Island Arsenal Ordnance &amp; Memorial Field</t>
        </is>
      </c>
      <c r="C8" s="2" t="inlineStr">
        <is>
          <t>https://www.aschq.army.mil/Portals/54/Factsheets/history/ORD03.pdf</t>
        </is>
      </c>
      <c r="D8" s="2" t="inlineStr">
        <is>
          <t>Fiche institutionnelle</t>
        </is>
      </c>
      <c r="E8" s="2" t="inlineStr">
        <is>
          <t>Ordre de grandeur de masse, dimensions, équipage, portée et production</t>
        </is>
      </c>
      <c r="F8" s="2" t="inlineStr">
        <is>
          <t>Distinguer M4A3 des autres sous-versions et des différents moteurs.</t>
        </is>
      </c>
    </row>
    <row r="9" ht="65" customHeight="1">
      <c r="A9" s="2" t="inlineStr">
        <is>
          <t>Tiger I</t>
        </is>
      </c>
      <c r="B9" s="2" t="inlineStr">
        <is>
          <t>Tiger I Information Center</t>
        </is>
      </c>
      <c r="C9" s="2" t="inlineStr">
        <is>
          <t>https://www.alanhamby.com/technical.html</t>
        </is>
      </c>
      <c r="D9" s="2" t="inlineStr">
        <is>
          <t>Référence spécialisée</t>
        </is>
      </c>
      <c r="E9" s="2" t="inlineStr">
        <is>
          <t>Dimensions, masses, moteur HL 210/HL 230, équipage et transmission</t>
        </is>
      </c>
      <c r="F9" s="2" t="inlineStr">
        <is>
          <t>La variante moteur dépend de la série ; confirmer les valeurs avec une source muséale/technique.</t>
        </is>
      </c>
    </row>
    <row r="10" ht="65" customHeight="1">
      <c r="A10" s="2" t="inlineStr">
        <is>
          <t>Tiger I early</t>
        </is>
      </c>
      <c r="B10" s="2" t="inlineStr">
        <is>
          <t>WarDrawings</t>
        </is>
      </c>
      <c r="C10" s="2" t="inlineStr">
        <is>
          <t>https://wardrawings.be/WW2/Files/1-Vehicles/Axis/1-Germany/03-sPanzers/Pz.Kpfw6-Tiger1/Data/Tiger1%28early%29.htm</t>
        </is>
      </c>
      <c r="D10" s="2" t="inlineStr">
        <is>
          <t>Référence secondaire détaillée</t>
        </is>
      </c>
      <c r="E10" s="2" t="inlineStr">
        <is>
          <t>Données d’une variante précoce : dimensions, masse, armement, blindage</t>
        </is>
      </c>
      <c r="F10" s="2" t="inlineStr">
        <is>
          <t>À utiliser comme fiche de variante et non comme référence universelle pour Tiger I.</t>
        </is>
      </c>
    </row>
    <row r="11" ht="65" customHeight="1">
      <c r="A11" s="2" t="inlineStr">
        <is>
          <t>Diamond T collection</t>
        </is>
      </c>
      <c r="B11" s="2" t="inlineStr">
        <is>
          <t>Australian War Memorial</t>
        </is>
      </c>
      <c r="C11" s="2" t="inlineStr">
        <is>
          <t>https://www.awm.gov.au/collection/LIB100021627</t>
        </is>
      </c>
      <c r="D11" s="2" t="inlineStr">
        <is>
          <t>Catalogue de bibliothèque institutionnel</t>
        </is>
      </c>
      <c r="E11" s="2" t="inlineStr">
        <is>
          <t>Vérification de l’existence et de la date du manuel technique TM 9-811</t>
        </is>
      </c>
      <c r="F11" s="2" t="inlineStr">
        <is>
          <t>Source de catalogage, pas une fiche de caractéristiques complète.</t>
        </is>
      </c>
    </row>
  </sheetData>
  <autoFilter ref="A1:F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8"/>
  <sheetViews>
    <sheetView showGridLines="0" workbookViewId="0">
      <pane ySplit="1" topLeftCell="A2" activePane="bottomLeft" state="frozen"/>
      <selection pane="bottomLeft" activeCell="A1" sqref="A1"/>
    </sheetView>
  </sheetViews>
  <sheetFormatPr baseColWidth="8" defaultRowHeight="15"/>
  <cols>
    <col width="13" customWidth="1" min="1" max="1"/>
    <col width="28" customWidth="1" min="2" max="2"/>
    <col width="100" customWidth="1" min="3" max="3"/>
    <col width="25" customWidth="1" min="4" max="4"/>
    <col width="70" customWidth="1" min="5" max="5"/>
  </cols>
  <sheetData>
    <row r="1">
      <c r="A1" s="24" t="inlineStr">
        <is>
          <t>ID</t>
        </is>
      </c>
      <c r="B1" s="24" t="inlineStr">
        <is>
          <t>Système</t>
        </is>
      </c>
      <c r="C1" s="24" t="inlineStr">
        <is>
          <t>Règle de conception</t>
        </is>
      </c>
      <c r="D1" s="24" t="inlineStr">
        <is>
          <t>Statut</t>
        </is>
      </c>
      <c r="E1" s="24" t="inlineStr">
        <is>
          <t>À préciser / test de cohérence</t>
        </is>
      </c>
    </row>
    <row r="2" ht="48" customHeight="1">
      <c r="A2" s="2" t="inlineStr">
        <is>
          <t>LOOP-01</t>
        </is>
      </c>
      <c r="B2" s="2" t="inlineStr">
        <is>
          <t>Boucle principale</t>
        </is>
      </c>
      <c r="C2" s="2" t="inlineStr">
        <is>
          <t>Lire l’état de la base, arbitrer les priorités, préparer une expédition, résoudre ses étapes, rapatrier les gains/pertes, réinvestir et recommencer.</t>
        </is>
      </c>
      <c r="D2" s="2" t="inlineStr">
        <is>
          <t>Validé comme structure</t>
        </is>
      </c>
      <c r="E2" s="2" t="inlineStr">
        <is>
          <t>Vérifier que chaque action du joueur contribue à un besoin, un risque ou un déblocage.</t>
        </is>
      </c>
    </row>
    <row r="3" ht="48" customHeight="1">
      <c r="A3" s="2" t="inlineStr">
        <is>
          <t>LOOP-02</t>
        </is>
      </c>
      <c r="B3" s="2" t="inlineStr">
        <is>
          <t>Préparation d’expédition</t>
        </is>
      </c>
      <c r="C3" s="2" t="inlineStr">
        <is>
          <t>Avant départ, afficher objectif, véhicules, équipage, provisions, carburant estimé, durée estimée, risques principaux et capacité disponible.</t>
        </is>
      </c>
      <c r="D3" s="2" t="inlineStr">
        <is>
          <t>Règle de conception</t>
        </is>
      </c>
      <c r="E3" s="2" t="inlineStr">
        <is>
          <t>Définir la précision des estimations et la présentation des incertitudes.</t>
        </is>
      </c>
    </row>
    <row r="4" ht="48" customHeight="1">
      <c r="A4" s="2" t="inlineStr">
        <is>
          <t>LOOP-03</t>
        </is>
      </c>
      <c r="B4" s="2" t="inlineStr">
        <is>
          <t>Deux modes de résolution</t>
        </is>
      </c>
      <c r="C4" s="2" t="inlineStr">
        <is>
          <t>Transit et résultats ordinaires simulés ; intervention directe possible dans les scènes jugées significatives. Le joueur n’a pas à conduire continuellement.</t>
        </is>
      </c>
      <c r="D4" s="2" t="inlineStr">
        <is>
          <t>Validé comme structure</t>
        </is>
      </c>
      <c r="E4" s="2" t="inlineStr">
        <is>
          <t>Définir les critères de déclenchement des scènes et la possibilité de les ignorer.</t>
        </is>
      </c>
    </row>
    <row r="5" ht="48" customHeight="1">
      <c r="A5" s="2" t="inlineStr">
        <is>
          <t>PROG-01</t>
        </is>
      </c>
      <c r="B5" s="2" t="inlineStr">
        <is>
          <t>Progression persistante</t>
        </is>
      </c>
      <c r="C5" s="2" t="inlineStr">
        <is>
          <t>Base, plans connus, connaissances, carte explorée et progression territoriale persistent entre expéditions.</t>
        </is>
      </c>
      <c r="D5" s="2" t="inlineStr">
        <is>
          <t>Validé</t>
        </is>
      </c>
      <c r="E5" s="2" t="inlineStr">
        <is>
          <t>Préciser quelles améliorations sont permanentes et lesquelles peuvent être détruites.</t>
        </is>
      </c>
    </row>
    <row r="6" ht="48" customHeight="1">
      <c r="A6" s="2" t="inlineStr">
        <is>
          <t>PROG-02</t>
        </is>
      </c>
      <c r="B6" s="2" t="inlineStr">
        <is>
          <t>Roguelite d’expédition</t>
        </is>
      </c>
      <c r="C6" s="2" t="inlineStr">
        <is>
          <t>Chaque expédition expose des ressources et des actifs à une perte possible, sans réinitialiser toute la campagne en cas d’échec.</t>
        </is>
      </c>
      <c r="D6" s="2" t="inlineStr">
        <is>
          <t>Validé</t>
        </is>
      </c>
      <c r="E6" s="2" t="inlineStr">
        <is>
          <t>Définir les seuils de risque et les conséquences d’un échec.</t>
        </is>
      </c>
    </row>
    <row r="7" ht="48" customHeight="1">
      <c r="A7" s="2" t="inlineStr">
        <is>
          <t>LOSS-01</t>
        </is>
      </c>
      <c r="B7" s="2" t="inlineStr">
        <is>
          <t>Véhicule détruit</t>
        </is>
      </c>
      <c r="C7" s="2" t="inlineStr">
        <is>
          <t>Le véhicule assemblé est définitivement perdu ; seules les pièces plausiblement récupérables peuvent être récupérées selon l’état de l’épave.</t>
        </is>
      </c>
      <c r="D7" s="2" t="inlineStr">
        <is>
          <t>Validé</t>
        </is>
      </c>
      <c r="E7" s="2" t="inlineStr">
        <is>
          <t>Créer une table d’état d’épave et de rendement de récupération.</t>
        </is>
      </c>
    </row>
    <row r="8" ht="48" customHeight="1">
      <c r="A8" s="2" t="inlineStr">
        <is>
          <t>LOSS-02</t>
        </is>
      </c>
      <c r="B8" s="2" t="inlineStr">
        <is>
          <t>Plans et connaissances</t>
        </is>
      </c>
      <c r="C8" s="2" t="inlineStr">
        <is>
          <t>Les plans déjà débloqués restent acquis même si le véhicule qui a permis leur découverte est détruit.</t>
        </is>
      </c>
      <c r="D8" s="2" t="inlineStr">
        <is>
          <t>Validé</t>
        </is>
      </c>
      <c r="E8" s="2" t="inlineStr">
        <is>
          <t>Définir les doublons de plans et les sources alternatives.</t>
        </is>
      </c>
    </row>
    <row r="9" ht="48" customHeight="1">
      <c r="A9" s="2" t="inlineStr">
        <is>
          <t>LOSS-03</t>
        </is>
      </c>
      <c r="B9" s="2" t="inlineStr">
        <is>
          <t>Survivants exposés</t>
        </is>
      </c>
      <c r="C9" s="2" t="inlineStr">
        <is>
          <t>Blessures, capture, dispersion ou décès peuvent être des conséquences d’expédition ; pas de perte arbitraire uniquement due à l’application fermée.</t>
        </is>
      </c>
      <c r="D9" s="2" t="inlineStr">
        <is>
          <t>Principe validé</t>
        </is>
      </c>
      <c r="E9" s="2" t="inlineStr">
        <is>
          <t>Préciser les règles de risque, de secours et de récupération.</t>
        </is>
      </c>
    </row>
    <row r="10" ht="48" customHeight="1">
      <c r="A10" s="2" t="inlineStr">
        <is>
          <t>PHASE-A</t>
        </is>
      </c>
      <c r="B10" s="2" t="inlineStr">
        <is>
          <t>Palier A — Survie immédiate</t>
        </is>
      </c>
      <c r="C10" s="2" t="inlineStr">
        <is>
          <t>Sécuriser le point de départ, défendre la ferme, obtenir eau et nourriture, remettre en route un premier véhicule léger.</t>
        </is>
      </c>
      <c r="D10" s="2" t="inlineStr">
        <is>
          <t>Repère de conception</t>
        </is>
      </c>
      <c r="E10" s="2" t="inlineStr">
        <is>
          <t>Définir les objectifs tutoriels et critères de fin.</t>
        </is>
      </c>
    </row>
    <row r="11" ht="48" customHeight="1">
      <c r="A11" s="2" t="inlineStr">
        <is>
          <t>PHASE-B</t>
        </is>
      </c>
      <c r="B11" s="2" t="inlineStr">
        <is>
          <t>Palier B — Autonomie locale</t>
        </is>
      </c>
      <c r="C11" s="2" t="inlineStr">
        <is>
          <t>Stabiliser les productions, stockage, atelier et expéditions courtes.</t>
        </is>
      </c>
      <c r="D11" s="2" t="inlineStr">
        <is>
          <t>Repère de conception</t>
        </is>
      </c>
      <c r="E11" s="2" t="inlineStr">
        <is>
          <t>Définir les bâtiments minimums.</t>
        </is>
      </c>
    </row>
    <row r="12" ht="48" customHeight="1">
      <c r="A12" s="2" t="inlineStr">
        <is>
          <t>PHASE-C</t>
        </is>
      </c>
      <c r="B12" s="2" t="inlineStr">
        <is>
          <t>Palier C — Logistique</t>
        </is>
      </c>
      <c r="C12" s="2" t="inlineStr">
        <is>
          <t>Obtenir un véhicule de transport fiable, découvrir des factions et commencer le troc physique.</t>
        </is>
      </c>
      <c r="D12" s="2" t="inlineStr">
        <is>
          <t>Repère de conception</t>
        </is>
      </c>
      <c r="E12" s="2" t="inlineStr">
        <is>
          <t>Définir le premier partenaire commercial et son offre.</t>
        </is>
      </c>
    </row>
    <row r="13" ht="48" customHeight="1">
      <c r="A13" s="2" t="inlineStr">
        <is>
          <t>PHASE-D</t>
        </is>
      </c>
      <c r="B13" s="2" t="inlineStr">
        <is>
          <t>Palier D — Spécialisation</t>
        </is>
      </c>
      <c r="C13" s="2" t="inlineStr">
        <is>
          <t>Sécuriser une ressource territoriale et développer une base spécialisée ; accès aux véhicules/pièces rares.</t>
        </is>
      </c>
      <c r="D13" s="2" t="inlineStr">
        <is>
          <t>Repère de conception</t>
        </is>
      </c>
      <c r="E13" s="2" t="inlineStr">
        <is>
          <t>Définir les conditions de contrôle territorial.</t>
        </is>
      </c>
    </row>
    <row r="14" ht="48" customHeight="1">
      <c r="A14" s="2" t="inlineStr">
        <is>
          <t>PHASE-E</t>
        </is>
      </c>
      <c r="B14" s="2" t="inlineStr">
        <is>
          <t>Palier E — Projection</t>
        </is>
      </c>
      <c r="C14" s="2" t="inlineStr">
        <is>
          <t>Préparer des convois plus importants et des véhicules personnalisés pour des zones hostiles.</t>
        </is>
      </c>
      <c r="D14" s="2" t="inlineStr">
        <is>
          <t>Repère de conception</t>
        </is>
      </c>
      <c r="E14" s="2" t="inlineStr">
        <is>
          <t>Définir les objectifs de campagne avancés.</t>
        </is>
      </c>
    </row>
    <row r="15" ht="48" customHeight="1">
      <c r="A15" s="2" t="inlineStr">
        <is>
          <t>PLAN-01</t>
        </is>
      </c>
      <c r="B15" s="2" t="inlineStr">
        <is>
          <t>Fonction d’un plan</t>
        </is>
      </c>
      <c r="C15" s="2" t="inlineStr">
        <is>
          <t>Un plan débloque une famille de fabrication, une amélioration ou une connaissance ; il ne fournit pas les ressources, les pièces, la main-d’œuvre ou l’atelier.</t>
        </is>
      </c>
      <c r="D15" s="2" t="inlineStr">
        <is>
          <t>Validé</t>
        </is>
      </c>
      <c r="E15" s="2" t="inlineStr">
        <is>
          <t>Associer chaque plan à un prérequis et à plusieurs sources possibles.</t>
        </is>
      </c>
    </row>
    <row r="16" ht="48" customHeight="1">
      <c r="A16" s="2" t="inlineStr">
        <is>
          <t>FAIL-01</t>
        </is>
      </c>
      <c r="B16" s="2" t="inlineStr">
        <is>
          <t>Repli</t>
        </is>
      </c>
      <c r="C16" s="2" t="inlineStr">
        <is>
          <t>Le repli peut préserver des survivants ou une partie du matériel, au prix d’un objectif manqué, d’une cargaison abandonnée ou d’un véhicule perdu.</t>
        </is>
      </c>
      <c r="D16" s="2" t="inlineStr">
        <is>
          <t>Principe validé</t>
        </is>
      </c>
      <c r="E16" s="2" t="inlineStr">
        <is>
          <t>Définir les conditions qui autorisent le repli et son coût.</t>
        </is>
      </c>
    </row>
    <row r="17" ht="48" customHeight="1">
      <c r="A17" s="2" t="inlineStr">
        <is>
          <t>FAIL-02</t>
        </is>
      </c>
      <c r="B17" s="2" t="inlineStr">
        <is>
          <t>Échec de campagne</t>
        </is>
      </c>
      <c r="C17" s="2" t="inlineStr">
        <is>
          <t>La campagne ne doit pas devenir irrécupérable sans conditions de défaite explicites et compréhensibles.</t>
        </is>
      </c>
      <c r="D17" s="2" t="inlineStr">
        <is>
          <t>À définir</t>
        </is>
      </c>
      <c r="E17" s="2" t="inlineStr">
        <is>
          <t>Définir la défaite éventuelle et les mécanismes de récupération.</t>
        </is>
      </c>
    </row>
    <row r="18" ht="48" customHeight="1">
      <c r="A18" s="2" t="inlineStr">
        <is>
          <t>TIME-01</t>
        </is>
      </c>
      <c r="B18" s="2" t="inlineStr">
        <is>
          <t>Progression hors ligne</t>
        </is>
      </c>
      <c r="C18" s="2" t="inlineStr">
        <is>
          <t>La base et les expéditions progressent hors ligne, avec limites, marges de sécurité et pertes plafonnées à définir.</t>
        </is>
      </c>
      <c r="D18" s="2" t="inlineStr">
        <is>
          <t>À définir</t>
        </is>
      </c>
      <c r="E18" s="2" t="inlineStr">
        <is>
          <t>Définir le plafond hors ligne, les alertes et les règles de résolution.</t>
        </is>
      </c>
    </row>
  </sheetData>
  <autoFilter ref="A1:E1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
  <sheetViews>
    <sheetView showGridLines="0" workbookViewId="0">
      <pane ySplit="1" topLeftCell="A2" activePane="bottomLeft" state="frozen"/>
      <selection pane="bottomLeft" activeCell="A1" sqref="A1"/>
    </sheetView>
  </sheetViews>
  <sheetFormatPr baseColWidth="8" defaultRowHeight="15"/>
  <cols>
    <col width="16" customWidth="1" min="1" max="1"/>
    <col width="24" customWidth="1" min="2" max="2"/>
    <col width="54" customWidth="1" min="3" max="3"/>
    <col width="36" customWidth="1" min="4" max="4"/>
    <col width="45" customWidth="1" min="5" max="5"/>
    <col width="52" customWidth="1" min="6" max="6"/>
    <col width="24" customWidth="1" min="7" max="7"/>
    <col width="24" customWidth="1" min="8" max="8"/>
  </cols>
  <sheetData>
    <row r="1">
      <c r="A1" s="24" t="inlineStr">
        <is>
          <t>ID plan</t>
        </is>
      </c>
      <c r="B1" s="24" t="inlineStr">
        <is>
          <t>Famille</t>
        </is>
      </c>
      <c r="C1" s="24" t="inlineStr">
        <is>
          <t>Déblocage accordé</t>
        </is>
      </c>
      <c r="D1" s="24" t="inlineStr">
        <is>
          <t>Prérequis d’atelier</t>
        </is>
      </c>
      <c r="E1" s="24" t="inlineStr">
        <is>
          <t>Ressources/pièces nécessaires</t>
        </is>
      </c>
      <c r="F1" s="24" t="inlineStr">
        <is>
          <t>Sources possibles</t>
        </is>
      </c>
      <c r="G1" s="24" t="inlineStr">
        <is>
          <t>Doublon</t>
        </is>
      </c>
      <c r="H1" s="24" t="inlineStr">
        <is>
          <t>Statut</t>
        </is>
      </c>
    </row>
    <row r="2" ht="60" customHeight="1">
      <c r="A2" s="2" t="inlineStr">
        <is>
          <t>PLAN-VEH-001</t>
        </is>
      </c>
      <c r="B2" s="2" t="inlineStr">
        <is>
          <t>Véhicules légers</t>
        </is>
      </c>
      <c r="C2" s="2" t="inlineStr">
        <is>
          <t>Accès aux opérations de remise en état et construction sur gabarit léger</t>
        </is>
      </c>
      <c r="D2" s="2" t="inlineStr">
        <is>
          <t>Garage/atelier de base</t>
        </is>
      </c>
      <c r="E2" s="2" t="inlineStr">
        <is>
          <t>Selon le véhicule et les composants</t>
        </is>
      </c>
      <c r="F2" s="2" t="inlineStr">
        <is>
          <t>Épave documentée ; atelier abandonné ; troc</t>
        </is>
      </c>
      <c r="G2" s="2" t="inlineStr">
        <is>
          <t>À définir</t>
        </is>
      </c>
      <c r="H2" s="2" t="inlineStr">
        <is>
          <t>Catégorie à concevoir</t>
        </is>
      </c>
    </row>
    <row r="3" ht="60" customHeight="1">
      <c r="A3" s="2" t="inlineStr">
        <is>
          <t>PLAN-LOG-001</t>
        </is>
      </c>
      <c r="B3" s="2" t="inlineStr">
        <is>
          <t>Logistique</t>
        </is>
      </c>
      <c r="C3" s="2" t="inlineStr">
        <is>
          <t>Accès à une amélioration de capacité de chargement ou d’arrimage</t>
        </is>
      </c>
      <c r="D3" s="2" t="inlineStr">
        <is>
          <t>Atelier mécanique</t>
        </is>
      </c>
      <c r="E3" s="2" t="inlineStr">
        <is>
          <t>Métal, pièces mécaniques et fixations</t>
        </is>
      </c>
      <c r="F3" s="2" t="inlineStr">
        <is>
          <t>Dépôt logistique ; faction commerçante</t>
        </is>
      </c>
      <c r="G3" s="2" t="inlineStr">
        <is>
          <t>À définir</t>
        </is>
      </c>
      <c r="H3" s="2" t="inlineStr">
        <is>
          <t>Catégorie à concevoir</t>
        </is>
      </c>
    </row>
    <row r="4" ht="60" customHeight="1">
      <c r="A4" s="2" t="inlineStr">
        <is>
          <t>PLAN-WAT-001</t>
        </is>
      </c>
      <c r="B4" s="2" t="inlineStr">
        <is>
          <t>Eau</t>
        </is>
      </c>
      <c r="C4" s="2" t="inlineStr">
        <is>
          <t>Accès à une amélioration de pompage ou de filtration</t>
        </is>
      </c>
      <c r="D4" s="2" t="inlineStr">
        <is>
          <t>Atelier mécanique ou plomberie de base</t>
        </is>
      </c>
      <c r="E4" s="2" t="inlineStr">
        <is>
          <t>Pièces de pompe, matériaux, éventuellement composants électriques</t>
        </is>
      </c>
      <c r="F4" s="2" t="inlineStr">
        <is>
          <t>Installation technique ; communauté spécialisée</t>
        </is>
      </c>
      <c r="G4" s="2" t="inlineStr">
        <is>
          <t>À définir</t>
        </is>
      </c>
      <c r="H4" s="2" t="inlineStr">
        <is>
          <t>Catégorie à concevoir</t>
        </is>
      </c>
    </row>
    <row r="5" ht="60" customHeight="1">
      <c r="A5" s="2" t="inlineStr">
        <is>
          <t>PLAN-ENE-001</t>
        </is>
      </c>
      <c r="B5" s="2" t="inlineStr">
        <is>
          <t>Énergie</t>
        </is>
      </c>
      <c r="C5" s="2" t="inlineStr">
        <is>
          <t>Accès à une amélioration de production ou de distribution électrique</t>
        </is>
      </c>
      <c r="D5" s="2" t="inlineStr">
        <is>
          <t>Atelier électrique</t>
        </is>
      </c>
      <c r="E5" s="2" t="inlineStr">
        <is>
          <t>Générateur ou pièces compatibles, câblage, composants</t>
        </is>
      </c>
      <c r="F5" s="2" t="inlineStr">
        <is>
          <t>Site industriel ; archives techniques ; troc</t>
        </is>
      </c>
      <c r="G5" s="2" t="inlineStr">
        <is>
          <t>À définir</t>
        </is>
      </c>
      <c r="H5" s="2" t="inlineStr">
        <is>
          <t>Catégorie à concevoir</t>
        </is>
      </c>
    </row>
    <row r="6" ht="60" customHeight="1">
      <c r="A6" s="2" t="inlineStr">
        <is>
          <t>PLAN-DEF-001</t>
        </is>
      </c>
      <c r="B6" s="2" t="inlineStr">
        <is>
          <t>Défense</t>
        </is>
      </c>
      <c r="C6" s="2" t="inlineStr">
        <is>
          <t>Accès à une amélioration de fortification ou de poste d’arme</t>
        </is>
      </c>
      <c r="D6" s="2" t="inlineStr">
        <is>
          <t>Atelier mécanique et/ou militaire</t>
        </is>
      </c>
      <c r="E6" s="2" t="inlineStr">
        <is>
          <t>Métal, outillage, composants et munitions selon l’amélioration</t>
        </is>
      </c>
      <c r="F6" s="2" t="inlineStr">
        <is>
          <t>Poste défensif ; faction armée ; dépôt militaire</t>
        </is>
      </c>
      <c r="G6" s="2" t="inlineStr">
        <is>
          <t>À définir</t>
        </is>
      </c>
      <c r="H6" s="2" t="inlineStr">
        <is>
          <t>Catégorie à concevoir</t>
        </is>
      </c>
    </row>
  </sheetData>
  <autoFilter ref="A1:H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0"/>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34" customWidth="1" min="3" max="3"/>
    <col width="48" customWidth="1" min="4" max="4"/>
    <col width="48" customWidth="1" min="5" max="5"/>
    <col width="25" customWidth="1" min="6" max="6"/>
    <col width="48" customWidth="1" min="7" max="7"/>
    <col width="48" customWidth="1" min="8" max="8"/>
    <col width="48" customWidth="1" min="9" max="9"/>
    <col width="24" customWidth="1" min="10" max="10"/>
    <col width="48" customWidth="1" min="11" max="11"/>
  </cols>
  <sheetData>
    <row r="1">
      <c r="A1" s="9" t="inlineStr">
        <is>
          <t>ID pièce</t>
        </is>
      </c>
      <c r="B1" s="9" t="inlineStr">
        <is>
          <t>Famille</t>
        </is>
      </c>
      <c r="C1" s="9" t="inlineStr">
        <is>
          <t>Pièce / module</t>
        </is>
      </c>
      <c r="D1" s="9" t="inlineStr">
        <is>
          <t>Dimensions indicatives</t>
        </is>
      </c>
      <c r="E1" s="9" t="inlineStr">
        <is>
          <t>Emprise logique / placement</t>
        </is>
      </c>
      <c r="F1" s="9" t="inlineStr">
        <is>
          <t>Poids gameplay (classe)</t>
        </is>
      </c>
      <c r="G1" s="9" t="inlineStr">
        <is>
          <t>Effet / fonction</t>
        </is>
      </c>
      <c r="H1" s="9" t="inlineStr">
        <is>
          <t>Compatibilité simplifiée</t>
        </is>
      </c>
      <c r="I1" s="9" t="inlineStr">
        <is>
          <t>Règle de chevauchement</t>
        </is>
      </c>
      <c r="J1" s="9" t="inlineStr">
        <is>
          <t>Récupérable séparément</t>
        </is>
      </c>
      <c r="K1" s="9" t="inlineStr">
        <is>
          <t>Statut / note</t>
        </is>
      </c>
    </row>
    <row r="2" ht="55" customHeight="1">
      <c r="A2" s="8" t="inlineStr">
        <is>
          <t>W-MOTO</t>
        </is>
      </c>
      <c r="B2" s="8" t="inlineStr">
        <is>
          <t>Roues</t>
        </is>
      </c>
      <c r="C2" s="8" t="inlineStr">
        <is>
          <t>Roue moto</t>
        </is>
      </c>
      <c r="D2" s="8" t="inlineStr">
        <is>
          <t>Ø 0,65–0,70 m; largeur 0,10–0,16 m</t>
        </is>
      </c>
      <c r="E2" s="8" t="inlineStr">
        <is>
          <t>Point d'ancrage d'essieu; diamètre 3 cellules</t>
        </is>
      </c>
      <c r="F2" s="8" t="inlineStr">
        <is>
          <t>Très faible</t>
        </is>
      </c>
      <c r="G2" s="8" t="inlineStr">
        <is>
          <t>Mobilité légère; peu de charge admissible</t>
        </is>
      </c>
      <c r="H2" s="8" t="inlineStr">
        <is>
          <t>Compatible si axe/support et espace de passage adaptés</t>
        </is>
      </c>
      <c r="I2" s="8" t="inlineStr">
        <is>
          <t>Ne chevauche pas une autre roue ni une chenille</t>
        </is>
      </c>
      <c r="J2" s="8" t="inlineStr">
        <is>
          <t>Oui</t>
        </is>
      </c>
      <c r="K2" s="8" t="inlineStr">
        <is>
          <t>Dimension de prototype</t>
        </is>
      </c>
    </row>
    <row r="3" ht="55" customHeight="1">
      <c r="A3" s="8" t="inlineStr">
        <is>
          <t>W-LIGHT</t>
        </is>
      </c>
      <c r="B3" s="8" t="inlineStr">
        <is>
          <t>Roues</t>
        </is>
      </c>
      <c r="C3" s="8" t="inlineStr">
        <is>
          <t>Roue 4x4 léger</t>
        </is>
      </c>
      <c r="D3" s="8" t="inlineStr">
        <is>
          <t>Ø 0,70–0,80 m; largeur 0,16–0,22 m</t>
        </is>
      </c>
      <c r="E3" s="8" t="inlineStr">
        <is>
          <t>Point d'ancrage; diamètre 3–4 cellules</t>
        </is>
      </c>
      <c r="F3" s="8" t="inlineStr">
        <is>
          <t>Faible</t>
        </is>
      </c>
      <c r="G3" s="8" t="inlineStr">
        <is>
          <t>Mobilité polyvalente</t>
        </is>
      </c>
      <c r="H3" s="8" t="inlineStr">
        <is>
          <t>Compatibilité large si support et passage de roue disponibles</t>
        </is>
      </c>
      <c r="I3" s="8" t="inlineStr">
        <is>
          <t>Pas de chevauchement roue/roue ou roue/chenille</t>
        </is>
      </c>
      <c r="J3" s="8" t="inlineStr">
        <is>
          <t>Oui</t>
        </is>
      </c>
      <c r="K3" s="8" t="inlineStr">
        <is>
          <t>Dimension de prototype</t>
        </is>
      </c>
    </row>
    <row r="4" ht="55" customHeight="1">
      <c r="A4" s="8" t="inlineStr">
        <is>
          <t>W-TRUCK</t>
        </is>
      </c>
      <c r="B4" s="8" t="inlineStr">
        <is>
          <t>Roues</t>
        </is>
      </c>
      <c r="C4" s="8" t="inlineStr">
        <is>
          <t>Roue camion</t>
        </is>
      </c>
      <c r="D4" s="8" t="inlineStr">
        <is>
          <t>Ø 1,00–1,10 m; largeur 0,22–0,30 m</t>
        </is>
      </c>
      <c r="E4" s="8" t="inlineStr">
        <is>
          <t>Point d'ancrage; diamètre 5 cellules</t>
        </is>
      </c>
      <c r="F4" s="8" t="inlineStr">
        <is>
          <t>Moyen</t>
        </is>
      </c>
      <c r="G4" s="8" t="inlineStr">
        <is>
          <t>Supporte davantage de masse et de charge</t>
        </is>
      </c>
      <c r="H4" s="8" t="inlineStr">
        <is>
          <t>Compatible si suspension/essieu adaptés; peut être montée sur custom</t>
        </is>
      </c>
      <c r="I4" s="8" t="inlineStr">
        <is>
          <t>Pas de chevauchement roue/roue ou roue/chenille</t>
        </is>
      </c>
      <c r="J4" s="8" t="inlineStr">
        <is>
          <t>Oui</t>
        </is>
      </c>
      <c r="K4" s="8" t="inlineStr">
        <is>
          <t>Dimension de prototype</t>
        </is>
      </c>
    </row>
    <row r="5" ht="55" customHeight="1">
      <c r="A5" s="8" t="inlineStr">
        <is>
          <t>W-HEAVY</t>
        </is>
      </c>
      <c r="B5" s="8" t="inlineStr">
        <is>
          <t>Roues</t>
        </is>
      </c>
      <c r="C5" s="8" t="inlineStr">
        <is>
          <t>Roue lourde / tout-terrain</t>
        </is>
      </c>
      <c r="D5" s="8" t="inlineStr">
        <is>
          <t>Ø 1,10–1,40 m; largeur 0,30–0,45 m</t>
        </is>
      </c>
      <c r="E5" s="8" t="inlineStr">
        <is>
          <t>Point d'ancrage; diamètre 5–6 cellules</t>
        </is>
      </c>
      <c r="F5" s="8" t="inlineStr">
        <is>
          <t>Élevé</t>
        </is>
      </c>
      <c r="G5" s="8" t="inlineStr">
        <is>
          <t>Franchissement et charge élevés, résistance au roulement supérieure</t>
        </is>
      </c>
      <c r="H5" s="8" t="inlineStr">
        <is>
          <t>Compatibilité large si châssis et transmission adaptés</t>
        </is>
      </c>
      <c r="I5" s="8" t="inlineStr">
        <is>
          <t>Pas de chevauchement roue/roue ou roue/chenille</t>
        </is>
      </c>
      <c r="J5" s="8" t="inlineStr">
        <is>
          <t>Oui</t>
        </is>
      </c>
      <c r="K5" s="8" t="inlineStr">
        <is>
          <t>Gamme simplifiée</t>
        </is>
      </c>
    </row>
    <row r="6" ht="55" customHeight="1">
      <c r="A6" s="8" t="inlineStr">
        <is>
          <t>TRK-LIGHT</t>
        </is>
      </c>
      <c r="B6" s="8" t="inlineStr">
        <is>
          <t>Chenilles</t>
        </is>
      </c>
      <c r="C6" s="8" t="inlineStr">
        <is>
          <t>Module de chenille léger</t>
        </is>
      </c>
      <c r="D6" s="8" t="inlineStr">
        <is>
          <t>Profil 4,0–4,7 m × 0,9–1,2 m; patin 0,28–0,32 m</t>
        </is>
      </c>
      <c r="E6" s="8" t="inlineStr">
        <is>
          <t>Enveloppe de profil; points d'ancrage avant/arrière</t>
        </is>
      </c>
      <c r="F6" s="8" t="inlineStr">
        <is>
          <t>Moyen</t>
        </is>
      </c>
      <c r="G6" s="8" t="inlineStr">
        <is>
          <t>Bonne mobilité terrain meuble; masse et entretien élevés</t>
        </is>
      </c>
      <c r="H6" s="8" t="inlineStr">
        <is>
          <t>Châssis chenillé ou conversion custom prévue</t>
        </is>
      </c>
      <c r="I6" s="8" t="inlineStr">
        <is>
          <t>Ne chevauche aucune roue; peut coexister avec roues avant sur un semi-chenillé si les enveloppes ne se croisent pas</t>
        </is>
      </c>
      <c r="J6" s="8" t="inlineStr">
        <is>
          <t>Oui</t>
        </is>
      </c>
      <c r="K6" s="8" t="inlineStr">
        <is>
          <t>M3 Stuart comme référence</t>
        </is>
      </c>
    </row>
    <row r="7" ht="55" customHeight="1">
      <c r="A7" s="8" t="inlineStr">
        <is>
          <t>TRK-HALF</t>
        </is>
      </c>
      <c r="B7" s="8" t="inlineStr">
        <is>
          <t>Chenilles</t>
        </is>
      </c>
      <c r="C7" s="8" t="inlineStr">
        <is>
          <t>Module de chenille semi-chenillé</t>
        </is>
      </c>
      <c r="D7" s="8" t="inlineStr">
        <is>
          <t>Profil 2,4–3,0 m × 0,8–1,0 m; patin ~0,30 m</t>
        </is>
      </c>
      <c r="E7" s="8" t="inlineStr">
        <is>
          <t>Module court avec deux points d'ancrage</t>
        </is>
      </c>
      <c r="F7" s="8" t="inlineStr">
        <is>
          <t>Moyen</t>
        </is>
      </c>
      <c r="G7" s="8" t="inlineStr">
        <is>
          <t>Traction arrière et direction par roues avant selon architecture</t>
        </is>
      </c>
      <c r="H7" s="8" t="inlineStr">
        <is>
          <t>Châssis semi-chenillé</t>
        </is>
      </c>
      <c r="I7" s="8" t="inlineStr">
        <is>
          <t>Ne chevauche pas les roues directrices ni une autre chenille</t>
        </is>
      </c>
      <c r="J7" s="8" t="inlineStr">
        <is>
          <t>Oui</t>
        </is>
      </c>
      <c r="K7" s="8" t="inlineStr">
        <is>
          <t>M3 Half Track comme référence</t>
        </is>
      </c>
    </row>
    <row r="8" ht="55" customHeight="1">
      <c r="A8" s="8" t="inlineStr">
        <is>
          <t>TRK-MED</t>
        </is>
      </c>
      <c r="B8" s="8" t="inlineStr">
        <is>
          <t>Chenilles</t>
        </is>
      </c>
      <c r="C8" s="8" t="inlineStr">
        <is>
          <t>Module de chenille moyen</t>
        </is>
      </c>
      <c r="D8" s="8" t="inlineStr">
        <is>
          <t>Profil 4,8–5,4 m × 1,2–1,5 m; patin 0,38–0,45 m</t>
        </is>
      </c>
      <c r="E8" s="8" t="inlineStr">
        <is>
          <t>Enveloppe de profil; points d'ancrage définis</t>
        </is>
      </c>
      <c r="F8" s="8" t="inlineStr">
        <is>
          <t>Élevé</t>
        </is>
      </c>
      <c r="G8" s="8" t="inlineStr">
        <is>
          <t>Traction et portance pour véhicule moyen</t>
        </is>
      </c>
      <c r="H8" s="8" t="inlineStr">
        <is>
          <t>Châssis chenillé ou custom renforcé</t>
        </is>
      </c>
      <c r="I8" s="8" t="inlineStr">
        <is>
          <t>Ne chevauche aucune roue ni autre chenille</t>
        </is>
      </c>
      <c r="J8" s="8" t="inlineStr">
        <is>
          <t>Oui</t>
        </is>
      </c>
      <c r="K8" s="8" t="inlineStr">
        <is>
          <t>M4 Sherman comme référence</t>
        </is>
      </c>
    </row>
    <row r="9" ht="55" customHeight="1">
      <c r="A9" s="8" t="inlineStr">
        <is>
          <t>TRK-HEAVY</t>
        </is>
      </c>
      <c r="B9" s="8" t="inlineStr">
        <is>
          <t>Chenilles</t>
        </is>
      </c>
      <c r="C9" s="8" t="inlineStr">
        <is>
          <t>Module de chenille lourd</t>
        </is>
      </c>
      <c r="D9" s="8" t="inlineStr">
        <is>
          <t>Profil 5,0–5,8 m × 1,4–1,7 m; patin 0,60–0,75 m</t>
        </is>
      </c>
      <c r="E9" s="8" t="inlineStr">
        <is>
          <t>Enveloppe de profil; points d'ancrage définis</t>
        </is>
      </c>
      <c r="F9" s="8" t="inlineStr">
        <is>
          <t>Très élevé</t>
        </is>
      </c>
      <c r="G9" s="8" t="inlineStr">
        <is>
          <t>Portance et traction, mais masse/consommation/entretien élevés</t>
        </is>
      </c>
      <c r="H9" s="8" t="inlineStr">
        <is>
          <t>Châssis lourd et transmission adaptée</t>
        </is>
      </c>
      <c r="I9" s="8" t="inlineStr">
        <is>
          <t>Ne chevauche aucune roue ni autre chenille</t>
        </is>
      </c>
      <c r="J9" s="8" t="inlineStr">
        <is>
          <t>Oui</t>
        </is>
      </c>
      <c r="K9" s="8" t="inlineStr">
        <is>
          <t>Tiger I comme référence</t>
        </is>
      </c>
    </row>
    <row r="10" ht="55" customHeight="1">
      <c r="A10" s="8" t="inlineStr">
        <is>
          <t>ENG-SMALL</t>
        </is>
      </c>
      <c r="B10" s="8" t="inlineStr">
        <is>
          <t>Moteurs</t>
        </is>
      </c>
      <c r="C10" s="8" t="inlineStr">
        <is>
          <t>Petit moteur</t>
        </is>
      </c>
      <c r="D10" s="8" t="inlineStr">
        <is>
          <t>Petit bloc; dimensions abstraites par volume</t>
        </is>
      </c>
      <c r="E10" s="8" t="inlineStr">
        <is>
          <t>Ancrage moteur sur zone de châssis; 2–4 cellules de long</t>
        </is>
      </c>
      <c r="F10" s="8" t="inlineStr">
        <is>
          <t>Faible</t>
        </is>
      </c>
      <c r="G10" s="8" t="inlineStr">
        <is>
          <t>Puissance et consommation faibles</t>
        </is>
      </c>
      <c r="H10" s="8" t="inlineStr">
        <is>
          <t>Toute structure disposant d'un support et d'une transmission compatible</t>
        </is>
      </c>
      <c r="I10" s="8" t="inlineStr">
        <is>
          <t>Peut être dessiné derrière roues/châssis; collision visuelle autorisée dans couche mécanique</t>
        </is>
      </c>
      <c r="J10" s="8" t="inlineStr">
        <is>
          <t>Oui</t>
        </is>
      </c>
      <c r="K10" s="8" t="inlineStr">
        <is>
          <t>Famille de gameplay, pas modèle historique précis</t>
        </is>
      </c>
    </row>
    <row r="11" ht="55" customHeight="1">
      <c r="A11" s="8" t="inlineStr">
        <is>
          <t>ENG-MED</t>
        </is>
      </c>
      <c r="B11" s="8" t="inlineStr">
        <is>
          <t>Moteurs</t>
        </is>
      </c>
      <c r="C11" s="8" t="inlineStr">
        <is>
          <t>Moteur moyen</t>
        </is>
      </c>
      <c r="D11" s="8" t="inlineStr">
        <is>
          <t>Bloc moyen; 4–6 cellules de long</t>
        </is>
      </c>
      <c r="E11" s="8" t="inlineStr">
        <is>
          <t>Zone moteur; volume et points d'ancrage</t>
        </is>
      </c>
      <c r="F11" s="8" t="inlineStr">
        <is>
          <t>Moyen</t>
        </is>
      </c>
      <c r="G11" s="8" t="inlineStr">
        <is>
          <t>Équilibre puissance/consommation</t>
        </is>
      </c>
      <c r="H11" s="8" t="inlineStr">
        <is>
          <t>Compatibilité large; puissance transmise par boîte ou module de transmission</t>
        </is>
      </c>
      <c r="I11" s="8" t="inlineStr">
        <is>
          <t>Chevauchement autorisé avec les pièces de la couche structurelle si positionné dans le châssis</t>
        </is>
      </c>
      <c r="J11" s="8" t="inlineStr">
        <is>
          <t>Oui</t>
        </is>
      </c>
      <c r="K11" s="8" t="inlineStr">
        <is>
          <t>Famille de gameplay</t>
        </is>
      </c>
    </row>
    <row r="12" ht="55" customHeight="1">
      <c r="A12" s="8" t="inlineStr">
        <is>
          <t>ENG-LARGE</t>
        </is>
      </c>
      <c r="B12" s="8" t="inlineStr">
        <is>
          <t>Moteurs</t>
        </is>
      </c>
      <c r="C12" s="8" t="inlineStr">
        <is>
          <t>Gros moteur</t>
        </is>
      </c>
      <c r="D12" s="8" t="inlineStr">
        <is>
          <t>Bloc long/large; 6–8 cellules de long</t>
        </is>
      </c>
      <c r="E12" s="8" t="inlineStr">
        <is>
          <t>Zone moteur renforcée; points d'ancrage et refroidissement</t>
        </is>
      </c>
      <c r="F12" s="8" t="inlineStr">
        <is>
          <t>Élevé</t>
        </is>
      </c>
      <c r="G12" s="8" t="inlineStr">
        <is>
          <t>Puissance élevée; consommation, masse et chaleur élevées</t>
        </is>
      </c>
      <c r="H12" s="8" t="inlineStr">
        <is>
          <t>Châssis renforcé, transmission adaptée et réservoir suffisant</t>
        </is>
      </c>
      <c r="I12" s="8" t="inlineStr">
        <is>
          <t>Chevauchement de rendu avec roues autorisé si moteur placé dans le volume du châssis</t>
        </is>
      </c>
      <c r="J12" s="8" t="inlineStr">
        <is>
          <t>Oui</t>
        </is>
      </c>
      <c r="K12" s="8" t="inlineStr">
        <is>
          <t>Famille de gameplay</t>
        </is>
      </c>
    </row>
    <row r="13" ht="55" customHeight="1">
      <c r="A13" s="8" t="inlineStr">
        <is>
          <t>ENG-MULTI</t>
        </is>
      </c>
      <c r="B13" s="8" t="inlineStr">
        <is>
          <t>Moteurs</t>
        </is>
      </c>
      <c r="C13" s="8" t="inlineStr">
        <is>
          <t>Groupe multi-moteurs</t>
        </is>
      </c>
      <c r="D13" s="8" t="inlineStr">
        <is>
          <t>2+ moteurs ou plusieurs groupes</t>
        </is>
      </c>
      <c r="E13" s="8" t="inlineStr">
        <is>
          <t>Plusieurs ancrages; transmission couplée obligatoire</t>
        </is>
      </c>
      <c r="F13" s="8" t="inlineStr">
        <is>
          <t>Très élevé</t>
        </is>
      </c>
      <c r="G13" s="8" t="inlineStr">
        <is>
          <t>Puissance élevée, consommation et pannes potentielles accrues</t>
        </is>
      </c>
      <c r="H13" s="8" t="inlineStr">
        <is>
          <t>Construction avancée; règles de couplage simplifiées</t>
        </is>
      </c>
      <c r="I13" s="8" t="inlineStr">
        <is>
          <t>Moteurs peuvent partager le volume visuel du châssis; les points d'ancrage ne doivent pas se superposer</t>
        </is>
      </c>
      <c r="J13" s="8" t="inlineStr">
        <is>
          <t>Oui</t>
        </is>
      </c>
      <c r="K13" s="8" t="inlineStr">
        <is>
          <t>Option Mad Max, à limiter par place et transmission</t>
        </is>
      </c>
    </row>
    <row r="14" ht="55" customHeight="1">
      <c r="A14" s="8" t="inlineStr">
        <is>
          <t>FUEL-S</t>
        </is>
      </c>
      <c r="B14" s="8" t="inlineStr">
        <is>
          <t>Carburant</t>
        </is>
      </c>
      <c r="C14" s="8" t="inlineStr">
        <is>
          <t>Réservoir carré/rectangulaire S</t>
        </is>
      </c>
      <c r="D14" s="8" t="inlineStr">
        <is>
          <t>0,5–1,0 m³ environ</t>
        </is>
      </c>
      <c r="E14" s="8" t="inlineStr">
        <is>
          <t>Module 2×2 à 3×3 cellules selon contenance</t>
        </is>
      </c>
      <c r="F14" s="8" t="inlineStr">
        <is>
          <t>Faible</t>
        </is>
      </c>
      <c r="G14" s="8" t="inlineStr">
        <is>
          <t>Petite autonomie; convient moto/petit véhicule</t>
        </is>
      </c>
      <c r="H14" s="8" t="inlineStr">
        <is>
          <t>Fixation sur châssis; carburant compatible avec moteur</t>
        </is>
      </c>
      <c r="I14" s="8" t="inlineStr">
        <is>
          <t>Peut se placer dans le volume du châssis; ne chevauche pas d'autres réservoirs ni les volumes interdits</t>
        </is>
      </c>
      <c r="J14" s="8" t="inlineStr">
        <is>
          <t>Oui</t>
        </is>
      </c>
      <c r="K14" s="8" t="inlineStr">
        <is>
          <t>Contenance exacte à équilibrer</t>
        </is>
      </c>
    </row>
    <row r="15" ht="55" customHeight="1">
      <c r="A15" s="8" t="inlineStr">
        <is>
          <t>FUEL-M</t>
        </is>
      </c>
      <c r="B15" s="8" t="inlineStr">
        <is>
          <t>Carburant</t>
        </is>
      </c>
      <c r="C15" s="8" t="inlineStr">
        <is>
          <t>Réservoir carré/rectangulaire M</t>
        </is>
      </c>
      <c r="D15" s="8" t="inlineStr">
        <is>
          <t>1,0–2,5 m³ environ</t>
        </is>
      </c>
      <c r="E15" s="8" t="inlineStr">
        <is>
          <t>Module 3×3 à 4×4 cellules</t>
        </is>
      </c>
      <c r="F15" s="8" t="inlineStr">
        <is>
          <t>Moyen</t>
        </is>
      </c>
      <c r="G15" s="8" t="inlineStr">
        <is>
          <t>Autonomie intermédiaire</t>
        </is>
      </c>
      <c r="H15" s="8" t="inlineStr">
        <is>
          <t>Fixation sur châssis; carburant compatible</t>
        </is>
      </c>
      <c r="I15" s="8" t="inlineStr">
        <is>
          <t>Même règle; peut partager une zone structurelle abstraite si le placement le permet</t>
        </is>
      </c>
      <c r="J15" s="8" t="inlineStr">
        <is>
          <t>Oui</t>
        </is>
      </c>
      <c r="K15" s="8" t="inlineStr">
        <is>
          <t>Contenance exacte à équilibrer</t>
        </is>
      </c>
    </row>
    <row r="16" ht="55" customHeight="1">
      <c r="A16" s="8" t="inlineStr">
        <is>
          <t>FUEL-L</t>
        </is>
      </c>
      <c r="B16" s="8" t="inlineStr">
        <is>
          <t>Carburant</t>
        </is>
      </c>
      <c r="C16" s="8" t="inlineStr">
        <is>
          <t>Réservoir carré/rectangulaire L</t>
        </is>
      </c>
      <c r="D16" s="8" t="inlineStr">
        <is>
          <t>2,5–5,0 m³ environ</t>
        </is>
      </c>
      <c r="E16" s="8" t="inlineStr">
        <is>
          <t>Module 4×4 à 5×5 cellules</t>
        </is>
      </c>
      <c r="F16" s="8" t="inlineStr">
        <is>
          <t>Élevé</t>
        </is>
      </c>
      <c r="G16" s="8" t="inlineStr">
        <is>
          <t>Autonomie importante, mais masse et volume élevés</t>
        </is>
      </c>
      <c r="H16" s="8" t="inlineStr">
        <is>
          <t>Châssis camion ou véhicule lourd; supports nécessaires</t>
        </is>
      </c>
      <c r="I16" s="8" t="inlineStr">
        <is>
          <t>Ne chevauche pas un autre réservoir; peut être superposé à une zone de châssis seulement dans la couche mécanique abstraite</t>
        </is>
      </c>
      <c r="J16" s="8" t="inlineStr">
        <is>
          <t>Oui</t>
        </is>
      </c>
      <c r="K16" s="8" t="inlineStr">
        <is>
          <t>Contenance exacte à équilibrer</t>
        </is>
      </c>
    </row>
    <row r="17" ht="55" customHeight="1">
      <c r="A17" s="8" t="inlineStr">
        <is>
          <t>FUEL-X</t>
        </is>
      </c>
      <c r="B17" s="8" t="inlineStr">
        <is>
          <t>Carburant</t>
        </is>
      </c>
      <c r="C17" s="8" t="inlineStr">
        <is>
          <t>Réservoir extra-large</t>
        </is>
      </c>
      <c r="D17" s="8" t="inlineStr">
        <is>
          <t>5–10 m³ environ</t>
        </is>
      </c>
      <c r="E17" s="8" t="inlineStr">
        <is>
          <t>Module 5×5 à 6×6 cellules ou réparti en plusieurs blocs</t>
        </is>
      </c>
      <c r="F17" s="8" t="inlineStr">
        <is>
          <t>Très élevé</t>
        </is>
      </c>
      <c r="G17" s="8" t="inlineStr">
        <is>
          <t>Grande autonomie; forte pénalité de masse quand rempli</t>
        </is>
      </c>
      <c r="H17" s="8" t="inlineStr">
        <is>
          <t>Camion ou véhicule lourd renforcé</t>
        </is>
      </c>
      <c r="I17" s="8" t="inlineStr">
        <is>
          <t>Ne chevauche pas d'autres réservoirs; volumes de châssis traités par couches</t>
        </is>
      </c>
      <c r="J17" s="8" t="inlineStr">
        <is>
          <t>Oui</t>
        </is>
      </c>
      <c r="K17" s="8" t="inlineStr">
        <is>
          <t>Pour citernes / convois</t>
        </is>
      </c>
    </row>
    <row r="18" ht="55" customHeight="1">
      <c r="A18" s="8" t="inlineStr">
        <is>
          <t>CAB-OPEN</t>
        </is>
      </c>
      <c r="B18" s="8" t="inlineStr">
        <is>
          <t>Carrosserie</t>
        </is>
      </c>
      <c r="C18" s="8" t="inlineStr">
        <is>
          <t>Caisse/cockpit ouvert</t>
        </is>
      </c>
      <c r="D18" s="8" t="inlineStr">
        <is>
          <t>Selon donneur (Jeep/moto/voiture)</t>
        </is>
      </c>
      <c r="E18" s="8" t="inlineStr">
        <is>
          <t>Module de carrosserie en couche supérieure</t>
        </is>
      </c>
      <c r="F18" s="8" t="inlineStr">
        <is>
          <t>Faible à moyen</t>
        </is>
      </c>
      <c r="G18" s="8" t="inlineStr">
        <is>
          <t>Protection faible; cockpit et points de fixation visibles</t>
        </is>
      </c>
      <c r="H18" s="8" t="inlineStr">
        <is>
          <t>Adaptable à de nombreux châssis si dimensions et supports conviennent</t>
        </is>
      </c>
      <c r="I18" s="8" t="inlineStr">
        <is>
          <t>Chevauchement avec couche mécanique autorisé; pas avec une autre cabine/caisse principale</t>
        </is>
      </c>
      <c r="J18" s="8" t="inlineStr">
        <is>
          <t>Oui</t>
        </is>
      </c>
      <c r="K18" s="8" t="inlineStr">
        <is>
          <t>Cabine de Jeep = caisse/cockpit, pas cabine fermée</t>
        </is>
      </c>
    </row>
    <row r="19" ht="55" customHeight="1">
      <c r="A19" s="8" t="inlineStr">
        <is>
          <t>CAB-TRUCK</t>
        </is>
      </c>
      <c r="B19" s="8" t="inlineStr">
        <is>
          <t>Carrosserie</t>
        </is>
      </c>
      <c r="C19" s="8" t="inlineStr">
        <is>
          <t>Cabine de camion</t>
        </is>
      </c>
      <c r="D19" s="8" t="inlineStr">
        <is>
          <t>~1,8–2,2 m long; 2,0–2,4 m large; hauteur 2,0–2,5 m</t>
        </is>
      </c>
      <c r="E19" s="8" t="inlineStr">
        <is>
          <t>Couche carrosserie; emprise selon grille</t>
        </is>
      </c>
      <c r="F19" s="8" t="inlineStr">
        <is>
          <t>Moyen</t>
        </is>
      </c>
      <c r="G19" s="8" t="inlineStr">
        <is>
          <t>Protection/ergonomie; masse moyenne</t>
        </is>
      </c>
      <c r="H19" s="8" t="inlineStr">
        <is>
          <t>Châssis moyen/lourd; adaptation de supports permise</t>
        </is>
      </c>
      <c r="I19" s="8" t="inlineStr">
        <is>
          <t>Chevauchement mécanique autorisé; pas de double cabine au même emplacement</t>
        </is>
      </c>
      <c r="J19" s="8" t="inlineStr">
        <is>
          <t>Oui</t>
        </is>
      </c>
      <c r="K19" s="8" t="inlineStr">
        <is>
          <t>Dimensions de prototype</t>
        </is>
      </c>
    </row>
    <row r="20" ht="55" customHeight="1">
      <c r="A20" s="8" t="inlineStr">
        <is>
          <t>BODY-BOX</t>
        </is>
      </c>
      <c r="B20" s="8" t="inlineStr">
        <is>
          <t>Carrosserie</t>
        </is>
      </c>
      <c r="C20" s="8" t="inlineStr">
        <is>
          <t>Caisse de transport / benne</t>
        </is>
      </c>
      <c r="D20" s="8" t="inlineStr">
        <is>
          <t>Variable; segment modulaire</t>
        </is>
      </c>
      <c r="E20" s="8" t="inlineStr">
        <is>
          <t>Couche carrosserie/cargaison; longueur selon châssis</t>
        </is>
      </c>
      <c r="F20" s="8" t="inlineStr">
        <is>
          <t>Moyen à élevé</t>
        </is>
      </c>
      <c r="G20" s="8" t="inlineStr">
        <is>
          <t>Augmente le volume de transport</t>
        </is>
      </c>
      <c r="H20" s="8" t="inlineStr">
        <is>
          <t>Camion ou châssis utilitaire</t>
        </is>
      </c>
      <c r="I20" s="8" t="inlineStr">
        <is>
          <t>Peut se superposer au châssis, pas aux volumes réservés à la cabine ou à la tourelle</t>
        </is>
      </c>
      <c r="J20" s="8" t="inlineStr">
        <is>
          <t>Oui</t>
        </is>
      </c>
      <c r="K20" s="8" t="inlineStr">
        <is>
          <t>Contenu visible</t>
        </is>
      </c>
    </row>
    <row r="21" ht="55" customHeight="1">
      <c r="A21" s="8" t="inlineStr">
        <is>
          <t>HULL-CUSTOM</t>
        </is>
      </c>
      <c r="B21" s="8" t="inlineStr">
        <is>
          <t>Structure</t>
        </is>
      </c>
      <c r="C21" s="8" t="inlineStr">
        <is>
          <t>Coque / châssis custom</t>
        </is>
      </c>
      <c r="D21" s="8" t="inlineStr">
        <is>
          <t>Assemblage de segments sur grille</t>
        </is>
      </c>
      <c r="E21" s="8" t="inlineStr">
        <is>
          <t>Segments avec points aimantés; longueur libre dans limites du jeu</t>
        </is>
      </c>
      <c r="F21" s="8" t="inlineStr">
        <is>
          <t>Variable</t>
        </is>
      </c>
      <c r="G21" s="8" t="inlineStr">
        <is>
          <t>Structure porteuse des pièces; définit dimensions du véhicule</t>
        </is>
      </c>
      <c r="H21" s="8" t="inlineStr">
        <is>
          <t>Base de toute construction personnalisée</t>
        </is>
      </c>
      <c r="I21" s="8" t="inlineStr">
        <is>
          <t>Segments doivent être connectés; couches structure et mécanique peuvent se superposer</t>
        </is>
      </c>
      <c r="J21" s="8" t="inlineStr">
        <is>
          <t>Fabricable</t>
        </is>
      </c>
      <c r="K21" s="8" t="inlineStr">
        <is>
          <t>Règle centrale</t>
        </is>
      </c>
    </row>
    <row r="22" ht="55" customHeight="1">
      <c r="A22" s="8" t="inlineStr">
        <is>
          <t>TUR-LIGHT</t>
        </is>
      </c>
      <c r="B22" s="8" t="inlineStr">
        <is>
          <t>Tourelles</t>
        </is>
      </c>
      <c r="C22" s="8" t="inlineStr">
        <is>
          <t>Tourelle légère</t>
        </is>
      </c>
      <c r="D22" s="8" t="inlineStr">
        <is>
          <t>Emprise indicative 1,2–1,6 m de diamètre; hauteur 1–1,5 m</t>
        </is>
      </c>
      <c r="E22" s="8" t="inlineStr">
        <is>
          <t>Point de montage central; encombrement de rendu approximatif</t>
        </is>
      </c>
      <c r="F22" s="8" t="inlineStr">
        <is>
          <t>Moyen</t>
        </is>
      </c>
      <c r="G22" s="8" t="inlineStr">
        <is>
          <t>Permet une arme montée; espace limité</t>
        </is>
      </c>
      <c r="H22" s="8" t="inlineStr">
        <is>
          <t>Montage large par défaut si la coque dispose de place; tourelle plus lourde augmente masse et encombrement</t>
        </is>
      </c>
      <c r="I22" s="8" t="inlineStr">
        <is>
          <t>Ne chevauche pas une autre tourelle ou une cabine dans la même couche; peut recouvrir le châssis</t>
        </is>
      </c>
      <c r="J22" s="8" t="inlineStr">
        <is>
          <t>Oui</t>
        </is>
      </c>
      <c r="K22" s="8" t="inlineStr">
        <is>
          <t>Anneau réel non simulé</t>
        </is>
      </c>
    </row>
    <row r="23" ht="55" customHeight="1">
      <c r="A23" s="8" t="inlineStr">
        <is>
          <t>TUR-MED</t>
        </is>
      </c>
      <c r="B23" s="8" t="inlineStr">
        <is>
          <t>Tourelles</t>
        </is>
      </c>
      <c r="C23" s="8" t="inlineStr">
        <is>
          <t>Tourelle moyenne</t>
        </is>
      </c>
      <c r="D23" s="8" t="inlineStr">
        <is>
          <t>Emprise indicative 1,6–2,0 m; hauteur 1,2–1,8 m</t>
        </is>
      </c>
      <c r="E23" s="8" t="inlineStr">
        <is>
          <t>Point de montage; calibre du canon non bloquant par défaut</t>
        </is>
      </c>
      <c r="F23" s="8" t="inlineStr">
        <is>
          <t>Élevé</t>
        </is>
      </c>
      <c r="G23" s="8" t="inlineStr">
        <is>
          <t>Plus d'espace, mais masse plus élevée</t>
        </is>
      </c>
      <c r="H23" s="8" t="inlineStr">
        <is>
          <t>Montage large; canon trop gros ajoute temps de rechargement et encombrement</t>
        </is>
      </c>
      <c r="I23" s="8" t="inlineStr">
        <is>
          <t>Même couche tourelle: pas de chevauchement avec une autre tourelle; peut recouvrir coque/châssis</t>
        </is>
      </c>
      <c r="J23" s="8" t="inlineStr">
        <is>
          <t>Oui</t>
        </is>
      </c>
      <c r="K23" s="8" t="inlineStr">
        <is>
          <t>Anneau réel simplifié</t>
        </is>
      </c>
    </row>
    <row r="24" ht="55" customHeight="1">
      <c r="A24" s="8" t="inlineStr">
        <is>
          <t>TUR-HEAVY</t>
        </is>
      </c>
      <c r="B24" s="8" t="inlineStr">
        <is>
          <t>Tourelles</t>
        </is>
      </c>
      <c r="C24" s="8" t="inlineStr">
        <is>
          <t>Tourelle lourde</t>
        </is>
      </c>
      <c r="D24" s="8" t="inlineStr">
        <is>
          <t>Emprise indicative 2,0–2,5 m; hauteur 1,5–2,2 m</t>
        </is>
      </c>
      <c r="E24" s="8" t="inlineStr">
        <is>
          <t>Point de montage central; charge lourde</t>
        </is>
      </c>
      <c r="F24" s="8" t="inlineStr">
        <is>
          <t>Très élevé</t>
        </is>
      </c>
      <c r="G24" s="8" t="inlineStr">
        <is>
          <t>Permet armes lourdes; pénalité de masse et stabilité</t>
        </is>
      </c>
      <c r="H24" s="8" t="inlineStr">
        <is>
          <t>Châssis renforcé conseillé; autoriser si espace disponible, signaler surcharge</t>
        </is>
      </c>
      <c r="I24" s="8" t="inlineStr">
        <is>
          <t>Ne chevauche pas les autres modules de la couche tourelle; peut recouvrir coque/châssis</t>
        </is>
      </c>
      <c r="J24" s="8" t="inlineStr">
        <is>
          <t>Oui</t>
        </is>
      </c>
      <c r="K24" s="8" t="inlineStr">
        <is>
          <t>Anneau réel simplifié</t>
        </is>
      </c>
    </row>
    <row r="25" ht="55" customHeight="1">
      <c r="A25" s="8" t="inlineStr">
        <is>
          <t>GUN-37</t>
        </is>
      </c>
      <c r="B25" s="8" t="inlineStr">
        <is>
          <t>Armement</t>
        </is>
      </c>
      <c r="C25" s="8" t="inlineStr">
        <is>
          <t>Canon léger 20–45 mm</t>
        </is>
      </c>
      <c r="D25" s="8" t="inlineStr">
        <is>
          <t>Tube indicatif 1,5–2,5 m selon modèle</t>
        </is>
      </c>
      <c r="E25" s="8" t="inlineStr">
        <is>
          <t>Tube 6–10 cellules; recul/culasse simplifiés</t>
        </is>
      </c>
      <c r="F25" s="8" t="inlineStr">
        <is>
          <t>Faible à moyen</t>
        </is>
      </c>
      <c r="G25" s="8" t="inlineStr">
        <is>
          <t>Faible poids; dégâts limités</t>
        </is>
      </c>
      <c r="H25" s="8" t="inlineStr">
        <is>
          <t>Montable sur support adapté; tourelle non obligatoire si affût</t>
        </is>
      </c>
      <c r="I25" s="8" t="inlineStr">
        <is>
          <t>Peut dépasser visuellement la coque; le tube ne bloque pas le placement si espace frontal libre</t>
        </is>
      </c>
      <c r="J25" s="8" t="inlineStr">
        <is>
          <t>Oui</t>
        </is>
      </c>
      <c r="K25" s="8" t="inlineStr">
        <is>
          <t>Armes historiques nommées en sous-type</t>
        </is>
      </c>
    </row>
    <row r="26" ht="55" customHeight="1">
      <c r="A26" s="8" t="inlineStr">
        <is>
          <t>GUN-75</t>
        </is>
      </c>
      <c r="B26" s="8" t="inlineStr">
        <is>
          <t>Armement</t>
        </is>
      </c>
      <c r="C26" s="8" t="inlineStr">
        <is>
          <t>Canon moyen 50–76 mm</t>
        </is>
      </c>
      <c r="D26" s="8" t="inlineStr">
        <is>
          <t>Tube indicatif 2,5–4,5 m selon modèle</t>
        </is>
      </c>
      <c r="E26" s="8" t="inlineStr">
        <is>
          <t>Tube 10–18 cellules; masse selon variante</t>
        </is>
      </c>
      <c r="F26" s="8" t="inlineStr">
        <is>
          <t>Élevé</t>
        </is>
      </c>
      <c r="G26" s="8" t="inlineStr">
        <is>
          <t>Dégâts importants; poids et recul notables</t>
        </is>
      </c>
      <c r="H26" s="8" t="inlineStr">
        <is>
          <t>Montage très permissif; grosse arme dans petite tourelle = rechargement lent</t>
        </is>
      </c>
      <c r="I26" s="8" t="inlineStr">
        <is>
          <t>Le tube peut dépasser l'enveloppe du véhicule; ne doit pas couper une autre arme ou la cabine en couche d'armement</t>
        </is>
      </c>
      <c r="J26" s="8" t="inlineStr">
        <is>
          <t>Oui</t>
        </is>
      </c>
      <c r="K26" s="8" t="inlineStr">
        <is>
          <t>Rechargement pénalisé si encombrement excessif</t>
        </is>
      </c>
    </row>
    <row r="27" ht="55" customHeight="1">
      <c r="A27" s="8" t="inlineStr">
        <is>
          <t>GUN-HEAVY</t>
        </is>
      </c>
      <c r="B27" s="8" t="inlineStr">
        <is>
          <t>Armement</t>
        </is>
      </c>
      <c r="C27" s="8" t="inlineStr">
        <is>
          <t>Canon lourd 85–128 mm</t>
        </is>
      </c>
      <c r="D27" s="8" t="inlineStr">
        <is>
          <t>Tube indicatif 4–7 m selon modèle</t>
        </is>
      </c>
      <c r="E27" s="8" t="inlineStr">
        <is>
          <t>Tube 16–28 cellules; culasse et recul abstraits</t>
        </is>
      </c>
      <c r="F27" s="8" t="inlineStr">
        <is>
          <t>Très élevé</t>
        </is>
      </c>
      <c r="G27" s="8" t="inlineStr">
        <is>
          <t>Dégâts élevés, grande masse et faible cadence</t>
        </is>
      </c>
      <c r="H27" s="8" t="inlineStr">
        <is>
          <t>Montable si masse totale et place globale acceptables; grosse pénalité de recharge dans tourelle trop petite</t>
        </is>
      </c>
      <c r="I27" s="8" t="inlineStr">
        <is>
          <t>Peut dépasser l'avant du véhicule; ne chevauche pas un autre tube/arme dans la couche d'armement</t>
        </is>
      </c>
      <c r="J27" s="8" t="inlineStr">
        <is>
          <t>Oui</t>
        </is>
      </c>
      <c r="K27" s="8" t="inlineStr">
        <is>
          <t>Compatibilité volontairement permissive</t>
        </is>
      </c>
    </row>
    <row r="28" ht="55" customHeight="1">
      <c r="A28" s="8" t="inlineStr">
        <is>
          <t>TOW</t>
        </is>
      </c>
      <c r="B28" s="8" t="inlineStr">
        <is>
          <t>Récupération</t>
        </is>
      </c>
      <c r="C28" s="8" t="inlineStr">
        <is>
          <t>Treuil / grue / bras de levage</t>
        </is>
      </c>
      <c r="D28" s="8" t="inlineStr">
        <is>
          <t>Variable selon équipement</t>
        </is>
      </c>
      <c r="E28" s="8" t="inlineStr">
        <is>
          <t>Module arrière ou latéral; portée d'action abstraite</t>
        </is>
      </c>
      <c r="F28" s="8" t="inlineStr">
        <is>
          <t>Élevé</t>
        </is>
      </c>
      <c r="G28" s="8" t="inlineStr">
        <is>
          <t>Permet remorquage et récupération d'épaves</t>
        </is>
      </c>
      <c r="H28" s="8" t="inlineStr">
        <is>
          <t>Châssis camion ou lourd; poids/contrepoids à prendre en compte</t>
        </is>
      </c>
      <c r="I28" s="8" t="inlineStr">
        <is>
          <t>Peut superposer la couche carrosserie mais ne doit pas croiser cabine en position repliée</t>
        </is>
      </c>
      <c r="J28" s="8" t="inlineStr">
        <is>
          <t>Oui</t>
        </is>
      </c>
      <c r="K28" s="8" t="inlineStr">
        <is>
          <t>Action de récupération</t>
        </is>
      </c>
    </row>
    <row r="29" ht="55" customHeight="1">
      <c r="A29" s="8" t="inlineStr">
        <is>
          <t>ARMOR</t>
        </is>
      </c>
      <c r="B29" s="8" t="inlineStr">
        <is>
          <t>Protection</t>
        </is>
      </c>
      <c r="C29" s="8" t="inlineStr">
        <is>
          <t>Plaques de blindage</t>
        </is>
      </c>
      <c r="D29" s="8" t="inlineStr">
        <is>
          <t>Épaisseur/masse en classe plutôt qu'au millimètre</t>
        </is>
      </c>
      <c r="E29" s="8" t="inlineStr">
        <is>
          <t>Segments de coque; emprise par case</t>
        </is>
      </c>
      <c r="F29" s="8" t="inlineStr">
        <is>
          <t>Variable</t>
        </is>
      </c>
      <c r="G29" s="8" t="inlineStr">
        <is>
          <t>Augmente résistance et masse</t>
        </is>
      </c>
      <c r="H29" s="8" t="inlineStr">
        <is>
          <t>Large compatibilité; chaque plaque augmente masse</t>
        </is>
      </c>
      <c r="I29" s="8" t="inlineStr">
        <is>
          <t>Les plaques recouvrent le châssis en couche carrosserie; ne peuvent pas recouvrir roues/chenilles fonctionnelles</t>
        </is>
      </c>
      <c r="J29" s="8" t="inlineStr">
        <is>
          <t>Oui</t>
        </is>
      </c>
      <c r="K29" s="8" t="inlineStr">
        <is>
          <t>Blindage improvisé</t>
        </is>
      </c>
    </row>
    <row r="30" ht="55" customHeight="1">
      <c r="A30" s="8" t="inlineStr">
        <is>
          <t>AMMO</t>
        </is>
      </c>
      <c r="B30" s="8" t="inlineStr">
        <is>
          <t>Munitions</t>
        </is>
      </c>
      <c r="C30" s="8" t="inlineStr">
        <is>
          <t>Râtelier / caisses de munitions</t>
        </is>
      </c>
      <c r="D30" s="8" t="inlineStr">
        <is>
          <t>Volumes S/M/L</t>
        </is>
      </c>
      <c r="E30" s="8" t="inlineStr">
        <is>
          <t>Module de stockage</t>
        </is>
      </c>
      <c r="F30" s="8" t="inlineStr">
        <is>
          <t>Faible à élevé</t>
        </is>
      </c>
      <c r="G30" s="8" t="inlineStr">
        <is>
          <t>Capacité de munitions; risque en cas d'impact</t>
        </is>
      </c>
      <c r="H30" s="8" t="inlineStr">
        <is>
          <t>Doit correspondre au calibre/famille d'arme</t>
        </is>
      </c>
      <c r="I30" s="8" t="inlineStr">
        <is>
          <t>Ne chevauche pas réservoir ou équipage dans le volume logique; rendu en couche cargaison</t>
        </is>
      </c>
      <c r="J30" s="8" t="inlineStr">
        <is>
          <t>Oui</t>
        </is>
      </c>
      <c r="K30" s="8" t="inlineStr">
        <is>
          <t>Séparer capacité et munitions réellement transportées</t>
        </is>
      </c>
    </row>
  </sheetData>
  <autoFilter ref="A1:K3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4"/>
  <sheetViews>
    <sheetView showGridLines="0" workbookViewId="0">
      <pane ySplit="1" topLeftCell="A2" activePane="bottomLeft" state="frozen"/>
      <selection pane="bottomLeft" activeCell="A1" sqref="A1"/>
    </sheetView>
  </sheetViews>
  <sheetFormatPr baseColWidth="8" defaultRowHeight="15"/>
  <cols>
    <col width="26" customWidth="1" min="1" max="1"/>
    <col width="48" customWidth="1" min="2" max="2"/>
    <col width="48" customWidth="1" min="3" max="3"/>
  </cols>
  <sheetData>
    <row r="1">
      <c r="A1" s="9" t="inlineStr">
        <is>
          <t>Paramètre</t>
        </is>
      </c>
      <c r="B1" s="9" t="inlineStr">
        <is>
          <t>Règle retenue</t>
        </is>
      </c>
      <c r="C1" s="9" t="inlineStr">
        <is>
          <t>Conséquence dans le jeu</t>
        </is>
      </c>
    </row>
    <row r="2" ht="42" customHeight="1">
      <c r="A2" s="8" t="inlineStr">
        <is>
          <t>Unité de grille</t>
        </is>
      </c>
      <c r="B2" s="8" t="inlineStr">
        <is>
          <t>1 cellule = 0,25 m en dimensions réelles (échelle de construction)</t>
        </is>
      </c>
      <c r="C2" s="8" t="inlineStr">
        <is>
          <t>Les pièces s'alignent sur une grille commune; les dimensions physiques sont arrondies vers le haut pour l'emprise.</t>
        </is>
      </c>
    </row>
    <row r="3" ht="42" customHeight="1">
      <c r="A3" s="8" t="inlineStr">
        <is>
          <t>Affichage à l'écran</t>
        </is>
      </c>
      <c r="B3" s="8" t="inlineStr">
        <is>
          <t>Zoom libre / adaptation à l'écran; la cellule logique ne doit pas être égale à un nombre fixe de pixels</t>
        </is>
      </c>
      <c r="C3" s="8" t="inlineStr">
        <is>
          <t>Les véhicules de 20 à 40 cellules restent lisibles grâce au zoom; le pixel-art n'est pas requis.</t>
        </is>
      </c>
    </row>
    <row r="4" ht="42" customHeight="1">
      <c r="A4" s="8" t="inlineStr">
        <is>
          <t>Vue de construction</t>
        </is>
      </c>
      <c r="B4" s="8" t="inlineStr">
        <is>
          <t>Vue latérale 2D pour le châssis, roues/chenilles, cabine, moteur, tourelle et canon; largeur en profondeur stockée comme contrainte séparée</t>
        </is>
      </c>
      <c r="C4" s="8" t="inlineStr">
        <is>
          <t>Le jeu ne confond pas la longueur/hauteur visibles avec la largeur réelle du véhicule.</t>
        </is>
      </c>
    </row>
    <row r="5" ht="42" customHeight="1">
      <c r="A5" s="8" t="inlineStr">
        <is>
          <t>Arrondi</t>
        </is>
      </c>
      <c r="B5" s="8" t="inlineStr">
        <is>
          <t>Les emprises structurelles sont arrondies vers le haut au quart de mètre; les petits détails peuvent être décoratifs et ne prennent pas une cellule dédiée</t>
        </is>
      </c>
      <c r="C5" s="8" t="inlineStr">
        <is>
          <t>Évite qu'une pièce déborde de son emplacement ou qu'une pièce soit sous-dimensionnée.</t>
        </is>
      </c>
    </row>
    <row r="6" ht="42" customHeight="1">
      <c r="A6" s="8" t="inlineStr">
        <is>
          <t>Roues</t>
        </is>
      </c>
      <c r="B6" s="8" t="inlineStr">
        <is>
          <t>Diamètre et largeur sont deux valeurs distinctes; les roues doivent respecter l'axe, le passage de roue et la garde au sol</t>
        </is>
      </c>
      <c r="C6" s="8" t="inlineStr">
        <is>
          <t>Une roue de camion n'est pas interchangeable avec une roue de moto sans adaptation.</t>
        </is>
      </c>
    </row>
    <row r="7" ht="42" customHeight="1">
      <c r="A7" s="8" t="inlineStr">
        <is>
          <t>Chenilles</t>
        </is>
      </c>
      <c r="B7" s="8" t="inlineStr">
        <is>
          <t>Chaque module possède longueur d'enveloppe en vue latérale, hauteur d'enveloppe, largeur de patin et famille de montage</t>
        </is>
      </c>
      <c r="C7" s="8" t="inlineStr">
        <is>
          <t>La largeur des patins est la dimension transverse; la longueur/hauteur correspond à l'emprise de profil.</t>
        </is>
      </c>
    </row>
    <row r="8" ht="42" customHeight="1">
      <c r="A8" s="8" t="inlineStr">
        <is>
          <t>Canons</t>
        </is>
      </c>
      <c r="B8" s="8" t="inlineStr">
        <is>
          <t>Séparer longueur du tube, calibre, longueur de recul et encombrement de culasse/berceau</t>
        </is>
      </c>
      <c r="C8" s="8" t="inlineStr">
        <is>
          <t>La longueur historique du tube n'est pas toute la longueur de l'arme montée.</t>
        </is>
      </c>
    </row>
    <row r="9" ht="42" customHeight="1">
      <c r="A9" s="8" t="inlineStr">
        <is>
          <t>Tourelles</t>
        </is>
      </c>
      <c r="B9" s="8" t="inlineStr">
        <is>
          <t>La tourelle est un module récupérable à part entière; l'anneau/embase, le diamètre, le poids et le type de montage définissent la compatibilité</t>
        </is>
      </c>
      <c r="C9" s="8" t="inlineStr">
        <is>
          <t>Une tourelle démontée peut être remontée sur un autre châssis uniquement si l'anneau, la masse et l'espace conviennent.</t>
        </is>
      </c>
    </row>
    <row r="10" ht="42" customHeight="1">
      <c r="A10" s="8" t="inlineStr">
        <is>
          <t>Cabines et carrosseries</t>
        </is>
      </c>
      <c r="B10" s="8" t="inlineStr">
        <is>
          <t>La cabine, le cockpit ou la caisse avant peuvent être récupérés comme modules de carrosserie distincts du châssis</t>
        </is>
      </c>
      <c r="C10" s="8" t="inlineStr">
        <is>
          <t>Une cabine de Jeep peut servir de base visuelle à un véhicule improvisé; une cabine de 2CV serait une extension post-1945, à marquer comme telle.</t>
        </is>
      </c>
    </row>
    <row r="11" ht="42" customHeight="1">
      <c r="A11" s="8" t="inlineStr">
        <is>
          <t>Compatibilité</t>
        </is>
      </c>
      <c r="B11" s="8" t="inlineStr">
        <is>
          <t>Les pièces conservent des tags : type de véhicule, dimensions, points de fixation, masse, architecture, période historique et état</t>
        </is>
      </c>
      <c r="C11" s="8" t="inlineStr">
        <is>
          <t>Le jeu autorise les constructions Mad Max, mais pas toutes les pièces sur tous les châssis sans adaptation.</t>
        </is>
      </c>
    </row>
    <row r="12" ht="42" customHeight="1">
      <c r="A12" s="8" t="inlineStr">
        <is>
          <t>Statut des valeurs</t>
        </is>
      </c>
      <c r="B12" s="8" t="inlineStr">
        <is>
          <t>Les gabarits des dix véhicules sont des valeurs de prototypage, basées sur dimensions historiques disponibles et estimations lorsqu'aucune donnée fiable n'a été confirmée</t>
        </is>
      </c>
      <c r="C12" s="8" t="inlineStr">
        <is>
          <t>Ne pas présenter les estimations comme des dimensions constructeur exactes; affiner les variantes au fil de la recherche.</t>
        </is>
      </c>
    </row>
    <row r="13">
      <c r="A13" s="8" t="inlineStr">
        <is>
          <t>Placement magnétique</t>
        </is>
      </c>
      <c r="B13" s="8" t="inlineStr">
        <is>
          <t>Les pièces s'accrochent à des points d'ancrage; la grille de 0,25 m sert à l'échelle, pas à imposer un alignement pixel strict.</t>
        </is>
      </c>
      <c r="C13" s="8" t="inlineStr">
        <is>
          <t>Voir « Grille et chevauchements » pour règles par couche.</t>
        </is>
      </c>
    </row>
    <row r="14">
      <c r="A14" s="8" t="inlineStr">
        <is>
          <t>Compatibilité permissive</t>
        </is>
      </c>
      <c r="B14" s="8" t="inlineStr">
        <is>
          <t>Tout montage est autorisé si la place existe, avec pénalités de masse, consommation, recharge, stabilité ou performances plutôt qu'un verrouillage historique strict.</t>
        </is>
      </c>
      <c r="C14" s="8" t="inlineStr">
        <is>
          <t>Exceptions : chevauchement physique impossible, ancrage absent, ou moteur/transmission réellement incompatibles selon la règle de gameplay.</t>
        </is>
      </c>
    </row>
  </sheetData>
  <autoFilter ref="A1:C1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276"/>
  <sheetViews>
    <sheetView showGridLines="0" workbookViewId="0">
      <pane ySplit="1" topLeftCell="A2" activePane="bottomLeft" state="frozen"/>
      <selection pane="bottomLeft" activeCell="A1" sqref="A1"/>
    </sheetView>
  </sheetViews>
  <sheetFormatPr baseColWidth="8" defaultRowHeight="15"/>
  <cols>
    <col width="40" customWidth="1" min="1" max="1"/>
    <col width="48" customWidth="1" min="2" max="2"/>
    <col width="16" customWidth="1" min="3" max="3"/>
    <col width="36" customWidth="1" min="4" max="4"/>
    <col width="30"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20" customWidth="1" min="14" max="14"/>
    <col width="25" customWidth="1" min="15" max="15"/>
    <col width="48" customWidth="1" min="16" max="16"/>
    <col width="78" customWidth="1" min="17" max="17"/>
  </cols>
  <sheetData>
    <row r="1">
      <c r="A1" s="20" t="inlineStr">
        <is>
          <t>Catégorie</t>
        </is>
      </c>
      <c r="B1" s="20" t="inlineStr">
        <is>
          <t>Modèle</t>
        </is>
      </c>
      <c r="C1" s="20" t="inlineStr">
        <is>
          <t>Pays / origine</t>
        </is>
      </c>
      <c r="D1" s="20" t="inlineStr">
        <is>
          <t>Rôle</t>
        </is>
      </c>
      <c r="E1" s="20" t="inlineStr">
        <is>
          <t>Conçu au plus tard en 1945 ?</t>
        </is>
      </c>
      <c r="F1" s="20" t="inlineStr">
        <is>
          <t>Motorisation historique</t>
        </is>
      </c>
      <c r="G1" s="20" t="inlineStr">
        <is>
          <t>Famille moteur normalisée</t>
        </is>
      </c>
      <c r="H1" s="20" t="inlineStr">
        <is>
          <t>Compatibilités gameplay</t>
        </is>
      </c>
      <c r="I1" s="20" t="inlineStr">
        <is>
          <t>Statut de vérification</t>
        </is>
      </c>
      <c r="J1" s="20" t="inlineStr">
        <is>
          <t>Notes</t>
        </is>
      </c>
      <c r="K1" s="20" t="inlineStr">
        <is>
          <t>Sources historiques</t>
        </is>
      </c>
      <c r="L1" s="20" t="inlineStr">
        <is>
          <t>Armement historique (version/variantes)</t>
        </is>
      </c>
      <c r="M1" s="20" t="inlineStr">
        <is>
          <t>Récupération d'armement</t>
        </is>
      </c>
      <c r="N1" s="20" t="inlineStr">
        <is>
          <t>Confiance armement</t>
        </is>
      </c>
      <c r="O1" s="20" t="inlineStr">
        <is>
          <t>Prototype prioritaire</t>
        </is>
      </c>
      <c r="P1" s="20" t="inlineStr">
        <is>
          <t>Rôle dans le prototype</t>
        </is>
      </c>
      <c r="Q1" s="20" t="inlineStr">
        <is>
          <t>Description courte (brouillon UI)</t>
        </is>
      </c>
    </row>
    <row r="2" ht="42" customHeight="1">
      <c r="A2" s="8" t="inlineStr">
        <is>
          <t>Voitures civiles et utilitaires légers</t>
        </is>
      </c>
      <c r="B2" s="8" t="inlineStr">
        <is>
          <t>Citroën Traction Avant</t>
        </is>
      </c>
      <c r="C2" s="8" t="inlineStr">
        <is>
          <t>France</t>
        </is>
      </c>
      <c r="D2" s="8" t="inlineStr">
        <is>
          <t>Voiture de tourisme</t>
        </is>
      </c>
      <c r="E2" s="8" t="inlineStr">
        <is>
          <t>À vérifier</t>
        </is>
      </c>
      <c r="F2" s="8" t="inlineStr">
        <is>
          <t>Essence : 4 cylindres en ligne sur les 7/11 ; 6 cylindres en ligne sur la 15 Six (à partir de 1938). Le V8 de la 22 est un prototype/projet non produit en série.</t>
        </is>
      </c>
      <c r="G2" s="8" t="inlineStr">
        <is>
          <t>I4 Citroën 7/11 ; I6 Citroën 15 Six</t>
        </is>
      </c>
      <c r="H2" s="8" t="inlineStr">
        <is>
          <t>Familles de moteurs distinctes ; ne pas confondre la 15 Six avec les moteurs I4. V8 22 exclu du catalogue de série.</t>
        </is>
      </c>
      <c r="I2" s="8" t="inlineStr">
        <is>
          <t>Documenté — variantes à distinguer</t>
        </is>
      </c>
      <c r="J2" s="8" t="inlineStr">
        <is>
          <t>La 15 Six est attestée dès 1938 ; le V8 22 présenté en 1934 ne doit pas être compté comme moteur de série.</t>
        </is>
      </c>
      <c r="K2" s="8" t="inlineStr">
        <is>
          <t>https://www.media.stellantis.com/ch-fr/citroen/press/citroen-celebre-les-90-ans-de-la-traction-avant-modele-emblematique-aux-100-brevets ; https://www.citroenorigins.fr/fr/vehicule/traction-15-six</t>
        </is>
      </c>
      <c r="L2" s="8" t="inlineStr">
        <is>
          <t>Aucun armement fixe standard identifié; arme individuelle/affût de campagne possible selon usage</t>
        </is>
      </c>
      <c r="M2" s="8" t="inlineStr">
        <is>
          <t>Pas d'arme à attribuer par défaut; une arme montée doit être confirmée</t>
        </is>
      </c>
      <c r="N2" s="8" t="inlineStr">
        <is>
          <t>Élevé</t>
        </is>
      </c>
      <c r="O2" s="8" t="inlineStr">
        <is>
          <t>Non — contenu ultérieur</t>
        </is>
      </c>
      <c r="P2" s="8" t="inlineStr">
        <is>
          <t>À intégrer après validation du prototype</t>
        </is>
      </c>
      <c r="Q2" t="inlineStr">
        <is>
          <t>Citroën Traction Avant : véhicule de catégorie « Voiture de tourisme », d'origine France. Motorisation recensée : Essence : 4 cylindres en ligne sur les 7/11. Fiche de catalogue à compléter avec le rôle tactique et les caractéristiques de jeu.</t>
        </is>
      </c>
    </row>
    <row r="3" ht="42" customHeight="1">
      <c r="A3" s="8" t="inlineStr">
        <is>
          <t>Camions légers et moyens</t>
        </is>
      </c>
      <c r="B3" s="8" t="inlineStr">
        <is>
          <t>Citroën Type 23</t>
        </is>
      </c>
      <c r="C3" s="8" t="inlineStr">
        <is>
          <t>France</t>
        </is>
      </c>
      <c r="D3" s="8" t="inlineStr">
        <is>
          <t>Camion léger/moyen</t>
        </is>
      </c>
      <c r="E3" s="8" t="inlineStr">
        <is>
          <t>À vérifier</t>
        </is>
      </c>
      <c r="F3" s="8" t="inlineStr">
        <is>
          <t>Essence : 4 cylindres en ligne dérivé de la Traction (1,911 L) ; diesel : 4 cylindres en ligne à injection indirecte (1,767 L), proposé à partir de 1936.</t>
        </is>
      </c>
      <c r="G3" s="8" t="inlineStr">
        <is>
          <t>I4 Citroën essence Traction / I4 diesel Citroën Type 23</t>
        </is>
      </c>
      <c r="H3" s="8" t="inlineStr">
        <is>
          <t>Deux variantes distinctes : essence apparentée à la famille Traction 11 ; diesel séparé. Compatibilités à confirmer.</t>
        </is>
      </c>
      <c r="I3" s="8" t="inlineStr">
        <is>
          <t>Documenté — variantes à distinguer</t>
        </is>
      </c>
      <c r="J3" s="8" t="inlineStr">
        <is>
          <t>Le Type 23 est un camion et doit être classé dans la catégorie des camions, non dans les voitures.</t>
        </is>
      </c>
      <c r="K3" s="8" t="inlineStr">
        <is>
          <t>https://www.citroenet.org.uk/utilities/type-23/type23.html</t>
        </is>
      </c>
      <c r="L3" s="8" t="inlineStr">
        <is>
          <t>Aucun armement fixe standard identifié; arme individuelle/affût de campagne possible selon usage</t>
        </is>
      </c>
      <c r="M3" s="8" t="inlineStr">
        <is>
          <t>Pas d'arme à attribuer par défaut; une arme montée doit être confirmée</t>
        </is>
      </c>
      <c r="N3" s="8" t="inlineStr">
        <is>
          <t>Élevé</t>
        </is>
      </c>
      <c r="O3" s="8" t="inlineStr">
        <is>
          <t>Non — contenu ultérieur</t>
        </is>
      </c>
      <c r="P3" s="8" t="inlineStr">
        <is>
          <t>À intégrer après validation du prototype</t>
        </is>
      </c>
      <c r="Q3" t="inlineStr">
        <is>
          <t>Citroën Type 23 : véhicule de catégorie « Camion léger/moyen », d'origine France. Motorisation recensée : Essence : 4 cylindres en ligne dérivé de la Traction (1,911 L). Fiche de catalogue à compléter avec le rôle tactique et les caractéristiques de jeu.</t>
        </is>
      </c>
    </row>
    <row r="4" ht="42" customHeight="1">
      <c r="A4" s="8" t="inlineStr">
        <is>
          <t>Voitures civiles et utilitaires légers</t>
        </is>
      </c>
      <c r="B4" s="8" t="inlineStr">
        <is>
          <t>Peugeot 202</t>
        </is>
      </c>
      <c r="C4" s="8" t="inlineStr">
        <is>
          <t>France</t>
        </is>
      </c>
      <c r="D4" s="8" t="inlineStr">
        <is>
          <t>Voiture de tourisme</t>
        </is>
      </c>
      <c r="E4" s="8" t="inlineStr">
        <is>
          <t>À vérifier</t>
        </is>
      </c>
      <c r="F4" s="8" t="inlineStr">
        <is>
          <t>Essence : 4 cylindres en ligne, soupapes en tête, moteur type TG.</t>
        </is>
      </c>
      <c r="G4" s="8" t="inlineStr">
        <is>
          <t>I4 Peugeot TG</t>
        </is>
      </c>
      <c r="H4" s="8" t="inlineStr">
        <is>
          <t>Famille propre à ce stade ; compatibilité avec d'autres I4 à décider selon dimensions et montage.</t>
        </is>
      </c>
      <c r="I4" s="8" t="inlineStr">
        <is>
          <t>Documenté — détails de variante à vérifier</t>
        </is>
      </c>
      <c r="J4" s="8" t="inlineStr">
        <is>
          <t>Source historique reproduisant des données techniques d'époque ; cylindrée omise dans le résumé de conception du jeu.</t>
        </is>
      </c>
      <c r="K4" s="8" t="inlineStr">
        <is>
          <t>https://auctions-media.hemmings.com/225897/2020_11_06_17_45_58.pdf</t>
        </is>
      </c>
      <c r="L4" s="8" t="inlineStr">
        <is>
          <t>Aucun armement fixe standard identifié; arme individuelle/affût de campagne possible selon usage</t>
        </is>
      </c>
      <c r="M4" s="8" t="inlineStr">
        <is>
          <t>Pas d'arme à attribuer par défaut; une arme montée doit être confirmée</t>
        </is>
      </c>
      <c r="N4" s="8" t="inlineStr">
        <is>
          <t>Élevé</t>
        </is>
      </c>
      <c r="O4" s="8" t="inlineStr">
        <is>
          <t>Non — contenu ultérieur</t>
        </is>
      </c>
      <c r="P4" s="8" t="inlineStr">
        <is>
          <t>À intégrer après validation du prototype</t>
        </is>
      </c>
      <c r="Q4" t="inlineStr">
        <is>
          <t>Peugeot 202 : véhicule de catégorie « Voiture de tourisme », d'origine France. Motorisation recensée : Essence : 4 cylindres en ligne, soupapes en tête, moteur type TG.. Variante historique à vérifier avant validation définitive.</t>
        </is>
      </c>
    </row>
    <row r="5" ht="42" customHeight="1">
      <c r="A5" s="8" t="inlineStr">
        <is>
          <t>Voitures civiles et utilitaires légers</t>
        </is>
      </c>
      <c r="B5" s="8" t="inlineStr">
        <is>
          <t>Peugeot 402</t>
        </is>
      </c>
      <c r="C5" s="8" t="inlineStr">
        <is>
          <t>France</t>
        </is>
      </c>
      <c r="D5" s="8" t="inlineStr">
        <is>
          <t>Voiture de tourisme</t>
        </is>
      </c>
      <c r="E5" s="8" t="inlineStr">
        <is>
          <t>À vérifier</t>
        </is>
      </c>
      <c r="F5" s="8" t="inlineStr">
        <is>
          <t>Essence : 4 cylindres en ligne ; premières versions autour de 2,0 L, puis 402 B avec moteur 2,142 L.</t>
        </is>
      </c>
      <c r="G5" s="8" t="inlineStr">
        <is>
          <t>I4 Peugeot 402 / 402 B</t>
        </is>
      </c>
      <c r="H5" s="8" t="inlineStr">
        <is>
          <t>À distinguer du I4 de la Peugeot 202 ; variantes 402 et 402 B à regrouper seulement si le gameplay le justifie.</t>
        </is>
      </c>
      <c r="I5" s="8" t="inlineStr">
        <is>
          <t>Documenté — variantes à distinguer</t>
        </is>
      </c>
      <c r="J5" s="8" t="inlineStr">
        <is>
          <t>Les versions 402 ont évolué ; la fiche doit enregistrer les variantes de moteur plutôt qu'un unique moteur générique.</t>
        </is>
      </c>
      <c r="K5" s="8" t="inlineStr">
        <is>
          <t>https://www.guide-automobiles-anciennes.com/VOITURE/peugeot-402-b-coupe-4573.htm</t>
        </is>
      </c>
      <c r="L5" s="8" t="inlineStr">
        <is>
          <t>Aucun armement fixe standard identifié; arme individuelle/affût de campagne possible selon usage</t>
        </is>
      </c>
      <c r="M5" s="8" t="inlineStr">
        <is>
          <t>Pas d'arme à attribuer par défaut; une arme montée doit être confirmée</t>
        </is>
      </c>
      <c r="N5" s="8" t="inlineStr">
        <is>
          <t>Élevé</t>
        </is>
      </c>
      <c r="O5" s="8" t="inlineStr">
        <is>
          <t>Non — contenu ultérieur</t>
        </is>
      </c>
      <c r="P5" s="8" t="inlineStr">
        <is>
          <t>À intégrer après validation du prototype</t>
        </is>
      </c>
      <c r="Q5" t="inlineStr">
        <is>
          <t>Peugeot 402 : véhicule de catégorie « Voiture de tourisme », d'origine France. Motorisation recensée : Essence : 4 cylindres en ligne. Fiche de catalogue à compléter avec le rôle tactique et les caractéristiques de jeu.</t>
        </is>
      </c>
    </row>
    <row r="6" ht="42" customHeight="1">
      <c r="A6" s="8" t="inlineStr">
        <is>
          <t>Voitures civiles et utilitaires légers</t>
        </is>
      </c>
      <c r="B6" s="8" t="inlineStr">
        <is>
          <t>Renault Juvaquatre</t>
        </is>
      </c>
      <c r="C6" s="8" t="inlineStr">
        <is>
          <t>France</t>
        </is>
      </c>
      <c r="D6" s="8" t="inlineStr">
        <is>
          <t>Voiture/utilitaire léger</t>
        </is>
      </c>
      <c r="E6" s="8" t="inlineStr">
        <is>
          <t>À vérifier</t>
        </is>
      </c>
      <c r="F6" s="8" t="inlineStr">
        <is>
          <t>Essence : 4 cylindres en ligne à soupapes latérales, type Renault 488, environ 1,0 L pour les modèles d'avant-guerre.</t>
        </is>
      </c>
      <c r="G6" s="8" t="inlineStr">
        <is>
          <t>I4 Renault 488</t>
        </is>
      </c>
      <c r="H6" s="8" t="inlineStr">
        <is>
          <t>Famille moteur Renault compacte ; compatibilité avec d'autres Renault à vérifier au niveau des fixations et transmission.</t>
        </is>
      </c>
      <c r="I6" s="8" t="inlineStr">
        <is>
          <t>Documenté</t>
        </is>
      </c>
      <c r="J6" s="8" t="inlineStr">
        <is>
          <t>La Juvaquatre a connu des motorisations ultérieures après-guerre ; ne conserver ici que les variantes conçues/utilisées avant 1946.</t>
        </is>
      </c>
      <c r="K6" s="8" t="inlineStr">
        <is>
          <t>https://theoriginals.renault.com/en/juvaquatre ; https://www.jrhp.fr/site.juvaquatre/ficheraeb2.htm</t>
        </is>
      </c>
      <c r="L6" s="8" t="inlineStr">
        <is>
          <t>Aucun armement fixe standard identifié; arme individuelle/affût de campagne possible selon usage</t>
        </is>
      </c>
      <c r="M6" s="8" t="inlineStr">
        <is>
          <t>Pas d'arme à attribuer par défaut; une arme montée doit être confirmée</t>
        </is>
      </c>
      <c r="N6" s="8" t="inlineStr">
        <is>
          <t>Élevé</t>
        </is>
      </c>
      <c r="O6" s="8" t="inlineStr">
        <is>
          <t>Non — contenu ultérieur</t>
        </is>
      </c>
      <c r="P6" s="8" t="inlineStr">
        <is>
          <t>À intégrer après validation du prototype</t>
        </is>
      </c>
      <c r="Q6" t="inlineStr">
        <is>
          <t>Renault Juvaquatre : véhicule de catégorie « Voiture/utilitaire léger », d'origine France. Motorisation recensée : Essence : 4 cylindres en ligne à soupapes latérales, type Renault 488, environ 1,0 L pour les modèles…. Fiche de catalogue à compléter avec le rôle tactique et les caractéristiques de jeu.</t>
        </is>
      </c>
    </row>
    <row r="7" ht="42" customHeight="1">
      <c r="A7" s="8" t="inlineStr">
        <is>
          <t>Voitures civiles et utilitaires légers</t>
        </is>
      </c>
      <c r="B7" s="8" t="inlineStr">
        <is>
          <t>Renault Primaquatre</t>
        </is>
      </c>
      <c r="C7" s="8" t="inlineStr">
        <is>
          <t>France</t>
        </is>
      </c>
      <c r="D7" s="8" t="inlineStr">
        <is>
          <t>Voiture de tourisme</t>
        </is>
      </c>
      <c r="E7" s="8" t="inlineStr">
        <is>
          <t>À vérifier</t>
        </is>
      </c>
      <c r="F7" s="8" t="inlineStr">
        <is>
          <t>Essence : 4 cylindres en ligne à soupapes latérales ; familles d'environ 2,1 L sur les premières séries puis 2,4 L sur les séries ultérieures d'avant-guerre.</t>
        </is>
      </c>
      <c r="G7" s="8" t="inlineStr">
        <is>
          <t>I4 Renault Primaquatre (séries KZ / ACL / BDF / BFP)</t>
        </is>
      </c>
      <c r="H7" s="8" t="inlineStr">
        <is>
          <t>Famille distincte de la Juvaquatre ; vérifier les sous-types et les interfaces avant de mutualiser.</t>
        </is>
      </c>
      <c r="I7" s="8" t="inlineStr">
        <is>
          <t>Documenté — séries à détailler</t>
        </is>
      </c>
      <c r="J7" s="8" t="inlineStr">
        <is>
          <t>Ne pas traiter les différents moteurs Primaquatre comme strictement identiques sans vérifier les références de type.</t>
        </is>
      </c>
      <c r="K7" s="8" t="inlineStr">
        <is>
          <t>https://fr.wikipedia.org/wiki/Renault_Primaquatre ; https://docs.les-renault-d-avant-guerre.com/Carnet_des_Voyageurs_1934_Tome1.pdf</t>
        </is>
      </c>
      <c r="L7" s="8" t="inlineStr">
        <is>
          <t>Aucun armement fixe standard identifié; arme individuelle/affût de campagne possible selon usage</t>
        </is>
      </c>
      <c r="M7" s="8" t="inlineStr">
        <is>
          <t>Pas d'arme à attribuer par défaut; une arme montée doit être confirmée</t>
        </is>
      </c>
      <c r="N7" s="8" t="inlineStr">
        <is>
          <t>Élevé</t>
        </is>
      </c>
      <c r="O7" s="8" t="inlineStr">
        <is>
          <t>Non — contenu ultérieur</t>
        </is>
      </c>
      <c r="P7" s="8" t="inlineStr">
        <is>
          <t>À intégrer après validation du prototype</t>
        </is>
      </c>
      <c r="Q7" t="inlineStr">
        <is>
          <t>Renault Primaquatre : véhicule de catégorie « Voiture de tourisme », d'origine France. Motorisation recensée : Essence : 4 cylindres en ligne à soupapes latérales. Fiche de catalogue à compléter avec le rôle tactique et les caractéristiques de jeu.</t>
        </is>
      </c>
    </row>
    <row r="8" ht="42" customHeight="1">
      <c r="A8" s="8" t="inlineStr">
        <is>
          <t>Voitures civiles et utilitaires légers</t>
        </is>
      </c>
      <c r="B8" s="8" t="inlineStr">
        <is>
          <t>Ford Model T</t>
        </is>
      </c>
      <c r="C8" s="8" t="inlineStr">
        <is>
          <t>États-Unis</t>
        </is>
      </c>
      <c r="D8" s="8" t="inlineStr">
        <is>
          <t>Voiture ancienne</t>
        </is>
      </c>
      <c r="E8" s="8" t="inlineStr">
        <is>
          <t>À vérifier</t>
        </is>
      </c>
      <c r="F8" s="8" t="inlineStr">
        <is>
          <t>Essence : 4 cylindres en ligne, soupapes latérales (L-head).</t>
        </is>
      </c>
      <c r="G8" s="8" t="inlineStr">
        <is>
          <t>I4 Ford Model T</t>
        </is>
      </c>
      <c r="H8" s="8" t="inlineStr">
        <is>
          <t>Moteur ancien à faible puissance ; famille distincte des Ford plus récents.</t>
        </is>
      </c>
      <c r="I8" s="8" t="inlineStr">
        <is>
          <t>Documenté</t>
        </is>
      </c>
      <c r="J8" s="8" t="inlineStr">
        <is>
          <t>Architecture en ligne à quatre cylindres confirmée par une source patrimoniale d'ingénierie.</t>
        </is>
      </c>
      <c r="K8" s="8" t="inlineStr">
        <is>
          <t>https://www.asme.org/about-asme/engineering-history/landmarks/233-model-t ; https://corporate.ford.com/articles/history/the-model-t.html</t>
        </is>
      </c>
      <c r="L8" s="8" t="inlineStr">
        <is>
          <t>Aucun armement fixe standard identifié; arme individuelle/affût de campagne possible selon usage</t>
        </is>
      </c>
      <c r="M8" s="8" t="inlineStr">
        <is>
          <t>Pas d'arme à attribuer par défaut; une arme montée doit être confirmée</t>
        </is>
      </c>
      <c r="N8" s="8" t="inlineStr">
        <is>
          <t>Élevé</t>
        </is>
      </c>
      <c r="O8" s="8" t="inlineStr">
        <is>
          <t>Non — contenu ultérieur</t>
        </is>
      </c>
      <c r="P8" s="8" t="inlineStr">
        <is>
          <t>À intégrer après validation du prototype</t>
        </is>
      </c>
      <c r="Q8" t="inlineStr">
        <is>
          <t>Ford Model T : véhicule de catégorie « Voiture ancienne », d'origine États-Unis. Motorisation recensée : Essence : 4 cylindres en ligne, soupapes latérales (L-head).. Fiche de catalogue à compléter avec le rôle tactique et les caractéristiques de jeu.</t>
        </is>
      </c>
    </row>
    <row r="9" ht="42" customHeight="1">
      <c r="A9" s="8" t="inlineStr">
        <is>
          <t>Voitures civiles et utilitaires légers</t>
        </is>
      </c>
      <c r="B9" s="8" t="inlineStr">
        <is>
          <t>Ford Model A</t>
        </is>
      </c>
      <c r="C9" s="8" t="inlineStr">
        <is>
          <t>États-Unis</t>
        </is>
      </c>
      <c r="D9" s="8" t="inlineStr">
        <is>
          <t>Voiture ancienne</t>
        </is>
      </c>
      <c r="E9" s="8" t="inlineStr">
        <is>
          <t>À vérifier</t>
        </is>
      </c>
      <c r="F9" s="8" t="inlineStr">
        <is>
          <t>Essence : 4 cylindres en ligne, soupapes latérales.</t>
        </is>
      </c>
      <c r="G9" s="8" t="inlineStr">
        <is>
          <t>I4 Ford Model A</t>
        </is>
      </c>
      <c r="H9" s="8" t="inlineStr">
        <is>
          <t>Ne pas fusionner avec le moteur du Model T uniquement parce que les deux sont des I4 ; famille mécanique distincte.</t>
        </is>
      </c>
      <c r="I9" s="8" t="inlineStr">
        <is>
          <t>À vérifier — donnée de base connue, source dédiée à ajouter</t>
        </is>
      </c>
      <c r="J9" s="8" t="inlineStr">
        <is>
          <t>La configuration est connue historiquement, mais une source technique dédiée au Model A doit être ajoutée avant verrouillage.</t>
        </is>
      </c>
      <c r="K9" s="8" t="inlineStr"/>
      <c r="L9" s="8" t="inlineStr">
        <is>
          <t>Aucun armement fixe standard identifié; arme individuelle/affût de campagne possible selon usage</t>
        </is>
      </c>
      <c r="M9" s="8" t="inlineStr">
        <is>
          <t>Pas d'arme à attribuer par défaut; une arme montée doit être confirmée</t>
        </is>
      </c>
      <c r="N9" s="8" t="inlineStr">
        <is>
          <t>Élevé</t>
        </is>
      </c>
      <c r="O9" s="8" t="inlineStr">
        <is>
          <t>Non — contenu ultérieur</t>
        </is>
      </c>
      <c r="P9" s="8" t="inlineStr">
        <is>
          <t>À intégrer après validation du prototype</t>
        </is>
      </c>
      <c r="Q9" t="inlineStr">
        <is>
          <t>Ford Model A : véhicule de catégorie « Voiture ancienne », d'origine États-Unis. Motorisation recensée : Essence : 4 cylindres en ligne, soupapes latérales.. Variante historique à vérifier avant validation définitive.</t>
        </is>
      </c>
    </row>
    <row r="10" ht="42" customHeight="1">
      <c r="A10" s="8" t="inlineStr">
        <is>
          <t>Voitures civiles et utilitaires légers</t>
        </is>
      </c>
      <c r="B10" s="8" t="inlineStr">
        <is>
          <t>Ford V8 (années 1930)</t>
        </is>
      </c>
      <c r="C10" s="8" t="inlineStr">
        <is>
          <t>États-Unis</t>
        </is>
      </c>
      <c r="D10" s="8" t="inlineStr">
        <is>
          <t>Voiture de tourisme</t>
        </is>
      </c>
      <c r="E10" s="8" t="inlineStr">
        <is>
          <t>À vérifier</t>
        </is>
      </c>
      <c r="F10" s="8" t="inlineStr">
        <is>
          <t>Essence : V8 à soupapes latérales, dit Flathead.</t>
        </is>
      </c>
      <c r="G10" s="8" t="inlineStr">
        <is>
          <t>V8 Ford Flathead (variantes selon année et marché)</t>
        </is>
      </c>
      <c r="H10" s="8" t="inlineStr">
        <is>
          <t>Grande famille intéressante pour le gameplay, mais distinguer les versions selon supports, accessoires, boîte et puissance.</t>
        </is>
      </c>
      <c r="I10" s="8" t="inlineStr">
        <is>
          <t>Documenté — variantes à détailler</t>
        </is>
      </c>
      <c r="J10" s="8" t="inlineStr">
        <is>
          <t>Le terme Flathead désigne l'architecture à soupapes latérales ; les variantes ne sont pas toutes identiques.</t>
        </is>
      </c>
      <c r="K10" s="8" t="inlineStr">
        <is>
          <t>https://performance.ford.com/articles/enthusiasts/newsroom/2025/04/ford-v8-museum ; https://www.diyford.com/ford-flathead-v8-engine-history/</t>
        </is>
      </c>
      <c r="L10" s="8" t="inlineStr">
        <is>
          <t>Aucun armement fixe standard identifié; arme individuelle/affût de campagne possible selon usage</t>
        </is>
      </c>
      <c r="M10" s="8" t="inlineStr">
        <is>
          <t>Pas d'arme à attribuer par défaut; une arme montée doit être confirmée</t>
        </is>
      </c>
      <c r="N10" s="8" t="inlineStr">
        <is>
          <t>Élevé</t>
        </is>
      </c>
      <c r="O10" s="8" t="inlineStr">
        <is>
          <t>Non — contenu ultérieur</t>
        </is>
      </c>
      <c r="P10" s="8" t="inlineStr">
        <is>
          <t>À intégrer après validation du prototype</t>
        </is>
      </c>
      <c r="Q10" t="inlineStr">
        <is>
          <t>Ford V8 (années 1930) : véhicule de catégorie « Voiture de tourisme », d'origine États-Unis. Motorisation recensée : Essence : V8 à soupapes latérales, dit Flathead.. Fiche de catalogue à compléter avec le rôle tactique et les caractéristiques de jeu.</t>
        </is>
      </c>
    </row>
    <row r="11" ht="42" customHeight="1">
      <c r="A11" s="8" t="inlineStr">
        <is>
          <t>Voitures civiles et utilitaires légers</t>
        </is>
      </c>
      <c r="B11" s="8" t="inlineStr">
        <is>
          <t>Chevrolet Master / Special Deluxe</t>
        </is>
      </c>
      <c r="C11" s="8" t="inlineStr">
        <is>
          <t>États-Unis</t>
        </is>
      </c>
      <c r="D11" s="8" t="inlineStr">
        <is>
          <t>Voiture de tourisme</t>
        </is>
      </c>
      <c r="E11" s="8" t="inlineStr">
        <is>
          <t>À vérifier</t>
        </is>
      </c>
      <c r="F11" s="8" t="inlineStr">
        <is>
          <t>Essence : 6 cylindres en ligne, famille Chevrolet Stovebolt ; les versions exactes dépendent de l'année et du sous-modèle.</t>
        </is>
      </c>
      <c r="G11" s="8" t="inlineStr">
        <is>
          <t>I6 Chevrolet Stovebolt (à préciser par année)</t>
        </is>
      </c>
      <c r="H11" s="8" t="inlineStr">
        <is>
          <t>Famille moteur potentiellement partagée avec certains utilitaires GM de période, sous réserve de vérification du bloc et des interfaces.</t>
        </is>
      </c>
      <c r="I11" s="8" t="inlineStr">
        <is>
          <t>Partiellement documenté — sous-modèles à préciser</t>
        </is>
      </c>
      <c r="J11" s="8" t="inlineStr">
        <is>
          <t>Le nom couvre plusieurs années et variantes ; choisir un millésime de référence pour le modèle jouable.</t>
        </is>
      </c>
      <c r="K11" s="8" t="inlineStr"/>
      <c r="L11" s="8" t="inlineStr">
        <is>
          <t>Aucun armement fixe standard identifié; arme individuelle/affût de campagne possible selon usage</t>
        </is>
      </c>
      <c r="M11" s="8" t="inlineStr">
        <is>
          <t>Pas d'arme à attribuer par défaut; une arme montée doit être confirmée</t>
        </is>
      </c>
      <c r="N11" s="8" t="inlineStr">
        <is>
          <t>Élevé</t>
        </is>
      </c>
      <c r="O11" s="8" t="inlineStr">
        <is>
          <t>Non — contenu ultérieur</t>
        </is>
      </c>
      <c r="P11" s="8" t="inlineStr">
        <is>
          <t>À intégrer après validation du prototype</t>
        </is>
      </c>
      <c r="Q11" t="inlineStr">
        <is>
          <t>Chevrolet Master / Special Deluxe : véhicule de catégorie « Voiture de tourisme », d'origine États-Unis. Motorisation recensée : Essence : 6 cylindres en ligne, famille Chevrolet Stovebolt. Variante historique à vérifier avant validation définitive.</t>
        </is>
      </c>
    </row>
    <row r="12" ht="42" customHeight="1">
      <c r="A12" s="8" t="inlineStr">
        <is>
          <t>Voitures civiles et utilitaires légers</t>
        </is>
      </c>
      <c r="B12" s="8" t="inlineStr">
        <is>
          <t>Dodge WC-1 / WC-12</t>
        </is>
      </c>
      <c r="C12" s="8" t="inlineStr">
        <is>
          <t>États-Unis</t>
        </is>
      </c>
      <c r="D12" s="8" t="inlineStr">
        <is>
          <t>Utilitaire léger militaire</t>
        </is>
      </c>
      <c r="E12" s="8" t="inlineStr">
        <is>
          <t>À vérifier</t>
        </is>
      </c>
      <c r="F12" s="8" t="inlineStr">
        <is>
          <t>Essence : 6 cylindres en ligne à soupapes latérales ; les sous-types WC précoces peuvent employer des variantes de moteur Dodge T-207/T-211.</t>
        </is>
      </c>
      <c r="G12" s="8" t="inlineStr">
        <is>
          <t>I6 Dodge flathead (code exact par sous-type à confirmer)</t>
        </is>
      </c>
      <c r="H12" s="8" t="inlineStr">
        <is>
          <t>Famille de moteurs de camion/utilitaire ; ne pas l'assimiler automatiquement au moteur de Jeep ou à tout I6 américain.</t>
        </is>
      </c>
      <c r="I12" s="8" t="inlineStr">
        <is>
          <t>À vérifier — sous-type moteur à confirmer</t>
        </is>
      </c>
      <c r="J12" s="8" t="inlineStr">
        <is>
          <t>Le nom regroupe plusieurs variantes WC ; le code moteur exact doit être vérifié sur documentation technique avant verrouillage.</t>
        </is>
      </c>
      <c r="K12" s="8" t="inlineStr"/>
      <c r="L12" s="8" t="inlineStr">
        <is>
          <t>Pas d'arme fixe standard; affût/mitrailleuse possible sur certaines versions ou conversions</t>
        </is>
      </c>
      <c r="M12" s="8" t="inlineStr">
        <is>
          <t>Mitrailleuse et affût uniquement si présents; châssis conservé</t>
        </is>
      </c>
      <c r="N12" s="8" t="inlineStr">
        <is>
          <t>Partiel</t>
        </is>
      </c>
      <c r="O12" s="8" t="inlineStr">
        <is>
          <t>Non — contenu ultérieur</t>
        </is>
      </c>
      <c r="P12" s="8" t="inlineStr">
        <is>
          <t>À intégrer après validation du prototype</t>
        </is>
      </c>
      <c r="Q12" t="inlineStr">
        <is>
          <t>Dodge WC-1 / WC-12 : véhicule de catégorie « Utilitaire léger militaire », d'origine États-Unis. Motorisation recensée : Essence : 6 cylindres en ligne à soupapes latérales. Variante historique à vérifier avant validation définitive.</t>
        </is>
      </c>
    </row>
    <row r="13" ht="42" customHeight="1">
      <c r="A13" s="14" t="inlineStr">
        <is>
          <t>Voitures civiles et utilitaires légers</t>
        </is>
      </c>
      <c r="B13" s="11" t="inlineStr">
        <is>
          <t>Willys MB</t>
        </is>
      </c>
      <c r="C13" s="14" t="inlineStr">
        <is>
          <t>États-Unis</t>
        </is>
      </c>
      <c r="D13" s="14" t="inlineStr">
        <is>
          <t>Jeep 4x4</t>
        </is>
      </c>
      <c r="E13" s="14" t="inlineStr">
        <is>
          <t>À vérifier</t>
        </is>
      </c>
      <c r="F13" s="14" t="inlineStr">
        <is>
          <t>Essence : 4 cylindres en ligne à soupapes latérales, Willys L134 « Go-Devil ».</t>
        </is>
      </c>
      <c r="G13" s="14" t="inlineStr">
        <is>
          <t>I4 Willys L134 Go-Devil</t>
        </is>
      </c>
      <c r="H13" s="14" t="inlineStr">
        <is>
          <t>Même famille de base que la Ford GPW pour le gameplay ; garder des détails d'accessoires et de montage distincts si nécessaire.</t>
        </is>
      </c>
      <c r="I13" s="14" t="inlineStr">
        <is>
          <t>Documenté</t>
        </is>
      </c>
      <c r="J13" s="14" t="inlineStr">
        <is>
          <t>Le Musée de l'Armée décrit le L134 comme un quatre-cylindres en ligne à soupapes latérales.</t>
        </is>
      </c>
      <c r="K13" s="14" t="inlineStr">
        <is>
          <t>https://collectionjeandelpech.musee-armee.fr/en/the-collection/moteur-jeep</t>
        </is>
      </c>
      <c r="L13" s="14" t="inlineStr">
        <is>
          <t>Aucun armement fixe standard identifié; arme individuelle/affût de campagne possible selon usage</t>
        </is>
      </c>
      <c r="M13" s="14" t="inlineStr">
        <is>
          <t>Pas d'arme à attribuer par défaut; une arme montée doit être confirmée</t>
        </is>
      </c>
      <c r="N13" s="14" t="inlineStr">
        <is>
          <t>Élevé</t>
        </is>
      </c>
      <c r="O13" s="11" t="inlineStr">
        <is>
          <t>OUI — PROTOTYPE</t>
        </is>
      </c>
      <c r="P13" s="14" t="inlineStr">
        <is>
          <t>Véhicule polyvalent de départ</t>
        </is>
      </c>
      <c r="Q13" t="inlineStr">
        <is>
          <t>Willys MB : véhicule de catégorie « Jeep 4x4 », d'origine États-Unis. Motorisation recensée : Essence : 4 cylindres en ligne à soupapes latérales, Willys L134 « Go-Devil ».. Fiche de catalogue à compléter avec le rôle tactique et les caractéristiques de jeu.</t>
        </is>
      </c>
    </row>
    <row r="14" ht="42" customHeight="1">
      <c r="A14" s="8" t="inlineStr">
        <is>
          <t>Voitures civiles et utilitaires légers</t>
        </is>
      </c>
      <c r="B14" s="8" t="inlineStr">
        <is>
          <t>Ford GPW</t>
        </is>
      </c>
      <c r="C14" s="8" t="inlineStr">
        <is>
          <t>États-Unis</t>
        </is>
      </c>
      <c r="D14" s="8" t="inlineStr">
        <is>
          <t>Jeep 4x4</t>
        </is>
      </c>
      <c r="E14" s="8" t="inlineStr">
        <is>
          <t>À vérifier</t>
        </is>
      </c>
      <c r="F14" s="8" t="inlineStr">
        <is>
          <t>Essence : 4 cylindres en ligne à soupapes latérales, Ford GPW dérivé du moteur de Jeep de la famille L134.</t>
        </is>
      </c>
      <c r="G14" s="8" t="inlineStr">
        <is>
          <t>I4 Willys/Ford GPW L134 — famille commune de gameplay</t>
        </is>
      </c>
      <c r="H14" s="8" t="inlineStr">
        <is>
          <t>Pour le gameplay, moteur commun à la Willys MB ; pièces périphériques et numéros de série peuvent différer historiquement.</t>
        </is>
      </c>
      <c r="I14" s="8" t="inlineStr">
        <is>
          <t>Documenté — équivalence de famille</t>
        </is>
      </c>
      <c r="J14" s="8" t="inlineStr">
        <is>
          <t>Les GPW utilisaient le moteur de spécification Jeep correspondant ; la standardisation est adaptée au jeu.</t>
        </is>
      </c>
      <c r="K14" s="8" t="inlineStr">
        <is>
          <t>https://collectionjeandelpech.musee-armee.fr/en/the-collection/moteur-jeep</t>
        </is>
      </c>
      <c r="L14" s="8" t="inlineStr">
        <is>
          <t>Aucun armement fixe standard identifié; arme individuelle/affût de campagne possible selon usage</t>
        </is>
      </c>
      <c r="M14" s="8" t="inlineStr">
        <is>
          <t>Pas d'arme à attribuer par défaut; une arme montée doit être confirmée</t>
        </is>
      </c>
      <c r="N14" s="8" t="inlineStr">
        <is>
          <t>Élevé</t>
        </is>
      </c>
      <c r="O14" s="8" t="inlineStr">
        <is>
          <t>Non — contenu ultérieur</t>
        </is>
      </c>
      <c r="P14" s="8" t="inlineStr">
        <is>
          <t>À intégrer après validation du prototype</t>
        </is>
      </c>
      <c r="Q14" t="inlineStr">
        <is>
          <t>Ford GPW : véhicule de catégorie « Jeep 4x4 », d'origine États-Unis. Motorisation recensée : Essence : 4 cylindres en ligne à soupapes latérales, Ford GPW dérivé du moteur de Jeep de la famille L134.. Fiche de catalogue à compléter avec le rôle tactique et les caractéristiques de jeu.</t>
        </is>
      </c>
    </row>
    <row r="15" ht="42" customHeight="1">
      <c r="A15" s="8" t="inlineStr">
        <is>
          <t>Voitures civiles et utilitaires légers</t>
        </is>
      </c>
      <c r="B15" s="8" t="inlineStr">
        <is>
          <t>Volkswagen Kübelwagen Type 82</t>
        </is>
      </c>
      <c r="C15" s="8" t="inlineStr">
        <is>
          <t>Allemagne</t>
        </is>
      </c>
      <c r="D15" s="8" t="inlineStr">
        <is>
          <t>Utilitaire léger militaire</t>
        </is>
      </c>
      <c r="E15" s="8" t="inlineStr">
        <is>
          <t>À vérifier</t>
        </is>
      </c>
      <c r="F15" s="8" t="inlineStr">
        <is>
          <t>Essence : 4 cylindres à plat opposés, refroidissement par air ; moteur d'environ 1,0 L au début, puis 1,1 L à partir de 1943.</t>
        </is>
      </c>
      <c r="G15" s="8" t="inlineStr">
        <is>
          <t>Flat-4 Volkswagen refroidi par air (1,0 / 1,1)</t>
        </is>
      </c>
      <c r="H15" s="8" t="inlineStr">
        <is>
          <t>Famille commune avec le Schwimmwagen, mais le Type 82 et le Type 166 doivent garder leurs contraintes d'installation et de transmission.</t>
        </is>
      </c>
      <c r="I15" s="8" t="inlineStr">
        <is>
          <t>Documenté</t>
        </is>
      </c>
      <c r="J15" s="8" t="inlineStr">
        <is>
          <t>La variante 1,1 L apparaît à partir de mars 1943 selon le Museu do Caramulo.</t>
        </is>
      </c>
      <c r="K15" s="8" t="inlineStr">
        <is>
          <t>https://www.museudocaramulo.pt/en/colecoes/automoveis/volkswagen-kubelwagen-2/ ; https://www.oorlogsmuseum.nl/en/events/militracks/participating-vehicles/vw-typ-82-kubelwagen/</t>
        </is>
      </c>
      <c r="L15" s="8" t="inlineStr">
        <is>
          <t>Aucun armement fixe standard identifié; arme individuelle/affût de campagne possible selon usage</t>
        </is>
      </c>
      <c r="M15" s="8" t="inlineStr">
        <is>
          <t>Pas d'arme à attribuer par défaut; une arme montée doit être confirmée</t>
        </is>
      </c>
      <c r="N15" s="8" t="inlineStr">
        <is>
          <t>Élevé</t>
        </is>
      </c>
      <c r="O15" s="8" t="inlineStr">
        <is>
          <t>Non — contenu ultérieur</t>
        </is>
      </c>
      <c r="P15" s="8" t="inlineStr">
        <is>
          <t>À intégrer après validation du prototype</t>
        </is>
      </c>
      <c r="Q15" t="inlineStr">
        <is>
          <t>Volkswagen Kübelwagen Type 82 : véhicule de catégorie « Utilitaire léger militaire », d'origine Allemagne. Motorisation recensée : Essence : 4 cylindres à plat opposés, refroidissement par air. Fiche de catalogue à compléter avec le rôle tactique et les caractéristiques de jeu.</t>
        </is>
      </c>
    </row>
    <row r="16" ht="42" customHeight="1">
      <c r="A16" s="8" t="inlineStr">
        <is>
          <t>Voitures civiles et utilitaires légers</t>
        </is>
      </c>
      <c r="B16" s="8" t="inlineStr">
        <is>
          <t>Volkswagen Schwimmwagen Type 166</t>
        </is>
      </c>
      <c r="C16" s="8" t="inlineStr">
        <is>
          <t>Allemagne</t>
        </is>
      </c>
      <c r="D16" s="8" t="inlineStr">
        <is>
          <t>Utilitaire amphibie</t>
        </is>
      </c>
      <c r="E16" s="8" t="inlineStr">
        <is>
          <t>À vérifier</t>
        </is>
      </c>
      <c r="F16" s="8" t="inlineStr">
        <is>
          <t>Essence : 4 cylindres à plat opposés refroidis par air, 1,1 L environ.</t>
        </is>
      </c>
      <c r="G16" s="8" t="inlineStr">
        <is>
          <t>Flat-4 Volkswagen refroidi par air 1,1</t>
        </is>
      </c>
      <c r="H16" s="8" t="inlineStr">
        <is>
          <t>Famille moteur apparentée/commune au Kübelwagen ; transmission amphibie et accessoires spécifiques au Type 166.</t>
        </is>
      </c>
      <c r="I16" s="8" t="inlineStr">
        <is>
          <t>Documenté</t>
        </is>
      </c>
      <c r="J16" s="8" t="inlineStr">
        <is>
          <t>Le moteur entraîne également l'hélice arrière par un arbre dédié.</t>
        </is>
      </c>
      <c r="K16" s="8" t="inlineStr">
        <is>
          <t>https://www.louwmanmuseum.nl/en/collections/automobiles/volkswagen-166-schwimmwagen ; https://schwimmwagen.com/technical/</t>
        </is>
      </c>
      <c r="L16" s="8" t="inlineStr">
        <is>
          <t>Aucun armement fixe standard identifié; arme individuelle/affût de campagne possible selon usage</t>
        </is>
      </c>
      <c r="M16" s="8" t="inlineStr">
        <is>
          <t>Pas d'arme à attribuer par défaut; une arme montée doit être confirmée</t>
        </is>
      </c>
      <c r="N16" s="8" t="inlineStr">
        <is>
          <t>Élevé</t>
        </is>
      </c>
      <c r="O16" s="8" t="inlineStr">
        <is>
          <t>Non — contenu ultérieur</t>
        </is>
      </c>
      <c r="P16" s="8" t="inlineStr">
        <is>
          <t>À intégrer après validation du prototype</t>
        </is>
      </c>
      <c r="Q16" t="inlineStr">
        <is>
          <t>Volkswagen Schwimmwagen Type 166 : véhicule de catégorie « Utilitaire amphibie », d'origine Allemagne. Motorisation recensée : Essence : 4 cylindres à plat opposés refroidis par air, 1,1 L environ.. Fiche de catalogue à compléter avec le rôle tactique et les caractéristiques de jeu.</t>
        </is>
      </c>
    </row>
    <row r="17" ht="42" customHeight="1">
      <c r="A17" s="8" t="inlineStr">
        <is>
          <t>Voitures civiles et utilitaires légers</t>
        </is>
      </c>
      <c r="B17" s="8" t="inlineStr">
        <is>
          <t>Mercedes-Benz 170 V</t>
        </is>
      </c>
      <c r="C17" s="8" t="inlineStr">
        <is>
          <t>Allemagne</t>
        </is>
      </c>
      <c r="D17" s="8" t="inlineStr">
        <is>
          <t>Voiture/utilitaire</t>
        </is>
      </c>
      <c r="E17" s="8" t="inlineStr">
        <is>
          <t>À vérifier</t>
        </is>
      </c>
      <c r="F17" s="8" t="inlineStr">
        <is>
          <t>Essence : 4 cylindres en ligne, moteur Mercedes-Benz M136, environ 1,7 L.</t>
        </is>
      </c>
      <c r="G17" s="8" t="inlineStr">
        <is>
          <t>I4 Mercedes M136</t>
        </is>
      </c>
      <c r="H17" s="8" t="inlineStr">
        <is>
          <t>Famille de tourisme Mercedes ; transfert vers d'autres véhicules soumis à l'encombrement, au refroidissement et aux supports.</t>
        </is>
      </c>
      <c r="I17" s="8" t="inlineStr">
        <is>
          <t>Documenté</t>
        </is>
      </c>
      <c r="J17" s="8" t="inlineStr">
        <is>
          <t>Le document Mercedes-Benz Club France décrit le moteur M136 à quatre cylindres.</t>
        </is>
      </c>
      <c r="K17" s="8" t="inlineStr">
        <is>
          <t>https://mb-france.mercedes-benz-clubs.com/wp-content/uploads/sites/21/2021/03/202103-170V.pdf</t>
        </is>
      </c>
      <c r="L17" s="8" t="inlineStr">
        <is>
          <t>Aucun armement fixe standard identifié; arme individuelle/affût de campagne possible selon usage</t>
        </is>
      </c>
      <c r="M17" s="8" t="inlineStr">
        <is>
          <t>Pas d'arme à attribuer par défaut; une arme montée doit être confirmée</t>
        </is>
      </c>
      <c r="N17" s="8" t="inlineStr">
        <is>
          <t>Élevé</t>
        </is>
      </c>
      <c r="O17" s="8" t="inlineStr">
        <is>
          <t>Non — contenu ultérieur</t>
        </is>
      </c>
      <c r="P17" s="8" t="inlineStr">
        <is>
          <t>À intégrer après validation du prototype</t>
        </is>
      </c>
      <c r="Q17" t="inlineStr">
        <is>
          <t>Mercedes-Benz 170 V : véhicule de catégorie « Voiture/utilitaire », d'origine Allemagne. Motorisation recensée : Essence : 4 cylindres en ligne, moteur Mercedes-Benz M136, environ 1,7 L.. Fiche de catalogue à compléter avec le rôle tactique et les caractéristiques de jeu.</t>
        </is>
      </c>
    </row>
    <row r="18" ht="42" customHeight="1">
      <c r="A18" s="8" t="inlineStr">
        <is>
          <t>Voitures civiles et utilitaires légers</t>
        </is>
      </c>
      <c r="B18" s="8" t="inlineStr">
        <is>
          <t>Opel Olympia</t>
        </is>
      </c>
      <c r="C18" s="8" t="inlineStr">
        <is>
          <t>Allemagne</t>
        </is>
      </c>
      <c r="D18" s="8" t="inlineStr">
        <is>
          <t>Voiture de tourisme</t>
        </is>
      </c>
      <c r="E18" s="8" t="inlineStr">
        <is>
          <t>À vérifier</t>
        </is>
      </c>
      <c r="F18" s="8" t="inlineStr">
        <is>
          <t>Essence : 4 cylindres en ligne à soupapes latérales, environ 1,3 L pour la première génération.</t>
        </is>
      </c>
      <c r="G18" s="8" t="inlineStr">
        <is>
          <t>I4 Opel Olympia 1.3</t>
        </is>
      </c>
      <c r="H18" s="8" t="inlineStr">
        <is>
          <t>Famille Opel à distinguer des moteurs GM américains malgré l'appartenance ultérieure à un même groupe industriel.</t>
        </is>
      </c>
      <c r="I18" s="8" t="inlineStr">
        <is>
          <t>Documenté — variantes à préciser</t>
        </is>
      </c>
      <c r="J18" s="8" t="inlineStr">
        <is>
          <t>La gamme Olympia a évolué ; la première génération est la référence à retenir pour le catalogue d'avant-guerre.</t>
        </is>
      </c>
      <c r="K18" s="8" t="inlineStr">
        <is>
          <t>https://fr.wikipedia.org/wiki/Opel_Olympia</t>
        </is>
      </c>
      <c r="L18" s="8" t="inlineStr">
        <is>
          <t>Aucun armement fixe standard identifié; arme individuelle/affût de campagne possible selon usage</t>
        </is>
      </c>
      <c r="M18" s="8" t="inlineStr">
        <is>
          <t>Pas d'arme à attribuer par défaut; une arme montée doit être confirmée</t>
        </is>
      </c>
      <c r="N18" s="8" t="inlineStr">
        <is>
          <t>Élevé</t>
        </is>
      </c>
      <c r="O18" s="8" t="inlineStr">
        <is>
          <t>Non — contenu ultérieur</t>
        </is>
      </c>
      <c r="P18" s="8" t="inlineStr">
        <is>
          <t>À intégrer après validation du prototype</t>
        </is>
      </c>
      <c r="Q18" t="inlineStr">
        <is>
          <t>Opel Olympia : véhicule de catégorie « Voiture de tourisme », d'origine Allemagne. Motorisation recensée : Essence : 4 cylindres en ligne à soupapes latérales, environ 1,3 L pour la première génération.. Fiche de catalogue à compléter avec le rôle tactique et les caractéristiques de jeu.</t>
        </is>
      </c>
    </row>
    <row r="19" ht="42" customHeight="1">
      <c r="A19" s="8" t="inlineStr">
        <is>
          <t>Voitures civiles et utilitaires légers</t>
        </is>
      </c>
      <c r="B19" s="8" t="inlineStr">
        <is>
          <t>Horch 830 / 901</t>
        </is>
      </c>
      <c r="C19" s="8" t="inlineStr">
        <is>
          <t>Allemagne</t>
        </is>
      </c>
      <c r="D19" s="8" t="inlineStr">
        <is>
          <t>Voiture/voiture de commandement</t>
        </is>
      </c>
      <c r="E19" s="8" t="inlineStr">
        <is>
          <t>À vérifier</t>
        </is>
      </c>
      <c r="F19" s="8" t="inlineStr">
        <is>
          <t>Horch 830 : V8 essence. Horch 901 militaire : moteur V8 de la famille Horch, variante exacte à vérifier selon version.</t>
        </is>
      </c>
      <c r="G19" s="8" t="inlineStr">
        <is>
          <t>V8 Horch (830 civil / 901 militaire à confirmer par sous-type)</t>
        </is>
      </c>
      <c r="H19" s="8" t="inlineStr">
        <is>
          <t>Ne pas déclarer les moteurs 830 et 901 interchangeables avant comparaison des références, supports et accessoires.</t>
        </is>
      </c>
      <c r="I19" s="8" t="inlineStr">
        <is>
          <t>Partiellement documenté — 901 à vérifier</t>
        </is>
      </c>
      <c r="J19" s="8" t="inlineStr">
        <is>
          <t>Le modèle 830 est confirmé comme V8 ; la famille exacte du 901 doit être confirmée sur une source technique dédiée.</t>
        </is>
      </c>
      <c r="K19" s="8" t="inlineStr">
        <is>
          <t>https://www.motor-car.net/german-makes/horch/item/16515-horch-830 ; https://www.traumautoarchiv.de/html/1437.html</t>
        </is>
      </c>
      <c r="L19" s="8" t="inlineStr">
        <is>
          <t>Aucun armement fixe standard identifié; arme individuelle/affût de campagne possible selon usage</t>
        </is>
      </c>
      <c r="M19" s="8" t="inlineStr">
        <is>
          <t>Pas d'arme à attribuer par défaut; une arme montée doit être confirmée</t>
        </is>
      </c>
      <c r="N19" s="8" t="inlineStr">
        <is>
          <t>Élevé</t>
        </is>
      </c>
      <c r="O19" s="8" t="inlineStr">
        <is>
          <t>Non — contenu ultérieur</t>
        </is>
      </c>
      <c r="P19" s="8" t="inlineStr">
        <is>
          <t>À intégrer après validation du prototype</t>
        </is>
      </c>
      <c r="Q19" t="inlineStr">
        <is>
          <t>Horch 830 / 901 : véhicule de catégorie « Voiture/voiture de commandement », d'origine Allemagne. Motorisation recensée : Horch 830 : V8 essence. Horch 901 militaire : moteur V8 de la famille Horch, variante exacte à vérifier selon…. Variante historique à vérifier avant validation définitive.</t>
        </is>
      </c>
    </row>
    <row r="20" ht="42" customHeight="1">
      <c r="A20" s="8" t="inlineStr">
        <is>
          <t>Voitures civiles et utilitaires légers</t>
        </is>
      </c>
      <c r="B20" s="8" t="inlineStr">
        <is>
          <t>BMW 326</t>
        </is>
      </c>
      <c r="C20" s="8" t="inlineStr">
        <is>
          <t>Allemagne</t>
        </is>
      </c>
      <c r="D20" s="8" t="inlineStr">
        <is>
          <t>Voiture de tourisme</t>
        </is>
      </c>
      <c r="E20" s="8" t="inlineStr">
        <is>
          <t>À vérifier</t>
        </is>
      </c>
      <c r="F20" s="8" t="inlineStr">
        <is>
          <t>Essence : 6 cylindres en ligne, moteur BMW d'environ 2,0 L.</t>
        </is>
      </c>
      <c r="G20" s="8" t="inlineStr">
        <is>
          <t>I6 BMW M78 / famille 326 (code à confirmer selon nomenclature de catalogue)</t>
        </is>
      </c>
      <c r="H20" s="8" t="inlineStr">
        <is>
          <t>Famille de tourisme BMW ; éviter de la fusionner avec les six cylindres d'autres marques sur la seule base de l'architecture.</t>
        </is>
      </c>
      <c r="I20" s="8" t="inlineStr">
        <is>
          <t>Documenté</t>
        </is>
      </c>
      <c r="J20" s="8" t="inlineStr">
        <is>
          <t>BMW Group Classic confirme le six-cylindres en ligne et la période 1936–1941.</t>
        </is>
      </c>
      <c r="K20" s="8" t="inlineStr">
        <is>
          <t>https://www.bmwgroup-classic.com/en/models/bmw-classics/product-description-page.ad-116-1.bmw-326-model.html</t>
        </is>
      </c>
      <c r="L20" s="8" t="inlineStr">
        <is>
          <t>Aucun armement fixe standard identifié; arme individuelle/affût de campagne possible selon usage</t>
        </is>
      </c>
      <c r="M20" s="8" t="inlineStr">
        <is>
          <t>Pas d'arme à attribuer par défaut; une arme montée doit être confirmée</t>
        </is>
      </c>
      <c r="N20" s="8" t="inlineStr">
        <is>
          <t>Élevé</t>
        </is>
      </c>
      <c r="O20" s="8" t="inlineStr">
        <is>
          <t>Non — contenu ultérieur</t>
        </is>
      </c>
      <c r="P20" s="8" t="inlineStr">
        <is>
          <t>À intégrer après validation du prototype</t>
        </is>
      </c>
      <c r="Q20" t="inlineStr">
        <is>
          <t>BMW 326 : véhicule de catégorie « Voiture de tourisme », d'origine Allemagne. Motorisation recensée : Essence : 6 cylindres en ligne, moteur BMW d'environ 2,0 L.. Fiche de catalogue à compléter avec le rôle tactique et les caractéristiques de jeu.</t>
        </is>
      </c>
    </row>
    <row r="21" ht="42" customHeight="1">
      <c r="A21" s="8" t="inlineStr">
        <is>
          <t>Voitures civiles et utilitaires légers</t>
        </is>
      </c>
      <c r="B21" s="8" t="inlineStr">
        <is>
          <t>Fiat 508 Balilla</t>
        </is>
      </c>
      <c r="C21" s="8" t="inlineStr">
        <is>
          <t>Italie</t>
        </is>
      </c>
      <c r="D21" s="8" t="inlineStr">
        <is>
          <t>Voiture de tourisme</t>
        </is>
      </c>
      <c r="E21" s="8" t="inlineStr">
        <is>
          <t>À vérifier</t>
        </is>
      </c>
      <c r="F21" s="8" t="inlineStr">
        <is>
          <t>Essence : 4 cylindres en ligne, environ 1,0 L sur la 508 d'origine ; premières versions à soupapes latérales, variantes ultérieures à vérifier.</t>
        </is>
      </c>
      <c r="G21" s="8" t="inlineStr">
        <is>
          <t>I4 Fiat type 108 / 508</t>
        </is>
      </c>
      <c r="H21" s="8" t="inlineStr">
        <is>
          <t>Famille propre à la Fiat 508 ; ne pas confondre avec le moteur plus moderne de la 508 C/Fiat 1100.</t>
        </is>
      </c>
      <c r="I21" s="8" t="inlineStr">
        <is>
          <t>Documenté — variantes à préciser</t>
        </is>
      </c>
      <c r="J21" s="8" t="inlineStr">
        <is>
          <t>La 508 C, appelée ensuite Fiat 1100, reçoit une motorisation distincte.</t>
        </is>
      </c>
      <c r="K21" s="8" t="inlineStr">
        <is>
          <t>https://fr.wikipedia.org/wiki/Fiat_508_Balilla</t>
        </is>
      </c>
      <c r="L21" s="8" t="inlineStr">
        <is>
          <t>Aucun armement fixe standard identifié; arme individuelle/affût de campagne possible selon usage</t>
        </is>
      </c>
      <c r="M21" s="8" t="inlineStr">
        <is>
          <t>Pas d'arme à attribuer par défaut; une arme montée doit être confirmée</t>
        </is>
      </c>
      <c r="N21" s="8" t="inlineStr">
        <is>
          <t>Élevé</t>
        </is>
      </c>
      <c r="O21" s="8" t="inlineStr">
        <is>
          <t>Non — contenu ultérieur</t>
        </is>
      </c>
      <c r="P21" s="8" t="inlineStr">
        <is>
          <t>À intégrer après validation du prototype</t>
        </is>
      </c>
      <c r="Q21" t="inlineStr">
        <is>
          <t>Fiat 508 Balilla : véhicule de catégorie « Voiture de tourisme », d'origine Italie. Motorisation recensée : Essence : 4 cylindres en ligne, environ 1,0 L sur la 508 d'origine. Fiche de catalogue à compléter avec le rôle tactique et les caractéristiques de jeu.</t>
        </is>
      </c>
    </row>
    <row r="22" ht="42" customHeight="1">
      <c r="A22" s="8" t="inlineStr">
        <is>
          <t>Voitures civiles et utilitaires légers</t>
        </is>
      </c>
      <c r="B22" s="8" t="inlineStr">
        <is>
          <t>Fiat 1100</t>
        </is>
      </c>
      <c r="C22" s="8" t="inlineStr">
        <is>
          <t>Italie</t>
        </is>
      </c>
      <c r="D22" s="8" t="inlineStr">
        <is>
          <t>Voiture de tourisme</t>
        </is>
      </c>
      <c r="E22" s="8" t="inlineStr">
        <is>
          <t>À vérifier</t>
        </is>
      </c>
      <c r="F22" s="8" t="inlineStr">
        <is>
          <t>Essence : 4 cylindres en ligne à soupapes en tête, moteur Fiat type 108C sur la 508 C de 1937.</t>
        </is>
      </c>
      <c r="G22" s="8" t="inlineStr">
        <is>
          <t>I4 Fiat 108C / 508 C / 1100</t>
        </is>
      </c>
      <c r="H22" s="8" t="inlineStr">
        <is>
          <t>Famille partagée entre Fiat 508 C et Fiat 1100 initiale ; valider les versions et les supports avant d'étendre à d'autres Fiat.</t>
        </is>
      </c>
      <c r="I22" s="8" t="inlineStr">
        <is>
          <t>Documenté</t>
        </is>
      </c>
      <c r="J22" s="8" t="inlineStr">
        <is>
          <t>Le moteur de la 508 C est différent du moteur de la Balilla originale.</t>
        </is>
      </c>
      <c r="K22" s="8" t="inlineStr">
        <is>
          <t>https://www.carabinieri.it/chi-siamo/ieri/mezzi/dalla-balilla- ; https://en.wikipedia.org/wiki/Fiat_1100_(1937)</t>
        </is>
      </c>
      <c r="L22" s="8" t="inlineStr">
        <is>
          <t>Aucun armement fixe standard identifié; arme individuelle/affût de campagne possible selon usage</t>
        </is>
      </c>
      <c r="M22" s="8" t="inlineStr">
        <is>
          <t>Pas d'arme à attribuer par défaut; une arme montée doit être confirmée</t>
        </is>
      </c>
      <c r="N22" s="8" t="inlineStr">
        <is>
          <t>Élevé</t>
        </is>
      </c>
      <c r="O22" s="8" t="inlineStr">
        <is>
          <t>Non — contenu ultérieur</t>
        </is>
      </c>
      <c r="P22" s="8" t="inlineStr">
        <is>
          <t>À intégrer après validation du prototype</t>
        </is>
      </c>
      <c r="Q22" t="inlineStr">
        <is>
          <t>Fiat 1100 : véhicule de catégorie « Voiture de tourisme », d'origine Italie. Motorisation recensée : Essence : 4 cylindres en ligne à soupapes en tête, moteur Fiat type 108C sur la 508 C de 1937.. Fiche de catalogue à compléter avec le rôle tactique et les caractéristiques de jeu.</t>
        </is>
      </c>
    </row>
    <row r="23" ht="42" customHeight="1">
      <c r="A23" s="8" t="inlineStr">
        <is>
          <t>Voitures civiles et utilitaires légers</t>
        </is>
      </c>
      <c r="B23" s="8" t="inlineStr">
        <is>
          <t>Lancia Aprilia</t>
        </is>
      </c>
      <c r="C23" s="8" t="inlineStr">
        <is>
          <t>Italie</t>
        </is>
      </c>
      <c r="D23" s="8" t="inlineStr">
        <is>
          <t>Voiture de tourisme</t>
        </is>
      </c>
      <c r="E23" s="8" t="inlineStr">
        <is>
          <t>À vérifier</t>
        </is>
      </c>
      <c r="F23" s="8" t="inlineStr">
        <is>
          <t>Essence : V4 à angle très fermé (moteur V étroit), environ 1,35 L pour la première série d'avant-guerre.</t>
        </is>
      </c>
      <c r="G23" s="8" t="inlineStr">
        <is>
          <t>V4 étroit Lancia Aprilia</t>
        </is>
      </c>
      <c r="H23" s="8" t="inlineStr">
        <is>
          <t>Architecture rare et compacte ; famille distincte des V4 conventionnels. La géométrie et l'accès mécanique doivent être spécifiques.</t>
        </is>
      </c>
      <c r="I23" s="8" t="inlineStr">
        <is>
          <t>Documenté</t>
        </is>
      </c>
      <c r="J23" s="8" t="inlineStr">
        <is>
          <t>La motorisation d'avant-guerre est distincte de l'évolution de cylindrée introduite après-guerre.</t>
        </is>
      </c>
      <c r="K23" s="8" t="inlineStr">
        <is>
          <t>https://www.fmm.co.za/collection-in-action-lancia-aprilia/</t>
        </is>
      </c>
      <c r="L23" s="8" t="inlineStr">
        <is>
          <t>Aucun armement fixe standard identifié; arme individuelle/affût de campagne possible selon usage</t>
        </is>
      </c>
      <c r="M23" s="8" t="inlineStr">
        <is>
          <t>Pas d'arme à attribuer par défaut; une arme montée doit être confirmée</t>
        </is>
      </c>
      <c r="N23" s="8" t="inlineStr">
        <is>
          <t>Élevé</t>
        </is>
      </c>
      <c r="O23" s="8" t="inlineStr">
        <is>
          <t>Non — contenu ultérieur</t>
        </is>
      </c>
      <c r="P23" s="8" t="inlineStr">
        <is>
          <t>À intégrer après validation du prototype</t>
        </is>
      </c>
      <c r="Q23" t="inlineStr">
        <is>
          <t>Lancia Aprilia : véhicule de catégorie « Voiture de tourisme », d'origine Italie. Motorisation recensée : Essence : V4 à angle très fermé (moteur V étroit), environ 1,35 L pour la première série d'avant-guerre.. Fiche de catalogue à compléter avec le rôle tactique et les caractéristiques de jeu.</t>
        </is>
      </c>
    </row>
    <row r="24" ht="42" customHeight="1">
      <c r="A24" s="8" t="inlineStr">
        <is>
          <t>Voitures civiles et utilitaires légers</t>
        </is>
      </c>
      <c r="B24" s="8" t="inlineStr">
        <is>
          <t>Austin 10</t>
        </is>
      </c>
      <c r="C24" s="8" t="inlineStr">
        <is>
          <t>Royaume-Uni</t>
        </is>
      </c>
      <c r="D24" s="8" t="inlineStr">
        <is>
          <t>Voiture de tourisme</t>
        </is>
      </c>
      <c r="E24" s="8" t="inlineStr">
        <is>
          <t>À vérifier</t>
        </is>
      </c>
      <c r="F24" s="8" t="inlineStr">
        <is>
          <t>Essence : 4 cylindres en ligne à soupapes latérales, environ 1,1 L.</t>
        </is>
      </c>
      <c r="G24" s="8" t="inlineStr">
        <is>
          <t>I4 Austin Ten</t>
        </is>
      </c>
      <c r="H24" s="8" t="inlineStr">
        <is>
          <t>Famille de petite voiture britannique ; compatibilité avec Morris à évaluer, sans les fusionner par défaut.</t>
        </is>
      </c>
      <c r="I24" s="8" t="inlineStr">
        <is>
          <t>Documenté</t>
        </is>
      </c>
      <c r="J24" s="8" t="inlineStr">
        <is>
          <t>Les variantes de carrosserie ne changent pas nécessairement le moteur, mais le millésime doit être enregistré.</t>
        </is>
      </c>
      <c r="K24" s="8" t="inlineStr">
        <is>
          <t>https://www.ivvcc.ie/wp-content/uploads/2019/10/Summer-2019.pdf ; https://en.wikipedia.org/wiki/Austin_10</t>
        </is>
      </c>
      <c r="L24" s="8" t="inlineStr">
        <is>
          <t>Aucun armement fixe standard identifié; arme individuelle/affût de campagne possible selon usage</t>
        </is>
      </c>
      <c r="M24" s="8" t="inlineStr">
        <is>
          <t>Pas d'arme à attribuer par défaut; une arme montée doit être confirmée</t>
        </is>
      </c>
      <c r="N24" s="8" t="inlineStr">
        <is>
          <t>Élevé</t>
        </is>
      </c>
      <c r="O24" s="8" t="inlineStr">
        <is>
          <t>Non — contenu ultérieur</t>
        </is>
      </c>
      <c r="P24" s="8" t="inlineStr">
        <is>
          <t>À intégrer après validation du prototype</t>
        </is>
      </c>
      <c r="Q24" t="inlineStr">
        <is>
          <t>Austin 10 : véhicule de catégorie « Voiture de tourisme », d'origine Royaume-Uni. Motorisation recensée : Essence : 4 cylindres en ligne à soupapes latérales, environ 1,1 L.. Fiche de catalogue à compléter avec le rôle tactique et les caractéristiques de jeu.</t>
        </is>
      </c>
    </row>
    <row r="25" ht="42" customHeight="1">
      <c r="A25" s="8" t="inlineStr">
        <is>
          <t>Voitures civiles et utilitaires légers</t>
        </is>
      </c>
      <c r="B25" s="8" t="inlineStr">
        <is>
          <t>Morris 8</t>
        </is>
      </c>
      <c r="C25" s="8" t="inlineStr">
        <is>
          <t>Royaume-Uni</t>
        </is>
      </c>
      <c r="D25" s="8" t="inlineStr">
        <is>
          <t>Voiture de tourisme</t>
        </is>
      </c>
      <c r="E25" s="8" t="inlineStr">
        <is>
          <t>À vérifier</t>
        </is>
      </c>
      <c r="F25" s="8" t="inlineStr">
        <is>
          <t>Essence : 4 cylindres en ligne à soupapes latérales, moteur Morris Type UB, environ 0,92 L.</t>
        </is>
      </c>
      <c r="G25" s="8" t="inlineStr">
        <is>
          <t>I4 Morris UB</t>
        </is>
      </c>
      <c r="H25" s="8" t="inlineStr">
        <is>
          <t>Famille compacte distincte de l'Austin 10 ; compatibilité avec d'autres moteurs britanniques à vérifier.</t>
        </is>
      </c>
      <c r="I25" s="8" t="inlineStr">
        <is>
          <t>Documenté</t>
        </is>
      </c>
      <c r="J25" s="8" t="inlineStr">
        <is>
          <t>Les caractéristiques citées concernent les premières séries Morris Eight.</t>
        </is>
      </c>
      <c r="K25" s="8" t="inlineStr">
        <is>
          <t>https://www.christies.com/en/lot/lot-889151 ; https://www.motor-car.net/morris/item/12152-eight-series-i-1935-37</t>
        </is>
      </c>
      <c r="L25" s="8" t="inlineStr">
        <is>
          <t>Aucun armement fixe standard identifié; arme individuelle/affût de campagne possible selon usage</t>
        </is>
      </c>
      <c r="M25" s="8" t="inlineStr">
        <is>
          <t>Pas d'arme à attribuer par défaut; une arme montée doit être confirmée</t>
        </is>
      </c>
      <c r="N25" s="8" t="inlineStr">
        <is>
          <t>Élevé</t>
        </is>
      </c>
      <c r="O25" s="8" t="inlineStr">
        <is>
          <t>Non — contenu ultérieur</t>
        </is>
      </c>
      <c r="P25" s="8" t="inlineStr">
        <is>
          <t>À intégrer après validation du prototype</t>
        </is>
      </c>
      <c r="Q25" t="inlineStr">
        <is>
          <t>Morris 8 : véhicule de catégorie « Voiture de tourisme », d'origine Royaume-Uni. Motorisation recensée : Essence : 4 cylindres en ligne à soupapes latérales, moteur Morris Type UB, environ 0,92 L.. Fiche de catalogue à compléter avec le rôle tactique et les caractéristiques de jeu.</t>
        </is>
      </c>
    </row>
    <row r="26" ht="42" customHeight="1">
      <c r="A26" s="8" t="inlineStr">
        <is>
          <t>Motos et side-cars</t>
        </is>
      </c>
      <c r="B26" s="8" t="inlineStr">
        <is>
          <t>Harley-Davidson WLA</t>
        </is>
      </c>
      <c r="C26" s="8" t="inlineStr">
        <is>
          <t>États-Unis</t>
        </is>
      </c>
      <c r="D26" s="8" t="inlineStr">
        <is>
          <t>Moto militaire</t>
        </is>
      </c>
      <c r="E26" s="8" t="inlineStr">
        <is>
          <t>À vérifier</t>
        </is>
      </c>
      <c r="F26" s="8" t="inlineStr">
        <is>
          <t>À rechercher</t>
        </is>
      </c>
      <c r="G26" s="8" t="inlineStr">
        <is>
          <t>À rechercher</t>
        </is>
      </c>
      <c r="H26" s="8" t="inlineStr">
        <is>
          <t>À définir</t>
        </is>
      </c>
      <c r="I26" s="8" t="inlineStr">
        <is>
          <t>Inventaire initial</t>
        </is>
      </c>
      <c r="J26" s="8" t="inlineStr">
        <is>
          <t>Modèle à valider historiquement avant verrouillage</t>
        </is>
      </c>
      <c r="K26" s="8" t="n"/>
      <c r="L26" s="8" t="inlineStr">
        <is>
          <t>Aucun armement d'origine</t>
        </is>
      </c>
      <c r="M26" s="8" t="inlineStr">
        <is>
          <t>Aucune arme d'origine à récupérer; conversion ultérieure possible au gameplay</t>
        </is>
      </c>
      <c r="N26" s="8" t="inlineStr">
        <is>
          <t>Élevé</t>
        </is>
      </c>
      <c r="O26" s="8" t="inlineStr">
        <is>
          <t>Non — contenu ultérieur</t>
        </is>
      </c>
      <c r="P26" s="8" t="inlineStr">
        <is>
          <t>À intégrer après validation du prototype</t>
        </is>
      </c>
      <c r="Q26" t="inlineStr">
        <is>
          <t>Harley-Davidson WLA : véhicule de catégorie « Moto militaire », d'origine États-Unis. Motorisation recensée : À rechercher. Fiche de catalogue à compléter avec le rôle tactique et les caractéristiques de jeu.</t>
        </is>
      </c>
    </row>
    <row r="27" ht="42" customHeight="1">
      <c r="A27" s="8" t="inlineStr">
        <is>
          <t>Motos et side-cars</t>
        </is>
      </c>
      <c r="B27" s="8" t="inlineStr">
        <is>
          <t>Indian 741</t>
        </is>
      </c>
      <c r="C27" s="8" t="inlineStr">
        <is>
          <t>États-Unis</t>
        </is>
      </c>
      <c r="D27" s="8" t="inlineStr">
        <is>
          <t>Moto militaire</t>
        </is>
      </c>
      <c r="E27" s="8" t="inlineStr">
        <is>
          <t>À vérifier</t>
        </is>
      </c>
      <c r="F27" s="8" t="inlineStr">
        <is>
          <t>À rechercher</t>
        </is>
      </c>
      <c r="G27" s="8" t="inlineStr">
        <is>
          <t>À rechercher</t>
        </is>
      </c>
      <c r="H27" s="8" t="inlineStr">
        <is>
          <t>À définir</t>
        </is>
      </c>
      <c r="I27" s="8" t="inlineStr">
        <is>
          <t>Inventaire initial</t>
        </is>
      </c>
      <c r="J27" s="8" t="inlineStr">
        <is>
          <t>Modèle à valider historiquement avant verrouillage</t>
        </is>
      </c>
      <c r="K27" s="8" t="n"/>
      <c r="L27" s="8" t="inlineStr">
        <is>
          <t>Aucun armement d'origine</t>
        </is>
      </c>
      <c r="M27" s="8" t="inlineStr">
        <is>
          <t>Aucune arme d'origine à récupérer; conversion ultérieure possible au gameplay</t>
        </is>
      </c>
      <c r="N27" s="8" t="inlineStr">
        <is>
          <t>Élevé</t>
        </is>
      </c>
      <c r="O27" s="8" t="inlineStr">
        <is>
          <t>Non — contenu ultérieur</t>
        </is>
      </c>
      <c r="P27" s="8" t="inlineStr">
        <is>
          <t>À intégrer après validation du prototype</t>
        </is>
      </c>
      <c r="Q27" t="inlineStr">
        <is>
          <t>Indian 741 : véhicule de catégorie « Moto militaire », d'origine États-Unis. Motorisation recensée : À rechercher. Fiche de catalogue à compléter avec le rôle tactique et les caractéristiques de jeu.</t>
        </is>
      </c>
    </row>
    <row r="28" ht="42" customHeight="1">
      <c r="A28" s="14" t="inlineStr">
        <is>
          <t>Motos et side-cars</t>
        </is>
      </c>
      <c r="B28" s="11" t="inlineStr">
        <is>
          <t>BMW R75</t>
        </is>
      </c>
      <c r="C28" s="14" t="inlineStr">
        <is>
          <t>Allemagne</t>
        </is>
      </c>
      <c r="D28" s="14" t="inlineStr">
        <is>
          <t>Moto avec side-car</t>
        </is>
      </c>
      <c r="E28" s="14" t="inlineStr">
        <is>
          <t>À vérifier</t>
        </is>
      </c>
      <c r="F28" s="14" t="inlineStr">
        <is>
          <t>À rechercher</t>
        </is>
      </c>
      <c r="G28" s="14" t="inlineStr">
        <is>
          <t>À rechercher</t>
        </is>
      </c>
      <c r="H28" s="14" t="inlineStr">
        <is>
          <t>À définir</t>
        </is>
      </c>
      <c r="I28" s="14" t="inlineStr">
        <is>
          <t>Inventaire initial</t>
        </is>
      </c>
      <c r="J28" s="14" t="inlineStr">
        <is>
          <t>Modèle à valider historiquement avant verrouillage</t>
        </is>
      </c>
      <c r="K28" s="14" t="n"/>
      <c r="L28" s="14" t="inlineStr">
        <is>
          <t>Aucun armement d'origine</t>
        </is>
      </c>
      <c r="M28" s="14" t="inlineStr">
        <is>
          <t>Aucune arme d'origine à récupérer; conversion ultérieure possible au gameplay</t>
        </is>
      </c>
      <c r="N28" s="14" t="inlineStr">
        <is>
          <t>Élevé</t>
        </is>
      </c>
      <c r="O28" s="11" t="inlineStr">
        <is>
          <t>OUI — PROTOTYPE</t>
        </is>
      </c>
      <c r="P28" s="14" t="inlineStr">
        <is>
          <t>Mobilité légère et reconnaissance</t>
        </is>
      </c>
      <c r="Q28" t="inlineStr">
        <is>
          <t>BMW R75 : véhicule de catégorie « Moto avec side-car », d'origine Allemagne. Motorisation recensée : À rechercher. Fiche de catalogue à compléter avec le rôle tactique et les caractéristiques de jeu.</t>
        </is>
      </c>
    </row>
    <row r="29" ht="42" customHeight="1">
      <c r="A29" s="8" t="inlineStr">
        <is>
          <t>Motos et side-cars</t>
        </is>
      </c>
      <c r="B29" s="8" t="inlineStr">
        <is>
          <t>Zündapp KS 750</t>
        </is>
      </c>
      <c r="C29" s="8" t="inlineStr">
        <is>
          <t>Allemagne</t>
        </is>
      </c>
      <c r="D29" s="8" t="inlineStr">
        <is>
          <t>Moto avec side-car</t>
        </is>
      </c>
      <c r="E29" s="8" t="inlineStr">
        <is>
          <t>À vérifier</t>
        </is>
      </c>
      <c r="F29" s="8" t="inlineStr">
        <is>
          <t>À rechercher</t>
        </is>
      </c>
      <c r="G29" s="8" t="inlineStr">
        <is>
          <t>À rechercher</t>
        </is>
      </c>
      <c r="H29" s="8" t="inlineStr">
        <is>
          <t>À définir</t>
        </is>
      </c>
      <c r="I29" s="8" t="inlineStr">
        <is>
          <t>Inventaire initial</t>
        </is>
      </c>
      <c r="J29" s="8" t="inlineStr">
        <is>
          <t>Modèle à valider historiquement avant verrouillage</t>
        </is>
      </c>
      <c r="K29" s="8" t="n"/>
      <c r="L29" s="8" t="inlineStr">
        <is>
          <t>Aucun armement d'origine</t>
        </is>
      </c>
      <c r="M29" s="8" t="inlineStr">
        <is>
          <t>Aucune arme d'origine à récupérer; conversion ultérieure possible au gameplay</t>
        </is>
      </c>
      <c r="N29" s="8" t="inlineStr">
        <is>
          <t>Élevé</t>
        </is>
      </c>
      <c r="O29" s="8" t="inlineStr">
        <is>
          <t>Non — contenu ultérieur</t>
        </is>
      </c>
      <c r="P29" s="8" t="inlineStr">
        <is>
          <t>À intégrer après validation du prototype</t>
        </is>
      </c>
      <c r="Q29" t="inlineStr">
        <is>
          <t>Zündapp KS 750 : véhicule de catégorie « Moto avec side-car », d'origine Allemagne. Motorisation recensée : À rechercher. Fiche de catalogue à compléter avec le rôle tactique et les caractéristiques de jeu.</t>
        </is>
      </c>
    </row>
    <row r="30" ht="42" customHeight="1">
      <c r="A30" s="8" t="inlineStr">
        <is>
          <t>Motos et side-cars</t>
        </is>
      </c>
      <c r="B30" s="8" t="inlineStr">
        <is>
          <t>NSU 251 OSL</t>
        </is>
      </c>
      <c r="C30" s="8" t="inlineStr">
        <is>
          <t>Allemagne</t>
        </is>
      </c>
      <c r="D30" s="8" t="inlineStr">
        <is>
          <t>Moto</t>
        </is>
      </c>
      <c r="E30" s="8" t="inlineStr">
        <is>
          <t>À vérifier</t>
        </is>
      </c>
      <c r="F30" s="8" t="inlineStr">
        <is>
          <t>À rechercher</t>
        </is>
      </c>
      <c r="G30" s="8" t="inlineStr">
        <is>
          <t>À rechercher</t>
        </is>
      </c>
      <c r="H30" s="8" t="inlineStr">
        <is>
          <t>À définir</t>
        </is>
      </c>
      <c r="I30" s="8" t="inlineStr">
        <is>
          <t>Inventaire initial</t>
        </is>
      </c>
      <c r="J30" s="8" t="inlineStr">
        <is>
          <t>Modèle à valider historiquement avant verrouillage</t>
        </is>
      </c>
      <c r="K30" s="8" t="n"/>
      <c r="L30" s="8" t="inlineStr">
        <is>
          <t>Aucun armement d'origine</t>
        </is>
      </c>
      <c r="M30" s="8" t="inlineStr">
        <is>
          <t>Aucune arme d'origine à récupérer; conversion ultérieure possible au gameplay</t>
        </is>
      </c>
      <c r="N30" s="8" t="inlineStr">
        <is>
          <t>Élevé</t>
        </is>
      </c>
      <c r="O30" s="8" t="inlineStr">
        <is>
          <t>Non — contenu ultérieur</t>
        </is>
      </c>
      <c r="P30" s="8" t="inlineStr">
        <is>
          <t>À intégrer après validation du prototype</t>
        </is>
      </c>
      <c r="Q30" t="inlineStr">
        <is>
          <t>NSU 251 OSL : véhicule de catégorie « Moto », d'origine Allemagne. Motorisation recensée : À rechercher. Fiche de catalogue à compléter avec le rôle tactique et les caractéristiques de jeu.</t>
        </is>
      </c>
    </row>
    <row r="31" ht="42" customHeight="1">
      <c r="A31" s="8" t="inlineStr">
        <is>
          <t>Motos et side-cars</t>
        </is>
      </c>
      <c r="B31" s="8" t="inlineStr">
        <is>
          <t>BSA M20</t>
        </is>
      </c>
      <c r="C31" s="8" t="inlineStr">
        <is>
          <t>Royaume-Uni</t>
        </is>
      </c>
      <c r="D31" s="8" t="inlineStr">
        <is>
          <t>Moto militaire</t>
        </is>
      </c>
      <c r="E31" s="8" t="inlineStr">
        <is>
          <t>À vérifier</t>
        </is>
      </c>
      <c r="F31" s="8" t="inlineStr">
        <is>
          <t>À rechercher</t>
        </is>
      </c>
      <c r="G31" s="8" t="inlineStr">
        <is>
          <t>À rechercher</t>
        </is>
      </c>
      <c r="H31" s="8" t="inlineStr">
        <is>
          <t>À définir</t>
        </is>
      </c>
      <c r="I31" s="8" t="inlineStr">
        <is>
          <t>Inventaire initial</t>
        </is>
      </c>
      <c r="J31" s="8" t="inlineStr">
        <is>
          <t>Modèle à valider historiquement avant verrouillage</t>
        </is>
      </c>
      <c r="K31" s="8" t="n"/>
      <c r="L31" s="8" t="inlineStr">
        <is>
          <t>Aucun armement d'origine</t>
        </is>
      </c>
      <c r="M31" s="8" t="inlineStr">
        <is>
          <t>Aucune arme d'origine à récupérer; conversion ultérieure possible au gameplay</t>
        </is>
      </c>
      <c r="N31" s="8" t="inlineStr">
        <is>
          <t>Élevé</t>
        </is>
      </c>
      <c r="O31" s="8" t="inlineStr">
        <is>
          <t>Non — contenu ultérieur</t>
        </is>
      </c>
      <c r="P31" s="8" t="inlineStr">
        <is>
          <t>À intégrer après validation du prototype</t>
        </is>
      </c>
      <c r="Q31" t="inlineStr">
        <is>
          <t>BSA M20 : véhicule de catégorie « Moto militaire », d'origine Royaume-Uni. Motorisation recensée : À rechercher. Fiche de catalogue à compléter avec le rôle tactique et les caractéristiques de jeu.</t>
        </is>
      </c>
    </row>
    <row r="32" ht="42" customHeight="1">
      <c r="A32" s="8" t="inlineStr">
        <is>
          <t>Motos et side-cars</t>
        </is>
      </c>
      <c r="B32" s="8" t="inlineStr">
        <is>
          <t>Norton 16H</t>
        </is>
      </c>
      <c r="C32" s="8" t="inlineStr">
        <is>
          <t>Royaume-Uni</t>
        </is>
      </c>
      <c r="D32" s="8" t="inlineStr">
        <is>
          <t>Moto militaire</t>
        </is>
      </c>
      <c r="E32" s="8" t="inlineStr">
        <is>
          <t>À vérifier</t>
        </is>
      </c>
      <c r="F32" s="8" t="inlineStr">
        <is>
          <t>À rechercher</t>
        </is>
      </c>
      <c r="G32" s="8" t="inlineStr">
        <is>
          <t>À rechercher</t>
        </is>
      </c>
      <c r="H32" s="8" t="inlineStr">
        <is>
          <t>À définir</t>
        </is>
      </c>
      <c r="I32" s="8" t="inlineStr">
        <is>
          <t>Inventaire initial</t>
        </is>
      </c>
      <c r="J32" s="8" t="inlineStr">
        <is>
          <t>Modèle à valider historiquement avant verrouillage</t>
        </is>
      </c>
      <c r="K32" s="8" t="n"/>
      <c r="L32" s="8" t="inlineStr">
        <is>
          <t>Aucun armement d'origine</t>
        </is>
      </c>
      <c r="M32" s="8" t="inlineStr">
        <is>
          <t>Aucune arme d'origine à récupérer; conversion ultérieure possible au gameplay</t>
        </is>
      </c>
      <c r="N32" s="8" t="inlineStr">
        <is>
          <t>Élevé</t>
        </is>
      </c>
      <c r="O32" s="8" t="inlineStr">
        <is>
          <t>Non — contenu ultérieur</t>
        </is>
      </c>
      <c r="P32" s="8" t="inlineStr">
        <is>
          <t>À intégrer après validation du prototype</t>
        </is>
      </c>
      <c r="Q32" t="inlineStr">
        <is>
          <t>Norton 16H : véhicule de catégorie « Moto militaire », d'origine Royaume-Uni. Motorisation recensée : À rechercher. Fiche de catalogue à compléter avec le rôle tactique et les caractéristiques de jeu.</t>
        </is>
      </c>
    </row>
    <row r="33" ht="42" customHeight="1">
      <c r="A33" s="8" t="inlineStr">
        <is>
          <t>Motos et side-cars</t>
        </is>
      </c>
      <c r="B33" s="8" t="inlineStr">
        <is>
          <t>Royal Enfield WD/RE</t>
        </is>
      </c>
      <c r="C33" s="8" t="inlineStr">
        <is>
          <t>Royaume-Uni</t>
        </is>
      </c>
      <c r="D33" s="8" t="inlineStr">
        <is>
          <t>Moto légère</t>
        </is>
      </c>
      <c r="E33" s="8" t="inlineStr">
        <is>
          <t>À vérifier</t>
        </is>
      </c>
      <c r="F33" s="8" t="inlineStr">
        <is>
          <t>À rechercher</t>
        </is>
      </c>
      <c r="G33" s="8" t="inlineStr">
        <is>
          <t>À rechercher</t>
        </is>
      </c>
      <c r="H33" s="8" t="inlineStr">
        <is>
          <t>À définir</t>
        </is>
      </c>
      <c r="I33" s="8" t="inlineStr">
        <is>
          <t>Inventaire initial</t>
        </is>
      </c>
      <c r="J33" s="8" t="inlineStr">
        <is>
          <t>Modèle à valider historiquement avant verrouillage</t>
        </is>
      </c>
      <c r="K33" s="8" t="n"/>
      <c r="L33" s="8" t="inlineStr">
        <is>
          <t>Aucun armement d'origine</t>
        </is>
      </c>
      <c r="M33" s="8" t="inlineStr">
        <is>
          <t>Aucune arme d'origine à récupérer; conversion ultérieure possible au gameplay</t>
        </is>
      </c>
      <c r="N33" s="8" t="inlineStr">
        <is>
          <t>Élevé</t>
        </is>
      </c>
      <c r="O33" s="8" t="inlineStr">
        <is>
          <t>Non — contenu ultérieur</t>
        </is>
      </c>
      <c r="P33" s="8" t="inlineStr">
        <is>
          <t>À intégrer après validation du prototype</t>
        </is>
      </c>
      <c r="Q33" t="inlineStr">
        <is>
          <t>Royal Enfield WD/RE : véhicule de catégorie « Moto légère », d'origine Royaume-Uni. Motorisation recensée : À rechercher. Fiche de catalogue à compléter avec le rôle tactique et les caractéristiques de jeu.</t>
        </is>
      </c>
    </row>
    <row r="34" ht="42" customHeight="1">
      <c r="A34" s="8" t="inlineStr">
        <is>
          <t>Motos et side-cars</t>
        </is>
      </c>
      <c r="B34" s="8" t="inlineStr">
        <is>
          <t>Terrot RDA / modèles militaires d'époque</t>
        </is>
      </c>
      <c r="C34" s="8" t="inlineStr">
        <is>
          <t>France</t>
        </is>
      </c>
      <c r="D34" s="8" t="inlineStr">
        <is>
          <t>Moto</t>
        </is>
      </c>
      <c r="E34" s="8" t="inlineStr">
        <is>
          <t>À vérifier</t>
        </is>
      </c>
      <c r="F34" s="8" t="inlineStr">
        <is>
          <t>À rechercher</t>
        </is>
      </c>
      <c r="G34" s="8" t="inlineStr">
        <is>
          <t>À rechercher</t>
        </is>
      </c>
      <c r="H34" s="8" t="inlineStr">
        <is>
          <t>À définir</t>
        </is>
      </c>
      <c r="I34" s="8" t="inlineStr">
        <is>
          <t>Inventaire initial</t>
        </is>
      </c>
      <c r="J34" s="8" t="inlineStr">
        <is>
          <t>Modèle à valider historiquement avant verrouillage</t>
        </is>
      </c>
      <c r="K34" s="8" t="n"/>
      <c r="L34" s="8" t="inlineStr">
        <is>
          <t>Aucun armement d'origine</t>
        </is>
      </c>
      <c r="M34" s="8" t="inlineStr">
        <is>
          <t>Aucune arme d'origine à récupérer; conversion ultérieure possible au gameplay</t>
        </is>
      </c>
      <c r="N34" s="8" t="inlineStr">
        <is>
          <t>Élevé</t>
        </is>
      </c>
      <c r="O34" s="8" t="inlineStr">
        <is>
          <t>Non — contenu ultérieur</t>
        </is>
      </c>
      <c r="P34" s="8" t="inlineStr">
        <is>
          <t>À intégrer après validation du prototype</t>
        </is>
      </c>
      <c r="Q34" t="inlineStr">
        <is>
          <t>Terrot RDA / modèles militaires d'époque : véhicule de catégorie « Moto », d'origine France. Motorisation recensée : À rechercher. Fiche de catalogue à compléter avec le rôle tactique et les caractéristiques de jeu.</t>
        </is>
      </c>
    </row>
    <row r="35" ht="42" customHeight="1">
      <c r="A35" s="8" t="inlineStr">
        <is>
          <t>Camions légers et moyens</t>
        </is>
      </c>
      <c r="B35" s="8" t="inlineStr">
        <is>
          <t>Dodge WC-51 / WC-52</t>
        </is>
      </c>
      <c r="C35" s="8" t="inlineStr">
        <is>
          <t>États-Unis</t>
        </is>
      </c>
      <c r="D35" s="8" t="inlineStr">
        <is>
          <t>4x4 utilitaire</t>
        </is>
      </c>
      <c r="E35" s="8" t="inlineStr">
        <is>
          <t>À vérifier</t>
        </is>
      </c>
      <c r="F35" s="8" t="inlineStr">
        <is>
          <t>À rechercher</t>
        </is>
      </c>
      <c r="G35" s="8" t="inlineStr">
        <is>
          <t>À rechercher</t>
        </is>
      </c>
      <c r="H35" s="8" t="inlineStr">
        <is>
          <t>À définir</t>
        </is>
      </c>
      <c r="I35" s="8" t="inlineStr">
        <is>
          <t>Inventaire initial</t>
        </is>
      </c>
      <c r="J35" s="8" t="inlineStr">
        <is>
          <t>Modèle à valider historiquement avant verrouillage</t>
        </is>
      </c>
      <c r="K35" s="8" t="n"/>
      <c r="L35" s="8" t="inlineStr">
        <is>
          <t>Pas d'arme fixe standard; affût/mitrailleuse possible sur certaines versions ou conversions</t>
        </is>
      </c>
      <c r="M35" s="8" t="inlineStr">
        <is>
          <t>Mitrailleuse et affût uniquement si présents; châssis conservé</t>
        </is>
      </c>
      <c r="N35" s="8" t="inlineStr">
        <is>
          <t>Partiel</t>
        </is>
      </c>
      <c r="O35" s="8" t="inlineStr">
        <is>
          <t>Non — contenu ultérieur</t>
        </is>
      </c>
      <c r="P35" s="8" t="inlineStr">
        <is>
          <t>À intégrer après validation du prototype</t>
        </is>
      </c>
      <c r="Q35" t="inlineStr">
        <is>
          <t>Dodge WC-51 / WC-52 : véhicule de catégorie « 4x4 utilitaire », d'origine États-Unis. Motorisation recensée : À rechercher. Fiche de catalogue à compléter avec le rôle tactique et les caractéristiques de jeu.</t>
        </is>
      </c>
    </row>
    <row r="36" ht="42" customHeight="1">
      <c r="A36" s="8" t="inlineStr">
        <is>
          <t>Camions légers et moyens</t>
        </is>
      </c>
      <c r="B36" s="8" t="inlineStr">
        <is>
          <t>Dodge WC-54</t>
        </is>
      </c>
      <c r="C36" s="8" t="inlineStr">
        <is>
          <t>États-Unis</t>
        </is>
      </c>
      <c r="D36" s="8" t="inlineStr">
        <is>
          <t>Ambulance</t>
        </is>
      </c>
      <c r="E36" s="8" t="inlineStr">
        <is>
          <t>À vérifier</t>
        </is>
      </c>
      <c r="F36" s="8" t="inlineStr">
        <is>
          <t>À rechercher</t>
        </is>
      </c>
      <c r="G36" s="8" t="inlineStr">
        <is>
          <t>À rechercher</t>
        </is>
      </c>
      <c r="H36" s="8" t="inlineStr">
        <is>
          <t>À définir</t>
        </is>
      </c>
      <c r="I36" s="8" t="inlineStr">
        <is>
          <t>Inventaire initial</t>
        </is>
      </c>
      <c r="J36" s="8" t="inlineStr">
        <is>
          <t>Modèle à valider historiquement avant verrouillage</t>
        </is>
      </c>
      <c r="K36" s="8" t="n"/>
      <c r="L36" s="8" t="inlineStr">
        <is>
          <t>Pas d'arme fixe standard; affût/mitrailleuse possible sur certaines versions ou conversions</t>
        </is>
      </c>
      <c r="M36" s="8" t="inlineStr">
        <is>
          <t>Mitrailleuse et affût uniquement si présents; châssis conservé</t>
        </is>
      </c>
      <c r="N36" s="8" t="inlineStr">
        <is>
          <t>Partiel</t>
        </is>
      </c>
      <c r="O36" s="8" t="inlineStr">
        <is>
          <t>Non — contenu ultérieur</t>
        </is>
      </c>
      <c r="P36" s="8" t="inlineStr">
        <is>
          <t>À intégrer après validation du prototype</t>
        </is>
      </c>
      <c r="Q36" t="inlineStr">
        <is>
          <t>Dodge WC-54 : véhicule de catégorie « Ambulance », d'origine États-Unis. Motorisation recensée : À rechercher. Fiche de catalogue à compléter avec le rôle tactique et les caractéristiques de jeu.</t>
        </is>
      </c>
    </row>
    <row r="37" ht="42" customHeight="1">
      <c r="A37" s="8" t="inlineStr">
        <is>
          <t>Camions légers et moyens</t>
        </is>
      </c>
      <c r="B37" s="8" t="inlineStr">
        <is>
          <t>Chevrolet G506</t>
        </is>
      </c>
      <c r="C37" s="8" t="inlineStr">
        <is>
          <t>États-Unis</t>
        </is>
      </c>
      <c r="D37" s="8" t="inlineStr">
        <is>
          <t>Camion 1,5 tonne</t>
        </is>
      </c>
      <c r="E37" s="8" t="inlineStr">
        <is>
          <t>À vérifier</t>
        </is>
      </c>
      <c r="F37" s="8" t="inlineStr">
        <is>
          <t>À rechercher</t>
        </is>
      </c>
      <c r="G37" s="8" t="inlineStr">
        <is>
          <t>À rechercher</t>
        </is>
      </c>
      <c r="H37" s="8" t="inlineStr">
        <is>
          <t>À définir</t>
        </is>
      </c>
      <c r="I37" s="8" t="inlineStr">
        <is>
          <t>Inventaire initial</t>
        </is>
      </c>
      <c r="J37" s="8" t="inlineStr">
        <is>
          <t>Modèle à valider historiquement avant verrouillage</t>
        </is>
      </c>
      <c r="K37" s="8" t="n"/>
      <c r="L37" s="8" t="inlineStr">
        <is>
          <t>Aucun armement fixe standard identifié; arme individuelle/affût de campagne possible selon usage</t>
        </is>
      </c>
      <c r="M37" s="8" t="inlineStr">
        <is>
          <t>Pas d'arme à attribuer par défaut; une arme montée doit être confirmée</t>
        </is>
      </c>
      <c r="N37" s="8" t="inlineStr">
        <is>
          <t>Élevé</t>
        </is>
      </c>
      <c r="O37" s="8" t="inlineStr">
        <is>
          <t>Non — contenu ultérieur</t>
        </is>
      </c>
      <c r="P37" s="8" t="inlineStr">
        <is>
          <t>À intégrer après validation du prototype</t>
        </is>
      </c>
      <c r="Q37" t="inlineStr">
        <is>
          <t>Chevrolet G506 : véhicule de catégorie « Camion 1,5 tonne », d'origine États-Unis. Motorisation recensée : À rechercher. Fiche de catalogue à compléter avec le rôle tactique et les caractéristiques de jeu.</t>
        </is>
      </c>
    </row>
    <row r="38" ht="42" customHeight="1">
      <c r="A38" s="14" t="inlineStr">
        <is>
          <t>Camions légers et moyens</t>
        </is>
      </c>
      <c r="B38" s="11" t="inlineStr">
        <is>
          <t>GMC CCKW 353</t>
        </is>
      </c>
      <c r="C38" s="14" t="inlineStr">
        <is>
          <t>États-Unis</t>
        </is>
      </c>
      <c r="D38" s="14" t="inlineStr">
        <is>
          <t>Camion 2,5 tonnes 6x6</t>
        </is>
      </c>
      <c r="E38" s="14" t="inlineStr">
        <is>
          <t>À vérifier</t>
        </is>
      </c>
      <c r="F38" s="14" t="inlineStr">
        <is>
          <t>À rechercher</t>
        </is>
      </c>
      <c r="G38" s="14" t="inlineStr">
        <is>
          <t>À rechercher</t>
        </is>
      </c>
      <c r="H38" s="14" t="inlineStr">
        <is>
          <t>À définir</t>
        </is>
      </c>
      <c r="I38" s="14" t="inlineStr">
        <is>
          <t>Inventaire initial</t>
        </is>
      </c>
      <c r="J38" s="14" t="inlineStr">
        <is>
          <t>Modèle à valider historiquement avant verrouillage</t>
        </is>
      </c>
      <c r="K38" s="14" t="n"/>
      <c r="L38" s="14" t="inlineStr">
        <is>
          <t>Pas d'arme fixe standard; affût/mitrailleuse possible sur certaines versions ou conversions</t>
        </is>
      </c>
      <c r="M38" s="14" t="inlineStr">
        <is>
          <t>Mitrailleuse et affût uniquement si présents; châssis conservé</t>
        </is>
      </c>
      <c r="N38" s="14" t="inlineStr">
        <is>
          <t>Partiel</t>
        </is>
      </c>
      <c r="O38" s="11" t="inlineStr">
        <is>
          <t>OUI — PROTOTYPE</t>
        </is>
      </c>
      <c r="P38" s="14" t="inlineStr">
        <is>
          <t>Transport de ressources</t>
        </is>
      </c>
      <c r="Q38" t="inlineStr">
        <is>
          <t>GMC CCKW 353 : véhicule de catégorie « Camion 2,5 tonnes 6x6 », d'origine États-Unis. Motorisation recensée : À rechercher. Fiche de catalogue à compléter avec le rôle tactique et les caractéristiques de jeu.</t>
        </is>
      </c>
    </row>
    <row r="39" ht="42" customHeight="1">
      <c r="A39" s="8" t="inlineStr">
        <is>
          <t>Camions légers et moyens</t>
        </is>
      </c>
      <c r="B39" s="8" t="inlineStr">
        <is>
          <t>Studebaker US6</t>
        </is>
      </c>
      <c r="C39" s="8" t="inlineStr">
        <is>
          <t>États-Unis</t>
        </is>
      </c>
      <c r="D39" s="8" t="inlineStr">
        <is>
          <t>Camion 2,5 tonnes</t>
        </is>
      </c>
      <c r="E39" s="8" t="inlineStr">
        <is>
          <t>À vérifier</t>
        </is>
      </c>
      <c r="F39" s="8" t="inlineStr">
        <is>
          <t>À rechercher</t>
        </is>
      </c>
      <c r="G39" s="8" t="inlineStr">
        <is>
          <t>À rechercher</t>
        </is>
      </c>
      <c r="H39" s="8" t="inlineStr">
        <is>
          <t>À définir</t>
        </is>
      </c>
      <c r="I39" s="8" t="inlineStr">
        <is>
          <t>Inventaire initial</t>
        </is>
      </c>
      <c r="J39" s="8" t="inlineStr">
        <is>
          <t>Modèle à valider historiquement avant verrouillage</t>
        </is>
      </c>
      <c r="K39" s="8" t="n"/>
      <c r="L39" s="8" t="inlineStr">
        <is>
          <t>Aucun armement fixe standard identifié; arme individuelle/affût de campagne possible selon usage</t>
        </is>
      </c>
      <c r="M39" s="8" t="inlineStr">
        <is>
          <t>Pas d'arme à attribuer par défaut; une arme montée doit être confirmée</t>
        </is>
      </c>
      <c r="N39" s="8" t="inlineStr">
        <is>
          <t>Élevé</t>
        </is>
      </c>
      <c r="O39" s="8" t="inlineStr">
        <is>
          <t>Non — contenu ultérieur</t>
        </is>
      </c>
      <c r="P39" s="8" t="inlineStr">
        <is>
          <t>À intégrer après validation du prototype</t>
        </is>
      </c>
      <c r="Q39" t="inlineStr">
        <is>
          <t>Studebaker US6 : véhicule de catégorie « Camion 2,5 tonnes », d'origine États-Unis. Motorisation recensée : À rechercher. Fiche de catalogue à compléter avec le rôle tactique et les caractéristiques de jeu.</t>
        </is>
      </c>
    </row>
    <row r="40" ht="42" customHeight="1">
      <c r="A40" s="8" t="inlineStr">
        <is>
          <t>Camions légers et moyens</t>
        </is>
      </c>
      <c r="B40" s="8" t="inlineStr">
        <is>
          <t>Ford F-series pré-guerre / Model 50</t>
        </is>
      </c>
      <c r="C40" s="8" t="inlineStr">
        <is>
          <t>États-Unis</t>
        </is>
      </c>
      <c r="D40" s="8" t="inlineStr">
        <is>
          <t>Camion léger</t>
        </is>
      </c>
      <c r="E40" s="8" t="inlineStr">
        <is>
          <t>À vérifier</t>
        </is>
      </c>
      <c r="F40" s="8" t="inlineStr">
        <is>
          <t>À rechercher</t>
        </is>
      </c>
      <c r="G40" s="8" t="inlineStr">
        <is>
          <t>À rechercher</t>
        </is>
      </c>
      <c r="H40" s="8" t="inlineStr">
        <is>
          <t>À définir</t>
        </is>
      </c>
      <c r="I40" s="8" t="inlineStr">
        <is>
          <t>Inventaire initial</t>
        </is>
      </c>
      <c r="J40" s="8" t="inlineStr">
        <is>
          <t>Modèle à valider historiquement avant verrouillage</t>
        </is>
      </c>
      <c r="K40" s="8" t="n"/>
      <c r="L40" s="8" t="inlineStr">
        <is>
          <t>Aucun armement fixe standard identifié; arme individuelle/affût de campagne possible selon usage</t>
        </is>
      </c>
      <c r="M40" s="8" t="inlineStr">
        <is>
          <t>Pas d'arme à attribuer par défaut; une arme montée doit être confirmée</t>
        </is>
      </c>
      <c r="N40" s="8" t="inlineStr">
        <is>
          <t>Élevé</t>
        </is>
      </c>
      <c r="O40" s="8" t="inlineStr">
        <is>
          <t>Non — contenu ultérieur</t>
        </is>
      </c>
      <c r="P40" s="8" t="inlineStr">
        <is>
          <t>À intégrer après validation du prototype</t>
        </is>
      </c>
      <c r="Q40" t="inlineStr">
        <is>
          <t>Ford F-series pré-guerre / Model 50 : véhicule de catégorie « Camion léger », d'origine États-Unis. Motorisation recensée : À rechercher. Fiche de catalogue à compléter avec le rôle tactique et les caractéristiques de jeu.</t>
        </is>
      </c>
    </row>
    <row r="41" ht="42" customHeight="1">
      <c r="A41" s="8" t="inlineStr">
        <is>
          <t>Camions légers et moyens</t>
        </is>
      </c>
      <c r="B41" s="8" t="inlineStr">
        <is>
          <t>Bedford QL</t>
        </is>
      </c>
      <c r="C41" s="8" t="inlineStr">
        <is>
          <t>Royaume-Uni</t>
        </is>
      </c>
      <c r="D41" s="8" t="inlineStr">
        <is>
          <t>Camion militaire 4x4</t>
        </is>
      </c>
      <c r="E41" s="8" t="inlineStr">
        <is>
          <t>À vérifier</t>
        </is>
      </c>
      <c r="F41" s="8" t="inlineStr">
        <is>
          <t>À rechercher</t>
        </is>
      </c>
      <c r="G41" s="8" t="inlineStr">
        <is>
          <t>À rechercher</t>
        </is>
      </c>
      <c r="H41" s="8" t="inlineStr">
        <is>
          <t>À définir</t>
        </is>
      </c>
      <c r="I41" s="8" t="inlineStr">
        <is>
          <t>Inventaire initial</t>
        </is>
      </c>
      <c r="J41" s="8" t="inlineStr">
        <is>
          <t>Modèle à valider historiquement avant verrouillage</t>
        </is>
      </c>
      <c r="K41" s="8" t="n"/>
      <c r="L41" s="8" t="inlineStr">
        <is>
          <t>Pas d'arme fixe standard; affût/mitrailleuse possible sur certaines versions ou conversions</t>
        </is>
      </c>
      <c r="M41" s="8" t="inlineStr">
        <is>
          <t>Mitrailleuse et affût uniquement si présents; châssis conservé</t>
        </is>
      </c>
      <c r="N41" s="8" t="inlineStr">
        <is>
          <t>Partiel</t>
        </is>
      </c>
      <c r="O41" s="8" t="inlineStr">
        <is>
          <t>Non — contenu ultérieur</t>
        </is>
      </c>
      <c r="P41" s="8" t="inlineStr">
        <is>
          <t>À intégrer après validation du prototype</t>
        </is>
      </c>
      <c r="Q41" t="inlineStr">
        <is>
          <t>Bedford QL : véhicule de catégorie « Camion militaire 4x4 », d'origine Royaume-Uni. Motorisation recensée : À rechercher. Fiche de catalogue à compléter avec le rôle tactique et les caractéristiques de jeu.</t>
        </is>
      </c>
    </row>
    <row r="42" ht="42" customHeight="1">
      <c r="A42" s="8" t="inlineStr">
        <is>
          <t>Camions légers et moyens</t>
        </is>
      </c>
      <c r="B42" s="8" t="inlineStr">
        <is>
          <t>Austin K5</t>
        </is>
      </c>
      <c r="C42" s="8" t="inlineStr">
        <is>
          <t>Royaume-Uni</t>
        </is>
      </c>
      <c r="D42" s="8" t="inlineStr">
        <is>
          <t>Camion militaire</t>
        </is>
      </c>
      <c r="E42" s="8" t="inlineStr">
        <is>
          <t>À vérifier</t>
        </is>
      </c>
      <c r="F42" s="8" t="inlineStr">
        <is>
          <t>À rechercher</t>
        </is>
      </c>
      <c r="G42" s="8" t="inlineStr">
        <is>
          <t>À rechercher</t>
        </is>
      </c>
      <c r="H42" s="8" t="inlineStr">
        <is>
          <t>À définir</t>
        </is>
      </c>
      <c r="I42" s="8" t="inlineStr">
        <is>
          <t>Inventaire initial</t>
        </is>
      </c>
      <c r="J42" s="8" t="inlineStr">
        <is>
          <t>Modèle à valider historiquement avant verrouillage</t>
        </is>
      </c>
      <c r="K42" s="8" t="n"/>
      <c r="L42" s="8" t="inlineStr">
        <is>
          <t>Aucun armement fixe standard identifié; arme individuelle/affût de campagne possible selon usage</t>
        </is>
      </c>
      <c r="M42" s="8" t="inlineStr">
        <is>
          <t>Pas d'arme à attribuer par défaut; une arme montée doit être confirmée</t>
        </is>
      </c>
      <c r="N42" s="8" t="inlineStr">
        <is>
          <t>Élevé</t>
        </is>
      </c>
      <c r="O42" s="8" t="inlineStr">
        <is>
          <t>Non — contenu ultérieur</t>
        </is>
      </c>
      <c r="P42" s="8" t="inlineStr">
        <is>
          <t>À intégrer après validation du prototype</t>
        </is>
      </c>
      <c r="Q42" t="inlineStr">
        <is>
          <t>Austin K5 : véhicule de catégorie « Camion militaire », d'origine Royaume-Uni. Motorisation recensée : À rechercher. Fiche de catalogue à compléter avec le rôle tactique et les caractéristiques de jeu.</t>
        </is>
      </c>
    </row>
    <row r="43" ht="42" customHeight="1">
      <c r="A43" s="8" t="inlineStr">
        <is>
          <t>Camions légers et moyens</t>
        </is>
      </c>
      <c r="B43" s="8" t="inlineStr">
        <is>
          <t>Morris Commercial C8</t>
        </is>
      </c>
      <c r="C43" s="8" t="inlineStr">
        <is>
          <t>Royaume-Uni</t>
        </is>
      </c>
      <c r="D43" s="8" t="inlineStr">
        <is>
          <t>Tracteur d'artillerie / utilitaire</t>
        </is>
      </c>
      <c r="E43" s="8" t="inlineStr">
        <is>
          <t>À vérifier</t>
        </is>
      </c>
      <c r="F43" s="8" t="inlineStr">
        <is>
          <t>À rechercher</t>
        </is>
      </c>
      <c r="G43" s="8" t="inlineStr">
        <is>
          <t>À rechercher</t>
        </is>
      </c>
      <c r="H43" s="8" t="inlineStr">
        <is>
          <t>À définir</t>
        </is>
      </c>
      <c r="I43" s="8" t="inlineStr">
        <is>
          <t>Inventaire initial</t>
        </is>
      </c>
      <c r="J43" s="8" t="inlineStr">
        <is>
          <t>Modèle à valider historiquement avant verrouillage</t>
        </is>
      </c>
      <c r="K43" s="8" t="n"/>
      <c r="L43" s="8" t="inlineStr">
        <is>
          <t>Aucun armement fixe standard identifié; arme individuelle/affût de campagne possible selon usage</t>
        </is>
      </c>
      <c r="M43" s="8" t="inlineStr">
        <is>
          <t>Pas d'arme à attribuer par défaut; une arme montée doit être confirmée</t>
        </is>
      </c>
      <c r="N43" s="8" t="inlineStr">
        <is>
          <t>Élevé</t>
        </is>
      </c>
      <c r="O43" s="8" t="inlineStr">
        <is>
          <t>Non — contenu ultérieur</t>
        </is>
      </c>
      <c r="P43" s="8" t="inlineStr">
        <is>
          <t>À intégrer après validation du prototype</t>
        </is>
      </c>
      <c r="Q43" t="inlineStr">
        <is>
          <t>Morris Commercial C8 : véhicule de catégorie « Tracteur d'artillerie / utilitaire », d'origine Royaume-Uni. Motorisation recensée : À rechercher. Fiche de catalogue à compléter avec le rôle tactique et les caractéristiques de jeu.</t>
        </is>
      </c>
    </row>
    <row r="44" ht="42" customHeight="1">
      <c r="A44" s="8" t="inlineStr">
        <is>
          <t>Camions légers et moyens</t>
        </is>
      </c>
      <c r="B44" s="8" t="inlineStr">
        <is>
          <t>AEC Matador</t>
        </is>
      </c>
      <c r="C44" s="8" t="inlineStr">
        <is>
          <t>Royaume-Uni</t>
        </is>
      </c>
      <c r="D44" s="8" t="inlineStr">
        <is>
          <t>Tracteur d'artillerie</t>
        </is>
      </c>
      <c r="E44" s="8" t="inlineStr">
        <is>
          <t>À vérifier</t>
        </is>
      </c>
      <c r="F44" s="8" t="inlineStr">
        <is>
          <t>À rechercher</t>
        </is>
      </c>
      <c r="G44" s="8" t="inlineStr">
        <is>
          <t>À rechercher</t>
        </is>
      </c>
      <c r="H44" s="8" t="inlineStr">
        <is>
          <t>À définir</t>
        </is>
      </c>
      <c r="I44" s="8" t="inlineStr">
        <is>
          <t>Inventaire initial</t>
        </is>
      </c>
      <c r="J44" s="8" t="inlineStr">
        <is>
          <t>Modèle à valider historiquement avant verrouillage</t>
        </is>
      </c>
      <c r="K44" s="8" t="n"/>
      <c r="L44" s="8" t="inlineStr">
        <is>
          <t>Aucun armement fixe standard identifié; arme individuelle/affût de campagne possible selon usage</t>
        </is>
      </c>
      <c r="M44" s="8" t="inlineStr">
        <is>
          <t>Pas d'arme à attribuer par défaut; une arme montée doit être confirmée</t>
        </is>
      </c>
      <c r="N44" s="8" t="inlineStr">
        <is>
          <t>Élevé</t>
        </is>
      </c>
      <c r="O44" s="8" t="inlineStr">
        <is>
          <t>Non — contenu ultérieur</t>
        </is>
      </c>
      <c r="P44" s="8" t="inlineStr">
        <is>
          <t>À intégrer après validation du prototype</t>
        </is>
      </c>
      <c r="Q44" t="inlineStr">
        <is>
          <t>AEC Matador : véhicule de catégorie « Tracteur d'artillerie », d'origine Royaume-Uni. Motorisation recensée : À rechercher. Fiche de catalogue à compléter avec le rôle tactique et les caractéristiques de jeu.</t>
        </is>
      </c>
    </row>
    <row r="45" ht="42" customHeight="1">
      <c r="A45" s="8" t="inlineStr">
        <is>
          <t>Camions légers et moyens</t>
        </is>
      </c>
      <c r="B45" s="8" t="inlineStr">
        <is>
          <t>Leyland Retriever</t>
        </is>
      </c>
      <c r="C45" s="8" t="inlineStr">
        <is>
          <t>Royaume-Uni</t>
        </is>
      </c>
      <c r="D45" s="8" t="inlineStr">
        <is>
          <t>Camion militaire</t>
        </is>
      </c>
      <c r="E45" s="8" t="inlineStr">
        <is>
          <t>À vérifier</t>
        </is>
      </c>
      <c r="F45" s="8" t="inlineStr">
        <is>
          <t>À rechercher</t>
        </is>
      </c>
      <c r="G45" s="8" t="inlineStr">
        <is>
          <t>À rechercher</t>
        </is>
      </c>
      <c r="H45" s="8" t="inlineStr">
        <is>
          <t>À définir</t>
        </is>
      </c>
      <c r="I45" s="8" t="inlineStr">
        <is>
          <t>Inventaire initial</t>
        </is>
      </c>
      <c r="J45" s="8" t="inlineStr">
        <is>
          <t>Modèle à valider historiquement avant verrouillage</t>
        </is>
      </c>
      <c r="K45" s="8" t="n"/>
      <c r="L45" s="8" t="inlineStr">
        <is>
          <t>Aucun armement fixe standard identifié; arme individuelle/affût de campagne possible selon usage</t>
        </is>
      </c>
      <c r="M45" s="8" t="inlineStr">
        <is>
          <t>Pas d'arme à attribuer par défaut; une arme montée doit être confirmée</t>
        </is>
      </c>
      <c r="N45" s="8" t="inlineStr">
        <is>
          <t>Élevé</t>
        </is>
      </c>
      <c r="O45" s="8" t="inlineStr">
        <is>
          <t>Non — contenu ultérieur</t>
        </is>
      </c>
      <c r="P45" s="8" t="inlineStr">
        <is>
          <t>À intégrer après validation du prototype</t>
        </is>
      </c>
      <c r="Q45" t="inlineStr">
        <is>
          <t>Leyland Retriever : véhicule de catégorie « Camion militaire », d'origine Royaume-Uni. Motorisation recensée : À rechercher. Fiche de catalogue à compléter avec le rôle tactique et les caractéristiques de jeu.</t>
        </is>
      </c>
    </row>
    <row r="46" ht="42" customHeight="1">
      <c r="A46" s="8" t="inlineStr">
        <is>
          <t>Camions légers et moyens</t>
        </is>
      </c>
      <c r="B46" s="8" t="inlineStr">
        <is>
          <t>Opel Blitz 3.6-36S</t>
        </is>
      </c>
      <c r="C46" s="8" t="inlineStr">
        <is>
          <t>Allemagne</t>
        </is>
      </c>
      <c r="D46" s="8" t="inlineStr">
        <is>
          <t>Camion moyen</t>
        </is>
      </c>
      <c r="E46" s="8" t="inlineStr">
        <is>
          <t>À vérifier</t>
        </is>
      </c>
      <c r="F46" s="8" t="inlineStr">
        <is>
          <t>À rechercher</t>
        </is>
      </c>
      <c r="G46" s="8" t="inlineStr">
        <is>
          <t>À rechercher</t>
        </is>
      </c>
      <c r="H46" s="8" t="inlineStr">
        <is>
          <t>À définir</t>
        </is>
      </c>
      <c r="I46" s="8" t="inlineStr">
        <is>
          <t>Inventaire initial</t>
        </is>
      </c>
      <c r="J46" s="8" t="inlineStr">
        <is>
          <t>Modèle à valider historiquement avant verrouillage</t>
        </is>
      </c>
      <c r="K46" s="8" t="n"/>
      <c r="L46" s="8" t="inlineStr">
        <is>
          <t>Pas d'arme fixe standard; affût/mitrailleuse possible sur certaines versions ou conversions</t>
        </is>
      </c>
      <c r="M46" s="8" t="inlineStr">
        <is>
          <t>Mitrailleuse et affût uniquement si présents; châssis conservé</t>
        </is>
      </c>
      <c r="N46" s="8" t="inlineStr">
        <is>
          <t>Partiel</t>
        </is>
      </c>
      <c r="O46" s="8" t="inlineStr">
        <is>
          <t>Non — contenu ultérieur</t>
        </is>
      </c>
      <c r="P46" s="8" t="inlineStr">
        <is>
          <t>À intégrer après validation du prototype</t>
        </is>
      </c>
      <c r="Q46" t="inlineStr">
        <is>
          <t>Opel Blitz 3.6-36S : véhicule de catégorie « Camion moyen », d'origine Allemagne. Motorisation recensée : À rechercher. Fiche de catalogue à compléter avec le rôle tactique et les caractéristiques de jeu.</t>
        </is>
      </c>
    </row>
    <row r="47" ht="42" customHeight="1">
      <c r="A47" s="8" t="inlineStr">
        <is>
          <t>Camions légers et moyens</t>
        </is>
      </c>
      <c r="B47" s="8" t="inlineStr">
        <is>
          <t>Mercedes-Benz L 3000</t>
        </is>
      </c>
      <c r="C47" s="8" t="inlineStr">
        <is>
          <t>Allemagne</t>
        </is>
      </c>
      <c r="D47" s="8" t="inlineStr">
        <is>
          <t>Camion moyen</t>
        </is>
      </c>
      <c r="E47" s="8" t="inlineStr">
        <is>
          <t>À vérifier</t>
        </is>
      </c>
      <c r="F47" s="8" t="inlineStr">
        <is>
          <t>À rechercher</t>
        </is>
      </c>
      <c r="G47" s="8" t="inlineStr">
        <is>
          <t>À rechercher</t>
        </is>
      </c>
      <c r="H47" s="8" t="inlineStr">
        <is>
          <t>À définir</t>
        </is>
      </c>
      <c r="I47" s="8" t="inlineStr">
        <is>
          <t>Inventaire initial</t>
        </is>
      </c>
      <c r="J47" s="8" t="inlineStr">
        <is>
          <t>Modèle à valider historiquement avant verrouillage</t>
        </is>
      </c>
      <c r="K47" s="8" t="n"/>
      <c r="L47" s="8" t="inlineStr">
        <is>
          <t>Aucun armement fixe standard identifié; arme individuelle/affût de campagne possible selon usage</t>
        </is>
      </c>
      <c r="M47" s="8" t="inlineStr">
        <is>
          <t>Pas d'arme à attribuer par défaut; une arme montée doit être confirmée</t>
        </is>
      </c>
      <c r="N47" s="8" t="inlineStr">
        <is>
          <t>Élevé</t>
        </is>
      </c>
      <c r="O47" s="8" t="inlineStr">
        <is>
          <t>Non — contenu ultérieur</t>
        </is>
      </c>
      <c r="P47" s="8" t="inlineStr">
        <is>
          <t>À intégrer après validation du prototype</t>
        </is>
      </c>
      <c r="Q47" t="inlineStr">
        <is>
          <t>Mercedes-Benz L 3000 : véhicule de catégorie « Camion moyen », d'origine Allemagne. Motorisation recensée : À rechercher. Fiche de catalogue à compléter avec le rôle tactique et les caractéristiques de jeu.</t>
        </is>
      </c>
    </row>
    <row r="48" ht="42" customHeight="1">
      <c r="A48" s="8" t="inlineStr">
        <is>
          <t>Camions légers et moyens</t>
        </is>
      </c>
      <c r="B48" s="8" t="inlineStr">
        <is>
          <t>Büssing-NAG 4500</t>
        </is>
      </c>
      <c r="C48" s="8" t="inlineStr">
        <is>
          <t>Allemagne</t>
        </is>
      </c>
      <c r="D48" s="8" t="inlineStr">
        <is>
          <t>Camion moyen/lourd</t>
        </is>
      </c>
      <c r="E48" s="8" t="inlineStr">
        <is>
          <t>À vérifier</t>
        </is>
      </c>
      <c r="F48" s="8" t="inlineStr">
        <is>
          <t>À rechercher</t>
        </is>
      </c>
      <c r="G48" s="8" t="inlineStr">
        <is>
          <t>À rechercher</t>
        </is>
      </c>
      <c r="H48" s="8" t="inlineStr">
        <is>
          <t>À définir</t>
        </is>
      </c>
      <c r="I48" s="8" t="inlineStr">
        <is>
          <t>Inventaire initial</t>
        </is>
      </c>
      <c r="J48" s="8" t="inlineStr">
        <is>
          <t>Modèle à valider historiquement avant verrouillage</t>
        </is>
      </c>
      <c r="K48" s="8" t="n"/>
      <c r="L48" s="8" t="inlineStr">
        <is>
          <t>Aucun armement fixe standard identifié; arme individuelle/affût de campagne possible selon usage</t>
        </is>
      </c>
      <c r="M48" s="8" t="inlineStr">
        <is>
          <t>Pas d'arme à attribuer par défaut; une arme montée doit être confirmée</t>
        </is>
      </c>
      <c r="N48" s="8" t="inlineStr">
        <is>
          <t>Élevé</t>
        </is>
      </c>
      <c r="O48" s="8" t="inlineStr">
        <is>
          <t>Non — contenu ultérieur</t>
        </is>
      </c>
      <c r="P48" s="8" t="inlineStr">
        <is>
          <t>À intégrer après validation du prototype</t>
        </is>
      </c>
      <c r="Q48" t="inlineStr">
        <is>
          <t>Büssing-NAG 4500 : véhicule de catégorie « Camion moyen/lourd », d'origine Allemagne. Motorisation recensée : À rechercher. Fiche de catalogue à compléter avec le rôle tactique et les caractéristiques de jeu.</t>
        </is>
      </c>
    </row>
    <row r="49" ht="42" customHeight="1">
      <c r="A49" s="8" t="inlineStr">
        <is>
          <t>Camions légers et moyens</t>
        </is>
      </c>
      <c r="B49" s="8" t="inlineStr">
        <is>
          <t>MAN ML 4500</t>
        </is>
      </c>
      <c r="C49" s="8" t="inlineStr">
        <is>
          <t>Allemagne</t>
        </is>
      </c>
      <c r="D49" s="8" t="inlineStr">
        <is>
          <t>Camion moyen</t>
        </is>
      </c>
      <c r="E49" s="8" t="inlineStr">
        <is>
          <t>À vérifier</t>
        </is>
      </c>
      <c r="F49" s="8" t="inlineStr">
        <is>
          <t>À rechercher</t>
        </is>
      </c>
      <c r="G49" s="8" t="inlineStr">
        <is>
          <t>À rechercher</t>
        </is>
      </c>
      <c r="H49" s="8" t="inlineStr">
        <is>
          <t>À définir</t>
        </is>
      </c>
      <c r="I49" s="8" t="inlineStr">
        <is>
          <t>Inventaire initial</t>
        </is>
      </c>
      <c r="J49" s="8" t="inlineStr">
        <is>
          <t>Modèle à valider historiquement avant verrouillage</t>
        </is>
      </c>
      <c r="K49" s="8" t="n"/>
      <c r="L49" s="8" t="inlineStr">
        <is>
          <t>Aucun armement fixe standard identifié; arme individuelle/affût de campagne possible selon usage</t>
        </is>
      </c>
      <c r="M49" s="8" t="inlineStr">
        <is>
          <t>Pas d'arme à attribuer par défaut; une arme montée doit être confirmée</t>
        </is>
      </c>
      <c r="N49" s="8" t="inlineStr">
        <is>
          <t>Élevé</t>
        </is>
      </c>
      <c r="O49" s="8" t="inlineStr">
        <is>
          <t>Non — contenu ultérieur</t>
        </is>
      </c>
      <c r="P49" s="8" t="inlineStr">
        <is>
          <t>À intégrer après validation du prototype</t>
        </is>
      </c>
      <c r="Q49" t="inlineStr">
        <is>
          <t>MAN ML 4500 : véhicule de catégorie « Camion moyen », d'origine Allemagne. Motorisation recensée : À rechercher. Fiche de catalogue à compléter avec le rôle tactique et les caractéristiques de jeu.</t>
        </is>
      </c>
    </row>
    <row r="50" ht="42" customHeight="1">
      <c r="A50" s="8" t="inlineStr">
        <is>
          <t>Camions légers et moyens</t>
        </is>
      </c>
      <c r="B50" s="8" t="inlineStr">
        <is>
          <t>Fiat 626</t>
        </is>
      </c>
      <c r="C50" s="8" t="inlineStr">
        <is>
          <t>Italie</t>
        </is>
      </c>
      <c r="D50" s="8" t="inlineStr">
        <is>
          <t>Camion moyen</t>
        </is>
      </c>
      <c r="E50" s="8" t="inlineStr">
        <is>
          <t>À vérifier</t>
        </is>
      </c>
      <c r="F50" s="8" t="inlineStr">
        <is>
          <t>À rechercher</t>
        </is>
      </c>
      <c r="G50" s="8" t="inlineStr">
        <is>
          <t>À rechercher</t>
        </is>
      </c>
      <c r="H50" s="8" t="inlineStr">
        <is>
          <t>À définir</t>
        </is>
      </c>
      <c r="I50" s="8" t="inlineStr">
        <is>
          <t>Inventaire initial</t>
        </is>
      </c>
      <c r="J50" s="8" t="inlineStr">
        <is>
          <t>Modèle à valider historiquement avant verrouillage</t>
        </is>
      </c>
      <c r="K50" s="8" t="n"/>
      <c r="L50" s="8" t="inlineStr">
        <is>
          <t>Pas d'arme fixe standard; affût/mitrailleuse possible sur certaines versions ou conversions</t>
        </is>
      </c>
      <c r="M50" s="8" t="inlineStr">
        <is>
          <t>Mitrailleuse et affût uniquement si présents; châssis conservé</t>
        </is>
      </c>
      <c r="N50" s="8" t="inlineStr">
        <is>
          <t>Partiel</t>
        </is>
      </c>
      <c r="O50" s="8" t="inlineStr">
        <is>
          <t>Non — contenu ultérieur</t>
        </is>
      </c>
      <c r="P50" s="8" t="inlineStr">
        <is>
          <t>À intégrer après validation du prototype</t>
        </is>
      </c>
      <c r="Q50" t="inlineStr">
        <is>
          <t>Fiat 626 : véhicule de catégorie « Camion moyen », d'origine Italie. Motorisation recensée : À rechercher. Fiche de catalogue à compléter avec le rôle tactique et les caractéristiques de jeu.</t>
        </is>
      </c>
    </row>
    <row r="51" ht="42" customHeight="1">
      <c r="A51" s="8" t="inlineStr">
        <is>
          <t>Camions légers et moyens</t>
        </is>
      </c>
      <c r="B51" s="8" t="inlineStr">
        <is>
          <t>Lancia 3Ro</t>
        </is>
      </c>
      <c r="C51" s="8" t="inlineStr">
        <is>
          <t>Italie</t>
        </is>
      </c>
      <c r="D51" s="8" t="inlineStr">
        <is>
          <t>Camion lourd</t>
        </is>
      </c>
      <c r="E51" s="8" t="inlineStr">
        <is>
          <t>À vérifier</t>
        </is>
      </c>
      <c r="F51" s="8" t="inlineStr">
        <is>
          <t>À rechercher</t>
        </is>
      </c>
      <c r="G51" s="8" t="inlineStr">
        <is>
          <t>À rechercher</t>
        </is>
      </c>
      <c r="H51" s="8" t="inlineStr">
        <is>
          <t>À définir</t>
        </is>
      </c>
      <c r="I51" s="8" t="inlineStr">
        <is>
          <t>Inventaire initial</t>
        </is>
      </c>
      <c r="J51" s="8" t="inlineStr">
        <is>
          <t>Modèle à valider historiquement avant verrouillage</t>
        </is>
      </c>
      <c r="K51" s="8" t="n"/>
      <c r="L51" s="8" t="inlineStr">
        <is>
          <t>Pas d'arme fixe standard; affût/mitrailleuse possible sur certaines versions ou conversions</t>
        </is>
      </c>
      <c r="M51" s="8" t="inlineStr">
        <is>
          <t>Mitrailleuse et affût uniquement si présents; châssis conservé</t>
        </is>
      </c>
      <c r="N51" s="8" t="inlineStr">
        <is>
          <t>Partiel</t>
        </is>
      </c>
      <c r="O51" s="8" t="inlineStr">
        <is>
          <t>Non — contenu ultérieur</t>
        </is>
      </c>
      <c r="P51" s="8" t="inlineStr">
        <is>
          <t>À intégrer après validation du prototype</t>
        </is>
      </c>
      <c r="Q51" t="inlineStr">
        <is>
          <t>Lancia 3Ro : véhicule de catégorie « Camion lourd », d'origine Italie. Motorisation recensée : À rechercher. Fiche de catalogue à compléter avec le rôle tactique et les caractéristiques de jeu.</t>
        </is>
      </c>
    </row>
    <row r="52" ht="42" customHeight="1">
      <c r="A52" s="8" t="inlineStr">
        <is>
          <t>Camions légers et moyens</t>
        </is>
      </c>
      <c r="B52" s="8" t="inlineStr">
        <is>
          <t>SPA Dovunque 35</t>
        </is>
      </c>
      <c r="C52" s="8" t="inlineStr">
        <is>
          <t>Italie</t>
        </is>
      </c>
      <c r="D52" s="8" t="inlineStr">
        <is>
          <t>Camion tout-terrain</t>
        </is>
      </c>
      <c r="E52" s="8" t="inlineStr">
        <is>
          <t>À vérifier</t>
        </is>
      </c>
      <c r="F52" s="8" t="inlineStr">
        <is>
          <t>À rechercher</t>
        </is>
      </c>
      <c r="G52" s="8" t="inlineStr">
        <is>
          <t>À rechercher</t>
        </is>
      </c>
      <c r="H52" s="8" t="inlineStr">
        <is>
          <t>À définir</t>
        </is>
      </c>
      <c r="I52" s="8" t="inlineStr">
        <is>
          <t>Inventaire initial</t>
        </is>
      </c>
      <c r="J52" s="8" t="inlineStr">
        <is>
          <t>Modèle à valider historiquement avant verrouillage</t>
        </is>
      </c>
      <c r="K52" s="8" t="n"/>
      <c r="L52" s="8" t="inlineStr">
        <is>
          <t>Aucun armement fixe standard identifié; arme individuelle/affût de campagne possible selon usage</t>
        </is>
      </c>
      <c r="M52" s="8" t="inlineStr">
        <is>
          <t>Pas d'arme à attribuer par défaut; une arme montée doit être confirmée</t>
        </is>
      </c>
      <c r="N52" s="8" t="inlineStr">
        <is>
          <t>Élevé</t>
        </is>
      </c>
      <c r="O52" s="8" t="inlineStr">
        <is>
          <t>Non — contenu ultérieur</t>
        </is>
      </c>
      <c r="P52" s="8" t="inlineStr">
        <is>
          <t>À intégrer après validation du prototype</t>
        </is>
      </c>
      <c r="Q52" t="inlineStr">
        <is>
          <t>SPA Dovunque 35 : véhicule de catégorie « Camion tout-terrain », d'origine Italie. Motorisation recensée : À rechercher. Fiche de catalogue à compléter avec le rôle tactique et les caractéristiques de jeu.</t>
        </is>
      </c>
    </row>
    <row r="53" ht="42" customHeight="1">
      <c r="A53" s="8" t="inlineStr">
        <is>
          <t>Camions légers et moyens</t>
        </is>
      </c>
      <c r="B53" s="8" t="inlineStr">
        <is>
          <t>ZiS-5</t>
        </is>
      </c>
      <c r="C53" s="8" t="inlineStr">
        <is>
          <t>URSS</t>
        </is>
      </c>
      <c r="D53" s="8" t="inlineStr">
        <is>
          <t>Camion moyen</t>
        </is>
      </c>
      <c r="E53" s="8" t="inlineStr">
        <is>
          <t>À vérifier</t>
        </is>
      </c>
      <c r="F53" s="8" t="inlineStr">
        <is>
          <t>À rechercher</t>
        </is>
      </c>
      <c r="G53" s="8" t="inlineStr">
        <is>
          <t>À rechercher</t>
        </is>
      </c>
      <c r="H53" s="8" t="inlineStr">
        <is>
          <t>À définir</t>
        </is>
      </c>
      <c r="I53" s="8" t="inlineStr">
        <is>
          <t>Inventaire initial</t>
        </is>
      </c>
      <c r="J53" s="8" t="inlineStr">
        <is>
          <t>Modèle à valider historiquement avant verrouillage</t>
        </is>
      </c>
      <c r="K53" s="8" t="n"/>
      <c r="L53" s="8" t="inlineStr">
        <is>
          <t>Aucun armement fixe standard identifié; arme individuelle/affût de campagne possible selon usage</t>
        </is>
      </c>
      <c r="M53" s="8" t="inlineStr">
        <is>
          <t>Pas d'arme à attribuer par défaut; une arme montée doit être confirmée</t>
        </is>
      </c>
      <c r="N53" s="8" t="inlineStr">
        <is>
          <t>Élevé</t>
        </is>
      </c>
      <c r="O53" s="8" t="inlineStr">
        <is>
          <t>Non — contenu ultérieur</t>
        </is>
      </c>
      <c r="P53" s="8" t="inlineStr">
        <is>
          <t>À intégrer après validation du prototype</t>
        </is>
      </c>
      <c r="Q53" t="inlineStr">
        <is>
          <t>ZiS-5 : véhicule de catégorie « Camion moyen », d'origine URSS. Motorisation recensée : À rechercher. Fiche de catalogue à compléter avec le rôle tactique et les caractéristiques de jeu.</t>
        </is>
      </c>
    </row>
    <row r="54" ht="42" customHeight="1">
      <c r="A54" s="8" t="inlineStr">
        <is>
          <t>Camions légers et moyens</t>
        </is>
      </c>
      <c r="B54" s="8" t="inlineStr">
        <is>
          <t>GAZ-AA / GAZ-MM</t>
        </is>
      </c>
      <c r="C54" s="8" t="inlineStr">
        <is>
          <t>URSS</t>
        </is>
      </c>
      <c r="D54" s="8" t="inlineStr">
        <is>
          <t>Camion léger</t>
        </is>
      </c>
      <c r="E54" s="8" t="inlineStr">
        <is>
          <t>À vérifier</t>
        </is>
      </c>
      <c r="F54" s="8" t="inlineStr">
        <is>
          <t>À rechercher</t>
        </is>
      </c>
      <c r="G54" s="8" t="inlineStr">
        <is>
          <t>À rechercher</t>
        </is>
      </c>
      <c r="H54" s="8" t="inlineStr">
        <is>
          <t>À définir</t>
        </is>
      </c>
      <c r="I54" s="8" t="inlineStr">
        <is>
          <t>Inventaire initial</t>
        </is>
      </c>
      <c r="J54" s="8" t="inlineStr">
        <is>
          <t>Modèle à valider historiquement avant verrouillage</t>
        </is>
      </c>
      <c r="K54" s="8" t="n"/>
      <c r="L54" s="8" t="inlineStr">
        <is>
          <t>Aucun armement fixe standard identifié; arme individuelle/affût de campagne possible selon usage</t>
        </is>
      </c>
      <c r="M54" s="8" t="inlineStr">
        <is>
          <t>Pas d'arme à attribuer par défaut; une arme montée doit être confirmée</t>
        </is>
      </c>
      <c r="N54" s="8" t="inlineStr">
        <is>
          <t>Élevé</t>
        </is>
      </c>
      <c r="O54" s="8" t="inlineStr">
        <is>
          <t>Non — contenu ultérieur</t>
        </is>
      </c>
      <c r="P54" s="8" t="inlineStr">
        <is>
          <t>À intégrer après validation du prototype</t>
        </is>
      </c>
      <c r="Q54" t="inlineStr">
        <is>
          <t>GAZ-AA / GAZ-MM : véhicule de catégorie « Camion léger », d'origine URSS. Motorisation recensée : À rechercher. Fiche de catalogue à compléter avec le rôle tactique et les caractéristiques de jeu.</t>
        </is>
      </c>
    </row>
    <row r="55" ht="42" customHeight="1">
      <c r="A55" s="8" t="inlineStr">
        <is>
          <t>Camions légers et moyens</t>
        </is>
      </c>
      <c r="B55" s="8" t="inlineStr">
        <is>
          <t>ZIS-6</t>
        </is>
      </c>
      <c r="C55" s="8" t="inlineStr">
        <is>
          <t>URSS</t>
        </is>
      </c>
      <c r="D55" s="8" t="inlineStr">
        <is>
          <t>Camion 6x4</t>
        </is>
      </c>
      <c r="E55" s="8" t="inlineStr">
        <is>
          <t>À vérifier</t>
        </is>
      </c>
      <c r="F55" s="8" t="inlineStr">
        <is>
          <t>À rechercher</t>
        </is>
      </c>
      <c r="G55" s="8" t="inlineStr">
        <is>
          <t>À rechercher</t>
        </is>
      </c>
      <c r="H55" s="8" t="inlineStr">
        <is>
          <t>À définir</t>
        </is>
      </c>
      <c r="I55" s="8" t="inlineStr">
        <is>
          <t>Inventaire initial</t>
        </is>
      </c>
      <c r="J55" s="8" t="inlineStr">
        <is>
          <t>Modèle à valider historiquement avant verrouillage</t>
        </is>
      </c>
      <c r="K55" s="8" t="n"/>
      <c r="L55" s="8" t="inlineStr">
        <is>
          <t>Aucun armement fixe standard identifié; arme individuelle/affût de campagne possible selon usage</t>
        </is>
      </c>
      <c r="M55" s="8" t="inlineStr">
        <is>
          <t>Pas d'arme à attribuer par défaut; une arme montée doit être confirmée</t>
        </is>
      </c>
      <c r="N55" s="8" t="inlineStr">
        <is>
          <t>Élevé</t>
        </is>
      </c>
      <c r="O55" s="8" t="inlineStr">
        <is>
          <t>Non — contenu ultérieur</t>
        </is>
      </c>
      <c r="P55" s="8" t="inlineStr">
        <is>
          <t>À intégrer après validation du prototype</t>
        </is>
      </c>
      <c r="Q55" t="inlineStr">
        <is>
          <t>ZIS-6 : véhicule de catégorie « Camion 6x4 », d'origine URSS. Motorisation recensée : À rechercher. Fiche de catalogue à compléter avec le rôle tactique et les caractéristiques de jeu.</t>
        </is>
      </c>
    </row>
    <row r="56" ht="42" customHeight="1">
      <c r="A56" s="14" t="inlineStr">
        <is>
          <t>Camions lourds, dépannage et grue</t>
        </is>
      </c>
      <c r="B56" s="11" t="inlineStr">
        <is>
          <t>Diamond T 969 Wrecker</t>
        </is>
      </c>
      <c r="C56" s="14" t="inlineStr">
        <is>
          <t>États-Unis</t>
        </is>
      </c>
      <c r="D56" s="14" t="inlineStr">
        <is>
          <t>Dépanneuse lourde</t>
        </is>
      </c>
      <c r="E56" s="14" t="inlineStr">
        <is>
          <t>À vérifier</t>
        </is>
      </c>
      <c r="F56" s="14" t="inlineStr">
        <is>
          <t>À rechercher</t>
        </is>
      </c>
      <c r="G56" s="14" t="inlineStr">
        <is>
          <t>À rechercher</t>
        </is>
      </c>
      <c r="H56" s="14" t="inlineStr">
        <is>
          <t>À définir</t>
        </is>
      </c>
      <c r="I56" s="14" t="inlineStr">
        <is>
          <t>Inventaire initial</t>
        </is>
      </c>
      <c r="J56" s="14" t="inlineStr">
        <is>
          <t>Modèle à valider historiquement avant verrouillage</t>
        </is>
      </c>
      <c r="K56" s="14" t="n"/>
      <c r="L56" s="14" t="inlineStr">
        <is>
          <t>Aucun armement fixe standard identifié; arme individuelle/affût de campagne possible selon usage</t>
        </is>
      </c>
      <c r="M56" s="14" t="inlineStr">
        <is>
          <t>Pas d'arme à attribuer par défaut; une arme montée doit être confirmée</t>
        </is>
      </c>
      <c r="N56" s="14" t="inlineStr">
        <is>
          <t>Élevé</t>
        </is>
      </c>
      <c r="O56" s="11" t="inlineStr">
        <is>
          <t>OUI — PROTOTYPE</t>
        </is>
      </c>
      <c r="P56" s="14" t="inlineStr">
        <is>
          <t>Récupération de véhicules</t>
        </is>
      </c>
      <c r="Q56" t="inlineStr">
        <is>
          <t>Diamond T 969 Wrecker : véhicule de catégorie « Dépanneuse lourde », d'origine États-Unis. Motorisation recensée : À rechercher. Fiche de catalogue à compléter avec le rôle tactique et les caractéristiques de jeu.</t>
        </is>
      </c>
    </row>
    <row r="57" ht="42" customHeight="1">
      <c r="A57" s="8" t="inlineStr">
        <is>
          <t>Camions lourds, dépannage et grue</t>
        </is>
      </c>
      <c r="B57" s="8" t="inlineStr">
        <is>
          <t>M26 Pacific</t>
        </is>
      </c>
      <c r="C57" s="8" t="inlineStr">
        <is>
          <t>États-Unis</t>
        </is>
      </c>
      <c r="D57" s="8" t="inlineStr">
        <is>
          <t>Tracteur lourd de dépannage</t>
        </is>
      </c>
      <c r="E57" s="8" t="inlineStr">
        <is>
          <t>À vérifier</t>
        </is>
      </c>
      <c r="F57" s="8" t="inlineStr">
        <is>
          <t>À rechercher</t>
        </is>
      </c>
      <c r="G57" s="8" t="inlineStr">
        <is>
          <t>À rechercher</t>
        </is>
      </c>
      <c r="H57" s="8" t="inlineStr">
        <is>
          <t>À définir</t>
        </is>
      </c>
      <c r="I57" s="8" t="inlineStr">
        <is>
          <t>Inventaire initial</t>
        </is>
      </c>
      <c r="J57" s="8" t="inlineStr">
        <is>
          <t>Modèle à valider historiquement avant verrouillage</t>
        </is>
      </c>
      <c r="K57" s="8" t="n"/>
      <c r="L57" s="8" t="inlineStr">
        <is>
          <t>Aucun armement fixe standard identifié; arme individuelle/affût de campagne possible selon usage</t>
        </is>
      </c>
      <c r="M57" s="8" t="inlineStr">
        <is>
          <t>Pas d'arme à attribuer par défaut; une arme montée doit être confirmée</t>
        </is>
      </c>
      <c r="N57" s="8" t="inlineStr">
        <is>
          <t>Élevé</t>
        </is>
      </c>
      <c r="O57" s="8" t="inlineStr">
        <is>
          <t>Non — contenu ultérieur</t>
        </is>
      </c>
      <c r="P57" s="8" t="inlineStr">
        <is>
          <t>À intégrer après validation du prototype</t>
        </is>
      </c>
      <c r="Q57" t="inlineStr">
        <is>
          <t>M26 Pacific : véhicule de catégorie « Tracteur lourd de dépannage », d'origine États-Unis. Motorisation recensée : À rechercher. Fiche de catalogue à compléter avec le rôle tactique et les caractéristiques de jeu.</t>
        </is>
      </c>
    </row>
    <row r="58" ht="42" customHeight="1">
      <c r="A58" s="8" t="inlineStr">
        <is>
          <t>Camions lourds, dépannage et grue</t>
        </is>
      </c>
      <c r="B58" s="8" t="inlineStr">
        <is>
          <t>Ward LaFrance M1A1</t>
        </is>
      </c>
      <c r="C58" s="8" t="inlineStr">
        <is>
          <t>États-Unis</t>
        </is>
      </c>
      <c r="D58" s="8" t="inlineStr">
        <is>
          <t>Dépanneuse lourde</t>
        </is>
      </c>
      <c r="E58" s="8" t="inlineStr">
        <is>
          <t>À vérifier</t>
        </is>
      </c>
      <c r="F58" s="8" t="inlineStr">
        <is>
          <t>À rechercher</t>
        </is>
      </c>
      <c r="G58" s="8" t="inlineStr">
        <is>
          <t>À rechercher</t>
        </is>
      </c>
      <c r="H58" s="8" t="inlineStr">
        <is>
          <t>À définir</t>
        </is>
      </c>
      <c r="I58" s="8" t="inlineStr">
        <is>
          <t>Inventaire initial</t>
        </is>
      </c>
      <c r="J58" s="8" t="inlineStr">
        <is>
          <t>Modèle à valider historiquement avant verrouillage</t>
        </is>
      </c>
      <c r="K58" s="8" t="n"/>
      <c r="L58" s="8" t="inlineStr">
        <is>
          <t>Aucun armement fixe standard identifié; arme individuelle/affût de campagne possible selon usage</t>
        </is>
      </c>
      <c r="M58" s="8" t="inlineStr">
        <is>
          <t>Pas d'arme à attribuer par défaut; une arme montée doit être confirmée</t>
        </is>
      </c>
      <c r="N58" s="8" t="inlineStr">
        <is>
          <t>Élevé</t>
        </is>
      </c>
      <c r="O58" s="8" t="inlineStr">
        <is>
          <t>Non — contenu ultérieur</t>
        </is>
      </c>
      <c r="P58" s="8" t="inlineStr">
        <is>
          <t>À intégrer après validation du prototype</t>
        </is>
      </c>
      <c r="Q58" t="inlineStr">
        <is>
          <t>Ward LaFrance M1A1 : véhicule de catégorie « Dépanneuse lourde », d'origine États-Unis. Motorisation recensée : À rechercher. Fiche de catalogue à compléter avec le rôle tactique et les caractéristiques de jeu.</t>
        </is>
      </c>
    </row>
    <row r="59" ht="42" customHeight="1">
      <c r="A59" s="8" t="inlineStr">
        <is>
          <t>Camions lourds, dépannage et grue</t>
        </is>
      </c>
      <c r="B59" s="8" t="inlineStr">
        <is>
          <t>Scammell Pioneer</t>
        </is>
      </c>
      <c r="C59" s="8" t="inlineStr">
        <is>
          <t>Royaume-Uni</t>
        </is>
      </c>
      <c r="D59" s="8" t="inlineStr">
        <is>
          <t>Dépanneur / tracteur lourd</t>
        </is>
      </c>
      <c r="E59" s="8" t="inlineStr">
        <is>
          <t>À vérifier</t>
        </is>
      </c>
      <c r="F59" s="8" t="inlineStr">
        <is>
          <t>À rechercher</t>
        </is>
      </c>
      <c r="G59" s="8" t="inlineStr">
        <is>
          <t>À rechercher</t>
        </is>
      </c>
      <c r="H59" s="8" t="inlineStr">
        <is>
          <t>À définir</t>
        </is>
      </c>
      <c r="I59" s="8" t="inlineStr">
        <is>
          <t>Inventaire initial</t>
        </is>
      </c>
      <c r="J59" s="8" t="inlineStr">
        <is>
          <t>Modèle à valider historiquement avant verrouillage</t>
        </is>
      </c>
      <c r="K59" s="8" t="n"/>
      <c r="L59" s="8" t="inlineStr">
        <is>
          <t>Aucun armement fixe standard identifié; arme individuelle/affût de campagne possible selon usage</t>
        </is>
      </c>
      <c r="M59" s="8" t="inlineStr">
        <is>
          <t>Pas d'arme à attribuer par défaut; une arme montée doit être confirmée</t>
        </is>
      </c>
      <c r="N59" s="8" t="inlineStr">
        <is>
          <t>Élevé</t>
        </is>
      </c>
      <c r="O59" s="8" t="inlineStr">
        <is>
          <t>Non — contenu ultérieur</t>
        </is>
      </c>
      <c r="P59" s="8" t="inlineStr">
        <is>
          <t>À intégrer après validation du prototype</t>
        </is>
      </c>
      <c r="Q59" t="inlineStr">
        <is>
          <t>Scammell Pioneer : véhicule de catégorie « Dépanneur / tracteur lourd », d'origine Royaume-Uni. Motorisation recensée : À rechercher. Fiche de catalogue à compléter avec le rôle tactique et les caractéristiques de jeu.</t>
        </is>
      </c>
    </row>
    <row r="60" ht="42" customHeight="1">
      <c r="A60" s="8" t="inlineStr">
        <is>
          <t>Camions lourds, dépannage et grue</t>
        </is>
      </c>
      <c r="B60" s="8" t="inlineStr">
        <is>
          <t>FWD Model B</t>
        </is>
      </c>
      <c r="C60" s="8" t="inlineStr">
        <is>
          <t>États-Unis</t>
        </is>
      </c>
      <c r="D60" s="8" t="inlineStr">
        <is>
          <t>Camion tout-terrain ancien</t>
        </is>
      </c>
      <c r="E60" s="8" t="inlineStr">
        <is>
          <t>À vérifier</t>
        </is>
      </c>
      <c r="F60" s="8" t="inlineStr">
        <is>
          <t>À rechercher</t>
        </is>
      </c>
      <c r="G60" s="8" t="inlineStr">
        <is>
          <t>À rechercher</t>
        </is>
      </c>
      <c r="H60" s="8" t="inlineStr">
        <is>
          <t>À définir</t>
        </is>
      </c>
      <c r="I60" s="8" t="inlineStr">
        <is>
          <t>Inventaire initial</t>
        </is>
      </c>
      <c r="J60" s="8" t="inlineStr">
        <is>
          <t>Modèle à valider historiquement avant verrouillage</t>
        </is>
      </c>
      <c r="K60" s="8" t="n"/>
      <c r="L60" s="8" t="inlineStr">
        <is>
          <t>Aucun armement fixe standard identifié; arme individuelle/affût de campagne possible selon usage</t>
        </is>
      </c>
      <c r="M60" s="8" t="inlineStr">
        <is>
          <t>Pas d'arme à attribuer par défaut; une arme montée doit être confirmée</t>
        </is>
      </c>
      <c r="N60" s="8" t="inlineStr">
        <is>
          <t>Élevé</t>
        </is>
      </c>
      <c r="O60" s="8" t="inlineStr">
        <is>
          <t>Non — contenu ultérieur</t>
        </is>
      </c>
      <c r="P60" s="8" t="inlineStr">
        <is>
          <t>À intégrer après validation du prototype</t>
        </is>
      </c>
      <c r="Q60" t="inlineStr">
        <is>
          <t>FWD Model B : véhicule de catégorie « Camion tout-terrain ancien », d'origine États-Unis. Motorisation recensée : À rechercher. Fiche de catalogue à compléter avec le rôle tactique et les caractéristiques de jeu.</t>
        </is>
      </c>
    </row>
    <row r="61" ht="42" customHeight="1">
      <c r="A61" s="8" t="inlineStr">
        <is>
          <t>Camions lourds, dépannage et grue</t>
        </is>
      </c>
      <c r="B61" s="8" t="inlineStr">
        <is>
          <t>Laffly S15 / S20</t>
        </is>
      </c>
      <c r="C61" s="8" t="inlineStr">
        <is>
          <t>France</t>
        </is>
      </c>
      <c r="D61" s="8" t="inlineStr">
        <is>
          <t>Tracteur/utilitaire tout-terrain</t>
        </is>
      </c>
      <c r="E61" s="8" t="inlineStr">
        <is>
          <t>À vérifier</t>
        </is>
      </c>
      <c r="F61" s="8" t="inlineStr">
        <is>
          <t>À rechercher</t>
        </is>
      </c>
      <c r="G61" s="8" t="inlineStr">
        <is>
          <t>À rechercher</t>
        </is>
      </c>
      <c r="H61" s="8" t="inlineStr">
        <is>
          <t>À définir</t>
        </is>
      </c>
      <c r="I61" s="8" t="inlineStr">
        <is>
          <t>Inventaire initial</t>
        </is>
      </c>
      <c r="J61" s="8" t="inlineStr">
        <is>
          <t>Modèle à valider historiquement avant verrouillage</t>
        </is>
      </c>
      <c r="K61" s="8" t="n"/>
      <c r="L61" s="8" t="inlineStr">
        <is>
          <t>Aucun armement fixe standard identifié; arme individuelle/affût de campagne possible selon usage</t>
        </is>
      </c>
      <c r="M61" s="8" t="inlineStr">
        <is>
          <t>Pas d'arme à attribuer par défaut; une arme montée doit être confirmée</t>
        </is>
      </c>
      <c r="N61" s="8" t="inlineStr">
        <is>
          <t>Élevé</t>
        </is>
      </c>
      <c r="O61" s="8" t="inlineStr">
        <is>
          <t>Non — contenu ultérieur</t>
        </is>
      </c>
      <c r="P61" s="8" t="inlineStr">
        <is>
          <t>À intégrer après validation du prototype</t>
        </is>
      </c>
      <c r="Q61" t="inlineStr">
        <is>
          <t>Laffly S15 / S20 : véhicule de catégorie « Tracteur/utilitaire tout-terrain », d'origine France. Motorisation recensée : À rechercher. Fiche de catalogue à compléter avec le rôle tactique et les caractéristiques de jeu.</t>
        </is>
      </c>
    </row>
    <row r="62" ht="42" customHeight="1">
      <c r="A62" s="8" t="inlineStr">
        <is>
          <t>Camions lourds, dépannage et grue</t>
        </is>
      </c>
      <c r="B62" s="8" t="inlineStr">
        <is>
          <t>Berliet GBC / modèles militaires d'avant-guerre</t>
        </is>
      </c>
      <c r="C62" s="8" t="inlineStr">
        <is>
          <t>France</t>
        </is>
      </c>
      <c r="D62" s="8" t="inlineStr">
        <is>
          <t>Camion militaire</t>
        </is>
      </c>
      <c r="E62" s="8" t="inlineStr">
        <is>
          <t>À vérifier</t>
        </is>
      </c>
      <c r="F62" s="8" t="inlineStr">
        <is>
          <t>À rechercher</t>
        </is>
      </c>
      <c r="G62" s="8" t="inlineStr">
        <is>
          <t>À rechercher</t>
        </is>
      </c>
      <c r="H62" s="8" t="inlineStr">
        <is>
          <t>À définir</t>
        </is>
      </c>
      <c r="I62" s="8" t="inlineStr">
        <is>
          <t>Inventaire initial</t>
        </is>
      </c>
      <c r="J62" s="8" t="inlineStr">
        <is>
          <t>Modèle à valider historiquement avant verrouillage</t>
        </is>
      </c>
      <c r="K62" s="8" t="n"/>
      <c r="L62" s="8" t="inlineStr">
        <is>
          <t>Aucun armement fixe standard identifié; arme individuelle/affût de campagne possible selon usage</t>
        </is>
      </c>
      <c r="M62" s="8" t="inlineStr">
        <is>
          <t>Pas d'arme à attribuer par défaut; une arme montée doit être confirmée</t>
        </is>
      </c>
      <c r="N62" s="8" t="inlineStr">
        <is>
          <t>Élevé</t>
        </is>
      </c>
      <c r="O62" s="8" t="inlineStr">
        <is>
          <t>Non — contenu ultérieur</t>
        </is>
      </c>
      <c r="P62" s="8" t="inlineStr">
        <is>
          <t>À intégrer après validation du prototype</t>
        </is>
      </c>
      <c r="Q62" t="inlineStr">
        <is>
          <t>Berliet GBC / modèles militaires d'avant-guerre : véhicule de catégorie « Camion militaire », d'origine France. Motorisation recensée : À rechercher. Fiche de catalogue à compléter avec le rôle tactique et les caractéristiques de jeu.</t>
        </is>
      </c>
    </row>
    <row r="63" ht="42" customHeight="1">
      <c r="A63" s="8" t="inlineStr">
        <is>
          <t>Camions lourds, dépannage et grue</t>
        </is>
      </c>
      <c r="B63" s="8" t="inlineStr">
        <is>
          <t>Faun ZR / tracteurs lourds d'époque</t>
        </is>
      </c>
      <c r="C63" s="8" t="inlineStr">
        <is>
          <t>Allemagne</t>
        </is>
      </c>
      <c r="D63" s="8" t="inlineStr">
        <is>
          <t>Tracteur lourd</t>
        </is>
      </c>
      <c r="E63" s="8" t="inlineStr">
        <is>
          <t>À vérifier</t>
        </is>
      </c>
      <c r="F63" s="8" t="inlineStr">
        <is>
          <t>À rechercher</t>
        </is>
      </c>
      <c r="G63" s="8" t="inlineStr">
        <is>
          <t>À rechercher</t>
        </is>
      </c>
      <c r="H63" s="8" t="inlineStr">
        <is>
          <t>À définir</t>
        </is>
      </c>
      <c r="I63" s="8" t="inlineStr">
        <is>
          <t>Inventaire initial</t>
        </is>
      </c>
      <c r="J63" s="8" t="inlineStr">
        <is>
          <t>Modèle à valider historiquement avant verrouillage</t>
        </is>
      </c>
      <c r="K63" s="8" t="n"/>
      <c r="L63" s="8" t="inlineStr">
        <is>
          <t>Aucun armement fixe standard identifié; arme individuelle/affût de campagne possible selon usage</t>
        </is>
      </c>
      <c r="M63" s="8" t="inlineStr">
        <is>
          <t>Pas d'arme à attribuer par défaut; une arme montée doit être confirmée</t>
        </is>
      </c>
      <c r="N63" s="8" t="inlineStr">
        <is>
          <t>Élevé</t>
        </is>
      </c>
      <c r="O63" s="8" t="inlineStr">
        <is>
          <t>Non — contenu ultérieur</t>
        </is>
      </c>
      <c r="P63" s="8" t="inlineStr">
        <is>
          <t>À intégrer après validation du prototype</t>
        </is>
      </c>
      <c r="Q63" t="inlineStr">
        <is>
          <t>Faun ZR / tracteurs lourds d'époque : véhicule de catégorie « Tracteur lourd », d'origine Allemagne. Motorisation recensée : À rechercher. Fiche de catalogue à compléter avec le rôle tactique et les caractéristiques de jeu.</t>
        </is>
      </c>
    </row>
    <row r="64" ht="42" customHeight="1">
      <c r="A64" s="8" t="inlineStr">
        <is>
          <t>Véhicules chenillés et semi-chenillés</t>
        </is>
      </c>
      <c r="B64" s="8" t="inlineStr">
        <is>
          <t>M2 Half Track</t>
        </is>
      </c>
      <c r="C64" s="8" t="inlineStr">
        <is>
          <t>États-Unis</t>
        </is>
      </c>
      <c r="D64" s="8" t="inlineStr">
        <is>
          <t>Transport semi-chenillé</t>
        </is>
      </c>
      <c r="E64" s="8" t="inlineStr">
        <is>
          <t>À vérifier</t>
        </is>
      </c>
      <c r="F64" s="8" t="inlineStr">
        <is>
          <t>À rechercher</t>
        </is>
      </c>
      <c r="G64" s="8" t="inlineStr">
        <is>
          <t>À rechercher</t>
        </is>
      </c>
      <c r="H64" s="8" t="inlineStr">
        <is>
          <t>À définir</t>
        </is>
      </c>
      <c r="I64" s="8" t="inlineStr">
        <is>
          <t>Inventaire initial</t>
        </is>
      </c>
      <c r="J64" s="8" t="inlineStr">
        <is>
          <t>Modèle à valider historiquement avant verrouillage</t>
        </is>
      </c>
      <c r="K64" s="8" t="n"/>
      <c r="L64" s="8" t="inlineStr">
        <is>
          <t>Aucun armement fixe standard identifié; arme individuelle/affût de campagne possible selon usage</t>
        </is>
      </c>
      <c r="M64" s="8" t="inlineStr">
        <is>
          <t>Pas d'arme à attribuer par défaut; une arme montée doit être confirmée</t>
        </is>
      </c>
      <c r="N64" s="8" t="inlineStr">
        <is>
          <t>Élevé</t>
        </is>
      </c>
      <c r="O64" s="8" t="inlineStr">
        <is>
          <t>Non — contenu ultérieur</t>
        </is>
      </c>
      <c r="P64" s="8" t="inlineStr">
        <is>
          <t>À intégrer après validation du prototype</t>
        </is>
      </c>
      <c r="Q64" t="inlineStr">
        <is>
          <t>M2 Half Track : véhicule de catégorie « Transport semi-chenillé », d'origine États-Unis. Motorisation recensée : À rechercher. Fiche de catalogue à compléter avec le rôle tactique et les caractéristiques de jeu.</t>
        </is>
      </c>
    </row>
    <row r="65" ht="42" customHeight="1">
      <c r="A65" s="14" t="inlineStr">
        <is>
          <t>Véhicules chenillés et semi-chenillés</t>
        </is>
      </c>
      <c r="B65" s="11" t="inlineStr">
        <is>
          <t>M3 Half Track</t>
        </is>
      </c>
      <c r="C65" s="14" t="inlineStr">
        <is>
          <t>États-Unis</t>
        </is>
      </c>
      <c r="D65" s="14" t="inlineStr">
        <is>
          <t>Transport semi-chenillé</t>
        </is>
      </c>
      <c r="E65" s="14" t="inlineStr">
        <is>
          <t>À vérifier</t>
        </is>
      </c>
      <c r="F65" s="14" t="inlineStr">
        <is>
          <t>À rechercher</t>
        </is>
      </c>
      <c r="G65" s="14" t="inlineStr">
        <is>
          <t>À rechercher</t>
        </is>
      </c>
      <c r="H65" s="14" t="inlineStr">
        <is>
          <t>À définir</t>
        </is>
      </c>
      <c r="I65" s="14" t="inlineStr">
        <is>
          <t>Inventaire initial</t>
        </is>
      </c>
      <c r="J65" s="14" t="inlineStr">
        <is>
          <t>Modèle à valider historiquement avant verrouillage</t>
        </is>
      </c>
      <c r="K65" s="14" t="n"/>
      <c r="L65" s="14" t="inlineStr">
        <is>
          <t>Aucun armement fixe standard identifié; arme individuelle/affût de campagne possible selon usage</t>
        </is>
      </c>
      <c r="M65" s="14" t="inlineStr">
        <is>
          <t>Pas d'arme à attribuer par défaut; une arme montée doit être confirmée</t>
        </is>
      </c>
      <c r="N65" s="14" t="inlineStr">
        <is>
          <t>Élevé</t>
        </is>
      </c>
      <c r="O65" s="11" t="inlineStr">
        <is>
          <t>OUI — PROTOTYPE</t>
        </is>
      </c>
      <c r="P65" s="14" t="inlineStr">
        <is>
          <t>Transport protégé et véhicule militaire polyvalent</t>
        </is>
      </c>
      <c r="Q65" t="inlineStr">
        <is>
          <t>M3 Half Track : véhicule de catégorie « Transport semi-chenillé », d'origine États-Unis. Motorisation recensée : À rechercher. Fiche de catalogue à compléter avec le rôle tactique et les caractéristiques de jeu.</t>
        </is>
      </c>
    </row>
    <row r="66" ht="42" customHeight="1">
      <c r="A66" s="8" t="inlineStr">
        <is>
          <t>Véhicules chenillés et semi-chenillés</t>
        </is>
      </c>
      <c r="B66" s="8" t="inlineStr">
        <is>
          <t>M5 Half Track</t>
        </is>
      </c>
      <c r="C66" s="8" t="inlineStr">
        <is>
          <t>États-Unis</t>
        </is>
      </c>
      <c r="D66" s="8" t="inlineStr">
        <is>
          <t>Transport semi-chenillé</t>
        </is>
      </c>
      <c r="E66" s="8" t="inlineStr">
        <is>
          <t>À vérifier</t>
        </is>
      </c>
      <c r="F66" s="8" t="inlineStr">
        <is>
          <t>À rechercher</t>
        </is>
      </c>
      <c r="G66" s="8" t="inlineStr">
        <is>
          <t>À rechercher</t>
        </is>
      </c>
      <c r="H66" s="8" t="inlineStr">
        <is>
          <t>À définir</t>
        </is>
      </c>
      <c r="I66" s="8" t="inlineStr">
        <is>
          <t>Inventaire initial</t>
        </is>
      </c>
      <c r="J66" s="8" t="inlineStr">
        <is>
          <t>Modèle à valider historiquement avant verrouillage</t>
        </is>
      </c>
      <c r="K66" s="8" t="n"/>
      <c r="L66" s="8" t="inlineStr">
        <is>
          <t>Aucun armement fixe standard identifié; arme individuelle/affût de campagne possible selon usage</t>
        </is>
      </c>
      <c r="M66" s="8" t="inlineStr">
        <is>
          <t>Pas d'arme à attribuer par défaut; une arme montée doit être confirmée</t>
        </is>
      </c>
      <c r="N66" s="8" t="inlineStr">
        <is>
          <t>Élevé</t>
        </is>
      </c>
      <c r="O66" s="8" t="inlineStr">
        <is>
          <t>Non — contenu ultérieur</t>
        </is>
      </c>
      <c r="P66" s="8" t="inlineStr">
        <is>
          <t>À intégrer après validation du prototype</t>
        </is>
      </c>
      <c r="Q66" t="inlineStr">
        <is>
          <t>M5 Half Track : véhicule de catégorie « Transport semi-chenillé », d'origine États-Unis. Motorisation recensée : À rechercher. Fiche de catalogue à compléter avec le rôle tactique et les caractéristiques de jeu.</t>
        </is>
      </c>
    </row>
    <row r="67" ht="42" customHeight="1">
      <c r="A67" s="8" t="inlineStr">
        <is>
          <t>Véhicules chenillés et semi-chenillés</t>
        </is>
      </c>
      <c r="B67" s="8" t="inlineStr">
        <is>
          <t>M3 Scout Car</t>
        </is>
      </c>
      <c r="C67" s="8" t="inlineStr">
        <is>
          <t>États-Unis</t>
        </is>
      </c>
      <c r="D67" s="8" t="inlineStr">
        <is>
          <t>Reconnaissance</t>
        </is>
      </c>
      <c r="E67" s="8" t="inlineStr">
        <is>
          <t>À vérifier</t>
        </is>
      </c>
      <c r="F67" s="8" t="inlineStr">
        <is>
          <t>À rechercher</t>
        </is>
      </c>
      <c r="G67" s="8" t="inlineStr">
        <is>
          <t>À rechercher</t>
        </is>
      </c>
      <c r="H67" s="8" t="inlineStr">
        <is>
          <t>À définir</t>
        </is>
      </c>
      <c r="I67" s="8" t="inlineStr">
        <is>
          <t>Inventaire initial</t>
        </is>
      </c>
      <c r="J67" s="8" t="inlineStr">
        <is>
          <t>Modèle à valider historiquement avant verrouillage</t>
        </is>
      </c>
      <c r="K67" s="8" t="n"/>
      <c r="L67" s="8" t="inlineStr">
        <is>
          <t>Aucun armement standard confirmé; dépend de la variante et des transformations de terrain</t>
        </is>
      </c>
      <c r="M67" s="8" t="inlineStr">
        <is>
          <t>Ne pas attribuer automatiquement une arme; confirmer sur l'épave</t>
        </is>
      </c>
      <c r="N67" s="8" t="inlineStr">
        <is>
          <t>À vérifier</t>
        </is>
      </c>
      <c r="O67" s="8" t="inlineStr">
        <is>
          <t>Non — contenu ultérieur</t>
        </is>
      </c>
      <c r="P67" s="8" t="inlineStr">
        <is>
          <t>À intégrer après validation du prototype</t>
        </is>
      </c>
      <c r="Q67" t="inlineStr">
        <is>
          <t>M3 Scout Car : véhicule de catégorie « Reconnaissance », d'origine États-Unis. Motorisation recensée : À rechercher. Fiche de catalogue à compléter avec le rôle tactique et les caractéristiques de jeu.</t>
        </is>
      </c>
    </row>
    <row r="68" ht="42" customHeight="1">
      <c r="A68" s="8" t="inlineStr">
        <is>
          <t>Véhicules chenillés et semi-chenillés</t>
        </is>
      </c>
      <c r="B68" s="8" t="inlineStr">
        <is>
          <t>Universal Carrier</t>
        </is>
      </c>
      <c r="C68" s="8" t="inlineStr">
        <is>
          <t>Royaume-Uni</t>
        </is>
      </c>
      <c r="D68" s="8" t="inlineStr">
        <is>
          <t>Porteur chenillé léger</t>
        </is>
      </c>
      <c r="E68" s="8" t="inlineStr">
        <is>
          <t>À vérifier</t>
        </is>
      </c>
      <c r="F68" s="8" t="inlineStr">
        <is>
          <t>À rechercher</t>
        </is>
      </c>
      <c r="G68" s="8" t="inlineStr">
        <is>
          <t>À rechercher</t>
        </is>
      </c>
      <c r="H68" s="8" t="inlineStr">
        <is>
          <t>À définir</t>
        </is>
      </c>
      <c r="I68" s="8" t="inlineStr">
        <is>
          <t>Inventaire initial</t>
        </is>
      </c>
      <c r="J68" s="8" t="inlineStr">
        <is>
          <t>Modèle à valider historiquement avant verrouillage</t>
        </is>
      </c>
      <c r="K68" s="8" t="n"/>
      <c r="L68" s="8" t="inlineStr">
        <is>
          <t>Aucun armement standard confirmé; dépend de la variante et des transformations de terrain</t>
        </is>
      </c>
      <c r="M68" s="8" t="inlineStr">
        <is>
          <t>Ne pas attribuer automatiquement une arme; confirmer sur l'épave</t>
        </is>
      </c>
      <c r="N68" s="8" t="inlineStr">
        <is>
          <t>À vérifier</t>
        </is>
      </c>
      <c r="O68" s="8" t="inlineStr">
        <is>
          <t>Non — contenu ultérieur</t>
        </is>
      </c>
      <c r="P68" s="8" t="inlineStr">
        <is>
          <t>À intégrer après validation du prototype</t>
        </is>
      </c>
      <c r="Q68" t="inlineStr">
        <is>
          <t>Universal Carrier : véhicule de catégorie « Porteur chenillé léger », d'origine Royaume-Uni. Motorisation recensée : À rechercher. Fiche de catalogue à compléter avec le rôle tactique et les caractéristiques de jeu.</t>
        </is>
      </c>
    </row>
    <row r="69" ht="42" customHeight="1">
      <c r="A69" s="8" t="inlineStr">
        <is>
          <t>Véhicules chenillés et semi-chenillés</t>
        </is>
      </c>
      <c r="B69" s="8" t="inlineStr">
        <is>
          <t>Sd.Kfz. 251</t>
        </is>
      </c>
      <c r="C69" s="8" t="inlineStr">
        <is>
          <t>Allemagne</t>
        </is>
      </c>
      <c r="D69" s="8" t="inlineStr">
        <is>
          <t>Transport semi-chenillé</t>
        </is>
      </c>
      <c r="E69" s="8" t="inlineStr">
        <is>
          <t>À vérifier</t>
        </is>
      </c>
      <c r="F69" s="8" t="inlineStr">
        <is>
          <t>À rechercher</t>
        </is>
      </c>
      <c r="G69" s="8" t="inlineStr">
        <is>
          <t>À rechercher</t>
        </is>
      </c>
      <c r="H69" s="8" t="inlineStr">
        <is>
          <t>À définir</t>
        </is>
      </c>
      <c r="I69" s="8" t="inlineStr">
        <is>
          <t>Inventaire initial</t>
        </is>
      </c>
      <c r="J69" s="8" t="inlineStr">
        <is>
          <t>Modèle à valider historiquement avant verrouillage</t>
        </is>
      </c>
      <c r="K69" s="8" t="n"/>
      <c r="L69" s="8" t="inlineStr">
        <is>
          <t>Aucun armement fixe standard identifié; arme individuelle/affût de campagne possible selon usage</t>
        </is>
      </c>
      <c r="M69" s="8" t="inlineStr">
        <is>
          <t>Pas d'arme à attribuer par défaut; une arme montée doit être confirmée</t>
        </is>
      </c>
      <c r="N69" s="8" t="inlineStr">
        <is>
          <t>Élevé</t>
        </is>
      </c>
      <c r="O69" s="8" t="inlineStr">
        <is>
          <t>Non — contenu ultérieur</t>
        </is>
      </c>
      <c r="P69" s="8" t="inlineStr">
        <is>
          <t>À intégrer après validation du prototype</t>
        </is>
      </c>
      <c r="Q69" t="inlineStr">
        <is>
          <t>Sd.Kfz. 251 : véhicule de catégorie « Transport semi-chenillé », d'origine Allemagne. Motorisation recensée : À rechercher. Fiche de catalogue à compléter avec le rôle tactique et les caractéristiques de jeu.</t>
        </is>
      </c>
    </row>
    <row r="70" ht="42" customHeight="1">
      <c r="A70" s="8" t="inlineStr">
        <is>
          <t>Véhicules chenillés et semi-chenillés</t>
        </is>
      </c>
      <c r="B70" s="8" t="inlineStr">
        <is>
          <t>Sd.Kfz. 250</t>
        </is>
      </c>
      <c r="C70" s="8" t="inlineStr">
        <is>
          <t>Allemagne</t>
        </is>
      </c>
      <c r="D70" s="8" t="inlineStr">
        <is>
          <t>Transport semi-chenillé léger</t>
        </is>
      </c>
      <c r="E70" s="8" t="inlineStr">
        <is>
          <t>À vérifier</t>
        </is>
      </c>
      <c r="F70" s="8" t="inlineStr">
        <is>
          <t>À rechercher</t>
        </is>
      </c>
      <c r="G70" s="8" t="inlineStr">
        <is>
          <t>À rechercher</t>
        </is>
      </c>
      <c r="H70" s="8" t="inlineStr">
        <is>
          <t>À définir</t>
        </is>
      </c>
      <c r="I70" s="8" t="inlineStr">
        <is>
          <t>Inventaire initial</t>
        </is>
      </c>
      <c r="J70" s="8" t="inlineStr">
        <is>
          <t>Modèle à valider historiquement avant verrouillage</t>
        </is>
      </c>
      <c r="K70" s="8" t="n"/>
      <c r="L70" s="8" t="inlineStr">
        <is>
          <t>Aucun armement fixe standard identifié; arme individuelle/affût de campagne possible selon usage</t>
        </is>
      </c>
      <c r="M70" s="8" t="inlineStr">
        <is>
          <t>Pas d'arme à attribuer par défaut; une arme montée doit être confirmée</t>
        </is>
      </c>
      <c r="N70" s="8" t="inlineStr">
        <is>
          <t>Élevé</t>
        </is>
      </c>
      <c r="O70" s="8" t="inlineStr">
        <is>
          <t>Non — contenu ultérieur</t>
        </is>
      </c>
      <c r="P70" s="8" t="inlineStr">
        <is>
          <t>À intégrer après validation du prototype</t>
        </is>
      </c>
      <c r="Q70" t="inlineStr">
        <is>
          <t>Sd.Kfz. 250 : véhicule de catégorie « Transport semi-chenillé léger », d'origine Allemagne. Motorisation recensée : À rechercher. Fiche de catalogue à compléter avec le rôle tactique et les caractéristiques de jeu.</t>
        </is>
      </c>
    </row>
    <row r="71" ht="42" customHeight="1">
      <c r="A71" s="8" t="inlineStr">
        <is>
          <t>Véhicules chenillés et semi-chenillés</t>
        </is>
      </c>
      <c r="B71" s="8" t="inlineStr">
        <is>
          <t>Sd.Kfz. 7</t>
        </is>
      </c>
      <c r="C71" s="8" t="inlineStr">
        <is>
          <t>Allemagne</t>
        </is>
      </c>
      <c r="D71" s="8" t="inlineStr">
        <is>
          <t>Tracteur d'artillerie</t>
        </is>
      </c>
      <c r="E71" s="8" t="inlineStr">
        <is>
          <t>À vérifier</t>
        </is>
      </c>
      <c r="F71" s="8" t="inlineStr">
        <is>
          <t>À rechercher</t>
        </is>
      </c>
      <c r="G71" s="8" t="inlineStr">
        <is>
          <t>À rechercher</t>
        </is>
      </c>
      <c r="H71" s="8" t="inlineStr">
        <is>
          <t>À définir</t>
        </is>
      </c>
      <c r="I71" s="8" t="inlineStr">
        <is>
          <t>Inventaire initial</t>
        </is>
      </c>
      <c r="J71" s="8" t="inlineStr">
        <is>
          <t>Modèle à valider historiquement avant verrouillage</t>
        </is>
      </c>
      <c r="K71" s="8" t="n"/>
      <c r="L71" s="8" t="inlineStr">
        <is>
          <t>Aucun armement fixe standard identifié; arme individuelle/affût de campagne possible selon usage</t>
        </is>
      </c>
      <c r="M71" s="8" t="inlineStr">
        <is>
          <t>Pas d'arme à attribuer par défaut; une arme montée doit être confirmée</t>
        </is>
      </c>
      <c r="N71" s="8" t="inlineStr">
        <is>
          <t>Élevé</t>
        </is>
      </c>
      <c r="O71" s="8" t="inlineStr">
        <is>
          <t>Non — contenu ultérieur</t>
        </is>
      </c>
      <c r="P71" s="8" t="inlineStr">
        <is>
          <t>À intégrer après validation du prototype</t>
        </is>
      </c>
      <c r="Q71" t="inlineStr">
        <is>
          <t>Sd.Kfz. 7 : véhicule de catégorie « Tracteur d'artillerie », d'origine Allemagne. Motorisation recensée : À rechercher. Fiche de catalogue à compléter avec le rôle tactique et les caractéristiques de jeu.</t>
        </is>
      </c>
    </row>
    <row r="72" ht="42" customHeight="1">
      <c r="A72" s="8" t="inlineStr">
        <is>
          <t>Véhicules chenillés et semi-chenillés</t>
        </is>
      </c>
      <c r="B72" s="8" t="inlineStr">
        <is>
          <t>Kettenkrad HK 101</t>
        </is>
      </c>
      <c r="C72" s="8" t="inlineStr">
        <is>
          <t>Allemagne</t>
        </is>
      </c>
      <c r="D72" s="8" t="inlineStr">
        <is>
          <t>Tracteur chenillé léger</t>
        </is>
      </c>
      <c r="E72" s="8" t="inlineStr">
        <is>
          <t>À vérifier</t>
        </is>
      </c>
      <c r="F72" s="8" t="inlineStr">
        <is>
          <t>À rechercher</t>
        </is>
      </c>
      <c r="G72" s="8" t="inlineStr">
        <is>
          <t>À rechercher</t>
        </is>
      </c>
      <c r="H72" s="8" t="inlineStr">
        <is>
          <t>À définir</t>
        </is>
      </c>
      <c r="I72" s="8" t="inlineStr">
        <is>
          <t>Inventaire initial</t>
        </is>
      </c>
      <c r="J72" s="8" t="inlineStr">
        <is>
          <t>Modèle à valider historiquement avant verrouillage</t>
        </is>
      </c>
      <c r="K72" s="8" t="n"/>
      <c r="L72" s="8" t="inlineStr">
        <is>
          <t>Aucun armement fixe standard identifié; arme individuelle/affût de campagne possible selon usage</t>
        </is>
      </c>
      <c r="M72" s="8" t="inlineStr">
        <is>
          <t>Pas d'arme à attribuer par défaut; une arme montée doit être confirmée</t>
        </is>
      </c>
      <c r="N72" s="8" t="inlineStr">
        <is>
          <t>Élevé</t>
        </is>
      </c>
      <c r="O72" s="8" t="inlineStr">
        <is>
          <t>Non — contenu ultérieur</t>
        </is>
      </c>
      <c r="P72" s="8" t="inlineStr">
        <is>
          <t>À intégrer après validation du prototype</t>
        </is>
      </c>
      <c r="Q72" t="inlineStr">
        <is>
          <t>Kettenkrad HK 101 : véhicule de catégorie « Tracteur chenillé léger », d'origine Allemagne. Motorisation recensée : À rechercher. Fiche de catalogue à compléter avec le rôle tactique et les caractéristiques de jeu.</t>
        </is>
      </c>
    </row>
    <row r="73" ht="42" customHeight="1">
      <c r="A73" s="8" t="inlineStr">
        <is>
          <t>Véhicules chenillés et semi-chenillés</t>
        </is>
      </c>
      <c r="B73" s="8" t="inlineStr">
        <is>
          <t>Renault UE Chenillette</t>
        </is>
      </c>
      <c r="C73" s="8" t="inlineStr">
        <is>
          <t>France</t>
        </is>
      </c>
      <c r="D73" s="8" t="inlineStr">
        <is>
          <t>Tracteur chenillé léger</t>
        </is>
      </c>
      <c r="E73" s="8" t="inlineStr">
        <is>
          <t>À vérifier</t>
        </is>
      </c>
      <c r="F73" s="8" t="inlineStr">
        <is>
          <t>À rechercher</t>
        </is>
      </c>
      <c r="G73" s="8" t="inlineStr">
        <is>
          <t>À rechercher</t>
        </is>
      </c>
      <c r="H73" s="8" t="inlineStr">
        <is>
          <t>À définir</t>
        </is>
      </c>
      <c r="I73" s="8" t="inlineStr">
        <is>
          <t>Inventaire initial</t>
        </is>
      </c>
      <c r="J73" s="8" t="inlineStr">
        <is>
          <t>Modèle à valider historiquement avant verrouillage</t>
        </is>
      </c>
      <c r="K73" s="8" t="n"/>
      <c r="L73" s="8" t="inlineStr">
        <is>
          <t>Aucun armement fixe standard identifié; arme individuelle/affût de campagne possible selon usage</t>
        </is>
      </c>
      <c r="M73" s="8" t="inlineStr">
        <is>
          <t>Pas d'arme à attribuer par défaut; une arme montée doit être confirmée</t>
        </is>
      </c>
      <c r="N73" s="8" t="inlineStr">
        <is>
          <t>Élevé</t>
        </is>
      </c>
      <c r="O73" s="8" t="inlineStr">
        <is>
          <t>Non — contenu ultérieur</t>
        </is>
      </c>
      <c r="P73" s="8" t="inlineStr">
        <is>
          <t>À intégrer après validation du prototype</t>
        </is>
      </c>
      <c r="Q73" t="inlineStr">
        <is>
          <t>Renault UE Chenillette : véhicule de catégorie « Tracteur chenillé léger », d'origine France. Motorisation recensée : À rechercher. Fiche de catalogue à compléter avec le rôle tactique et les caractéristiques de jeu.</t>
        </is>
      </c>
    </row>
    <row r="74" ht="42" customHeight="1">
      <c r="A74" s="8" t="inlineStr">
        <is>
          <t>Véhicules chenillés et semi-chenillés</t>
        </is>
      </c>
      <c r="B74" s="8" t="inlineStr">
        <is>
          <t>Loyd Carrier</t>
        </is>
      </c>
      <c r="C74" s="8" t="inlineStr">
        <is>
          <t>Royaume-Uni</t>
        </is>
      </c>
      <c r="D74" s="8" t="inlineStr">
        <is>
          <t>Porteur chenillé</t>
        </is>
      </c>
      <c r="E74" s="8" t="inlineStr">
        <is>
          <t>À vérifier</t>
        </is>
      </c>
      <c r="F74" s="8" t="inlineStr">
        <is>
          <t>À rechercher</t>
        </is>
      </c>
      <c r="G74" s="8" t="inlineStr">
        <is>
          <t>À rechercher</t>
        </is>
      </c>
      <c r="H74" s="8" t="inlineStr">
        <is>
          <t>À définir</t>
        </is>
      </c>
      <c r="I74" s="8" t="inlineStr">
        <is>
          <t>Inventaire initial</t>
        </is>
      </c>
      <c r="J74" s="8" t="inlineStr">
        <is>
          <t>Modèle à valider historiquement avant verrouillage</t>
        </is>
      </c>
      <c r="K74" s="8" t="n"/>
      <c r="L74" s="8" t="inlineStr">
        <is>
          <t>Aucun armement standard confirmé; dépend de la variante et des transformations de terrain</t>
        </is>
      </c>
      <c r="M74" s="8" t="inlineStr">
        <is>
          <t>Ne pas attribuer automatiquement une arme; confirmer sur l'épave</t>
        </is>
      </c>
      <c r="N74" s="8" t="inlineStr">
        <is>
          <t>À vérifier</t>
        </is>
      </c>
      <c r="O74" s="8" t="inlineStr">
        <is>
          <t>Non — contenu ultérieur</t>
        </is>
      </c>
      <c r="P74" s="8" t="inlineStr">
        <is>
          <t>À intégrer après validation du prototype</t>
        </is>
      </c>
      <c r="Q74" t="inlineStr">
        <is>
          <t>Loyd Carrier : véhicule de catégorie « Porteur chenillé », d'origine Royaume-Uni. Motorisation recensée : À rechercher. Fiche de catalogue à compléter avec le rôle tactique et les caractéristiques de jeu.</t>
        </is>
      </c>
    </row>
    <row r="75" ht="42" customHeight="1">
      <c r="A75" s="14" t="inlineStr">
        <is>
          <t>Automitrailleuses et reconnaissance</t>
        </is>
      </c>
      <c r="B75" s="11" t="inlineStr">
        <is>
          <t>M8 Greyhound</t>
        </is>
      </c>
      <c r="C75" s="14" t="inlineStr">
        <is>
          <t>États-Unis</t>
        </is>
      </c>
      <c r="D75" s="14" t="inlineStr">
        <is>
          <t>Automitrailleuse 6x6</t>
        </is>
      </c>
      <c r="E75" s="14" t="inlineStr">
        <is>
          <t>À vérifier</t>
        </is>
      </c>
      <c r="F75" s="14" t="inlineStr">
        <is>
          <t>À rechercher</t>
        </is>
      </c>
      <c r="G75" s="14" t="inlineStr">
        <is>
          <t>À rechercher</t>
        </is>
      </c>
      <c r="H75" s="14" t="inlineStr">
        <is>
          <t>À définir</t>
        </is>
      </c>
      <c r="I75" s="14" t="inlineStr">
        <is>
          <t>Inventaire initial</t>
        </is>
      </c>
      <c r="J75" s="14" t="inlineStr">
        <is>
          <t>Modèle à valider historiquement avant verrouillage</t>
        </is>
      </c>
      <c r="K75" s="14" t="n"/>
      <c r="L75" s="14" t="inlineStr">
        <is>
          <t>Aucun armement standard confirmé; dépend de la variante et des transformations de terrain</t>
        </is>
      </c>
      <c r="M75" s="14" t="inlineStr">
        <is>
          <t>Ne pas attribuer automatiquement une arme; confirmer sur l'épave</t>
        </is>
      </c>
      <c r="N75" s="14" t="inlineStr">
        <is>
          <t>À vérifier</t>
        </is>
      </c>
      <c r="O75" s="11" t="inlineStr">
        <is>
          <t>OUI — PROTOTYPE</t>
        </is>
      </c>
      <c r="P75" s="14" t="inlineStr">
        <is>
          <t>Reconnaissance armée</t>
        </is>
      </c>
      <c r="Q75" t="inlineStr">
        <is>
          <t>M8 Greyhound : véhicule de catégorie « Automitrailleuse 6x6 », d'origine États-Unis. Motorisation recensée : À rechercher. Fiche de catalogue à compléter avec le rôle tactique et les caractéristiques de jeu.</t>
        </is>
      </c>
    </row>
    <row r="76" ht="42" customHeight="1">
      <c r="A76" s="8" t="inlineStr">
        <is>
          <t>Automitrailleuses et reconnaissance</t>
        </is>
      </c>
      <c r="B76" s="8" t="inlineStr">
        <is>
          <t>M20 Armored Utility Car</t>
        </is>
      </c>
      <c r="C76" s="8" t="inlineStr">
        <is>
          <t>États-Unis</t>
        </is>
      </c>
      <c r="D76" s="8" t="inlineStr">
        <is>
          <t>Véhicule blindé polyvalent</t>
        </is>
      </c>
      <c r="E76" s="8" t="inlineStr">
        <is>
          <t>À vérifier</t>
        </is>
      </c>
      <c r="F76" s="8" t="inlineStr">
        <is>
          <t>À rechercher</t>
        </is>
      </c>
      <c r="G76" s="8" t="inlineStr">
        <is>
          <t>À rechercher</t>
        </is>
      </c>
      <c r="H76" s="8" t="inlineStr">
        <is>
          <t>À définir</t>
        </is>
      </c>
      <c r="I76" s="8" t="inlineStr">
        <is>
          <t>Inventaire initial</t>
        </is>
      </c>
      <c r="J76" s="8" t="inlineStr">
        <is>
          <t>Modèle à valider historiquement avant verrouillage</t>
        </is>
      </c>
      <c r="K76" s="8" t="n"/>
      <c r="L76" s="8" t="inlineStr">
        <is>
          <t>Armement historique à déterminer précisément pour ce modèle/sa variante</t>
        </is>
      </c>
      <c r="M76" s="8" t="inlineStr">
        <is>
          <t>Ne récupérer une arme que si elle est présente, identifiable et démontable; vérifier le calibre</t>
        </is>
      </c>
      <c r="N76" s="8" t="inlineStr">
        <is>
          <t>À vérifier</t>
        </is>
      </c>
      <c r="O76" s="8" t="inlineStr">
        <is>
          <t>Non — contenu ultérieur</t>
        </is>
      </c>
      <c r="P76" s="8" t="inlineStr">
        <is>
          <t>À intégrer après validation du prototype</t>
        </is>
      </c>
      <c r="Q76" t="inlineStr">
        <is>
          <t>M20 Armored Utility Car : véhicule de catégorie « Véhicule blindé polyvalent », d'origine États-Unis. Motorisation recensée : À rechercher. Fiche de catalogue à compléter avec le rôle tactique et les caractéristiques de jeu.</t>
        </is>
      </c>
    </row>
    <row r="77" ht="42" customHeight="1">
      <c r="A77" s="8" t="inlineStr">
        <is>
          <t>Automitrailleuses et reconnaissance</t>
        </is>
      </c>
      <c r="B77" s="8" t="inlineStr">
        <is>
          <t>Daimler Dingo</t>
        </is>
      </c>
      <c r="C77" s="8" t="inlineStr">
        <is>
          <t>Royaume-Uni</t>
        </is>
      </c>
      <c r="D77" s="8" t="inlineStr">
        <is>
          <t>Véhicule de reconnaissance</t>
        </is>
      </c>
      <c r="E77" s="8" t="inlineStr">
        <is>
          <t>À vérifier</t>
        </is>
      </c>
      <c r="F77" s="8" t="inlineStr">
        <is>
          <t>À rechercher</t>
        </is>
      </c>
      <c r="G77" s="8" t="inlineStr">
        <is>
          <t>À rechercher</t>
        </is>
      </c>
      <c r="H77" s="8" t="inlineStr">
        <is>
          <t>À définir</t>
        </is>
      </c>
      <c r="I77" s="8" t="inlineStr">
        <is>
          <t>Inventaire initial</t>
        </is>
      </c>
      <c r="J77" s="8" t="inlineStr">
        <is>
          <t>Modèle à valider historiquement avant verrouillage</t>
        </is>
      </c>
      <c r="K77" s="8" t="n"/>
      <c r="L77" s="8" t="inlineStr">
        <is>
          <t>Aucun armement standard confirmé; dépend de la variante et des transformations de terrain</t>
        </is>
      </c>
      <c r="M77" s="8" t="inlineStr">
        <is>
          <t>Ne pas attribuer automatiquement une arme; confirmer sur l'épave</t>
        </is>
      </c>
      <c r="N77" s="8" t="inlineStr">
        <is>
          <t>À vérifier</t>
        </is>
      </c>
      <c r="O77" s="8" t="inlineStr">
        <is>
          <t>Non — contenu ultérieur</t>
        </is>
      </c>
      <c r="P77" s="8" t="inlineStr">
        <is>
          <t>À intégrer après validation du prototype</t>
        </is>
      </c>
      <c r="Q77" t="inlineStr">
        <is>
          <t>Daimler Dingo : véhicule de catégorie « Véhicule de reconnaissance », d'origine Royaume-Uni. Motorisation recensée : À rechercher. Fiche de catalogue à compléter avec le rôle tactique et les caractéristiques de jeu.</t>
        </is>
      </c>
    </row>
    <row r="78" ht="42" customHeight="1">
      <c r="A78" s="8" t="inlineStr">
        <is>
          <t>Automitrailleuses et reconnaissance</t>
        </is>
      </c>
      <c r="B78" s="8" t="inlineStr">
        <is>
          <t>Humber Armoured Car</t>
        </is>
      </c>
      <c r="C78" s="8" t="inlineStr">
        <is>
          <t>Royaume-Uni</t>
        </is>
      </c>
      <c r="D78" s="8" t="inlineStr">
        <is>
          <t>Automitrailleuse</t>
        </is>
      </c>
      <c r="E78" s="8" t="inlineStr">
        <is>
          <t>À vérifier</t>
        </is>
      </c>
      <c r="F78" s="8" t="inlineStr">
        <is>
          <t>À rechercher</t>
        </is>
      </c>
      <c r="G78" s="8" t="inlineStr">
        <is>
          <t>À rechercher</t>
        </is>
      </c>
      <c r="H78" s="8" t="inlineStr">
        <is>
          <t>À définir</t>
        </is>
      </c>
      <c r="I78" s="8" t="inlineStr">
        <is>
          <t>Inventaire initial</t>
        </is>
      </c>
      <c r="J78" s="8" t="inlineStr">
        <is>
          <t>Modèle à valider historiquement avant verrouillage</t>
        </is>
      </c>
      <c r="K78" s="8" t="n"/>
      <c r="L78" s="8" t="inlineStr">
        <is>
          <t>Aucun armement standard confirmé; dépend de la variante et des transformations de terrain</t>
        </is>
      </c>
      <c r="M78" s="8" t="inlineStr">
        <is>
          <t>Ne pas attribuer automatiquement une arme; confirmer sur l'épave</t>
        </is>
      </c>
      <c r="N78" s="8" t="inlineStr">
        <is>
          <t>À vérifier</t>
        </is>
      </c>
      <c r="O78" s="8" t="inlineStr">
        <is>
          <t>Non — contenu ultérieur</t>
        </is>
      </c>
      <c r="P78" s="8" t="inlineStr">
        <is>
          <t>À intégrer après validation du prototype</t>
        </is>
      </c>
      <c r="Q78" t="inlineStr">
        <is>
          <t>Humber Armoured Car : véhicule de catégorie « Automitrailleuse », d'origine Royaume-Uni. Motorisation recensée : À rechercher. Fiche de catalogue à compléter avec le rôle tactique et les caractéristiques de jeu.</t>
        </is>
      </c>
    </row>
    <row r="79" ht="42" customHeight="1">
      <c r="A79" s="8" t="inlineStr">
        <is>
          <t>Automitrailleuses et reconnaissance</t>
        </is>
      </c>
      <c r="B79" s="8" t="inlineStr">
        <is>
          <t>AEC Armoured Car</t>
        </is>
      </c>
      <c r="C79" s="8" t="inlineStr">
        <is>
          <t>Royaume-Uni</t>
        </is>
      </c>
      <c r="D79" s="8" t="inlineStr">
        <is>
          <t>Automitrailleuse lourde</t>
        </is>
      </c>
      <c r="E79" s="8" t="inlineStr">
        <is>
          <t>À vérifier</t>
        </is>
      </c>
      <c r="F79" s="8" t="inlineStr">
        <is>
          <t>À rechercher</t>
        </is>
      </c>
      <c r="G79" s="8" t="inlineStr">
        <is>
          <t>À rechercher</t>
        </is>
      </c>
      <c r="H79" s="8" t="inlineStr">
        <is>
          <t>À définir</t>
        </is>
      </c>
      <c r="I79" s="8" t="inlineStr">
        <is>
          <t>Inventaire initial</t>
        </is>
      </c>
      <c r="J79" s="8" t="inlineStr">
        <is>
          <t>Modèle à valider historiquement avant verrouillage</t>
        </is>
      </c>
      <c r="K79" s="8" t="n"/>
      <c r="L79" s="8" t="inlineStr">
        <is>
          <t>Aucun armement standard confirmé; dépend de la variante et des transformations de terrain</t>
        </is>
      </c>
      <c r="M79" s="8" t="inlineStr">
        <is>
          <t>Ne pas attribuer automatiquement une arme; confirmer sur l'épave</t>
        </is>
      </c>
      <c r="N79" s="8" t="inlineStr">
        <is>
          <t>À vérifier</t>
        </is>
      </c>
      <c r="O79" s="8" t="inlineStr">
        <is>
          <t>Non — contenu ultérieur</t>
        </is>
      </c>
      <c r="P79" s="8" t="inlineStr">
        <is>
          <t>À intégrer après validation du prototype</t>
        </is>
      </c>
      <c r="Q79" t="inlineStr">
        <is>
          <t>AEC Armoured Car : véhicule de catégorie « Automitrailleuse lourde », d'origine Royaume-Uni. Motorisation recensée : À rechercher. Fiche de catalogue à compléter avec le rôle tactique et les caractéristiques de jeu.</t>
        </is>
      </c>
    </row>
    <row r="80" ht="42" customHeight="1">
      <c r="A80" s="8" t="inlineStr">
        <is>
          <t>Automitrailleuses et reconnaissance</t>
        </is>
      </c>
      <c r="B80" s="8" t="inlineStr">
        <is>
          <t>Panhard AMD 178</t>
        </is>
      </c>
      <c r="C80" s="8" t="inlineStr">
        <is>
          <t>France</t>
        </is>
      </c>
      <c r="D80" s="8" t="inlineStr">
        <is>
          <t>Automitrailleuse</t>
        </is>
      </c>
      <c r="E80" s="8" t="inlineStr">
        <is>
          <t>À vérifier</t>
        </is>
      </c>
      <c r="F80" s="8" t="inlineStr">
        <is>
          <t>À rechercher</t>
        </is>
      </c>
      <c r="G80" s="8" t="inlineStr">
        <is>
          <t>À rechercher</t>
        </is>
      </c>
      <c r="H80" s="8" t="inlineStr">
        <is>
          <t>À définir</t>
        </is>
      </c>
      <c r="I80" s="8" t="inlineStr">
        <is>
          <t>Inventaire initial</t>
        </is>
      </c>
      <c r="J80" s="8" t="inlineStr">
        <is>
          <t>Modèle à valider historiquement avant verrouillage</t>
        </is>
      </c>
      <c r="K80" s="8" t="n"/>
      <c r="L80" s="8" t="inlineStr">
        <is>
          <t>Aucun armement standard confirmé; dépend de la variante et des transformations de terrain</t>
        </is>
      </c>
      <c r="M80" s="8" t="inlineStr">
        <is>
          <t>Ne pas attribuer automatiquement une arme; confirmer sur l'épave</t>
        </is>
      </c>
      <c r="N80" s="8" t="inlineStr">
        <is>
          <t>À vérifier</t>
        </is>
      </c>
      <c r="O80" s="8" t="inlineStr">
        <is>
          <t>Non — contenu ultérieur</t>
        </is>
      </c>
      <c r="P80" s="8" t="inlineStr">
        <is>
          <t>À intégrer après validation du prototype</t>
        </is>
      </c>
      <c r="Q80" t="inlineStr">
        <is>
          <t>Panhard AMD 178 : véhicule de catégorie « Automitrailleuse », d'origine France. Motorisation recensée : À rechercher. Fiche de catalogue à compléter avec le rôle tactique et les caractéristiques de jeu.</t>
        </is>
      </c>
    </row>
    <row r="81" ht="42" customHeight="1">
      <c r="A81" s="8" t="inlineStr">
        <is>
          <t>Automitrailleuses et reconnaissance</t>
        </is>
      </c>
      <c r="B81" s="8" t="inlineStr">
        <is>
          <t>Laffly 80 AM</t>
        </is>
      </c>
      <c r="C81" s="8" t="inlineStr">
        <is>
          <t>France</t>
        </is>
      </c>
      <c r="D81" s="8" t="inlineStr">
        <is>
          <t>Automitrailleuse</t>
        </is>
      </c>
      <c r="E81" s="8" t="inlineStr">
        <is>
          <t>À vérifier</t>
        </is>
      </c>
      <c r="F81" s="8" t="inlineStr">
        <is>
          <t>À rechercher</t>
        </is>
      </c>
      <c r="G81" s="8" t="inlineStr">
        <is>
          <t>À rechercher</t>
        </is>
      </c>
      <c r="H81" s="8" t="inlineStr">
        <is>
          <t>À définir</t>
        </is>
      </c>
      <c r="I81" s="8" t="inlineStr">
        <is>
          <t>Inventaire initial</t>
        </is>
      </c>
      <c r="J81" s="8" t="inlineStr">
        <is>
          <t>Modèle à valider historiquement avant verrouillage</t>
        </is>
      </c>
      <c r="K81" s="8" t="n"/>
      <c r="L81" s="8" t="inlineStr">
        <is>
          <t>Aucun armement standard confirmé; dépend de la variante et des transformations de terrain</t>
        </is>
      </c>
      <c r="M81" s="8" t="inlineStr">
        <is>
          <t>Ne pas attribuer automatiquement une arme; confirmer sur l'épave</t>
        </is>
      </c>
      <c r="N81" s="8" t="inlineStr">
        <is>
          <t>À vérifier</t>
        </is>
      </c>
      <c r="O81" s="8" t="inlineStr">
        <is>
          <t>Non — contenu ultérieur</t>
        </is>
      </c>
      <c r="P81" s="8" t="inlineStr">
        <is>
          <t>À intégrer après validation du prototype</t>
        </is>
      </c>
      <c r="Q81" t="inlineStr">
        <is>
          <t>Laffly 80 AM : véhicule de catégorie « Automitrailleuse », d'origine France. Motorisation recensée : À rechercher. Fiche de catalogue à compléter avec le rôle tactique et les caractéristiques de jeu.</t>
        </is>
      </c>
    </row>
    <row r="82" ht="42" customHeight="1">
      <c r="A82" s="8" t="inlineStr">
        <is>
          <t>Automitrailleuses et reconnaissance</t>
        </is>
      </c>
      <c r="B82" s="8" t="inlineStr">
        <is>
          <t>Sd.Kfz. 222</t>
        </is>
      </c>
      <c r="C82" s="8" t="inlineStr">
        <is>
          <t>Allemagne</t>
        </is>
      </c>
      <c r="D82" s="8" t="inlineStr">
        <is>
          <t>Voiture blindée de reconnaissance</t>
        </is>
      </c>
      <c r="E82" s="8" t="inlineStr">
        <is>
          <t>À vérifier</t>
        </is>
      </c>
      <c r="F82" s="8" t="inlineStr">
        <is>
          <t>À rechercher</t>
        </is>
      </c>
      <c r="G82" s="8" t="inlineStr">
        <is>
          <t>À rechercher</t>
        </is>
      </c>
      <c r="H82" s="8" t="inlineStr">
        <is>
          <t>À définir</t>
        </is>
      </c>
      <c r="I82" s="8" t="inlineStr">
        <is>
          <t>Inventaire initial</t>
        </is>
      </c>
      <c r="J82" s="8" t="inlineStr">
        <is>
          <t>Modèle à valider historiquement avant verrouillage</t>
        </is>
      </c>
      <c r="K82" s="8" t="n"/>
      <c r="L82" s="8" t="inlineStr">
        <is>
          <t>Armement historique à déterminer précisément pour ce modèle/sa variante</t>
        </is>
      </c>
      <c r="M82" s="8" t="inlineStr">
        <is>
          <t>Ne récupérer une arme que si elle est présente, identifiable et démontable; vérifier le calibre</t>
        </is>
      </c>
      <c r="N82" s="8" t="inlineStr">
        <is>
          <t>À vérifier</t>
        </is>
      </c>
      <c r="O82" s="8" t="inlineStr">
        <is>
          <t>Non — contenu ultérieur</t>
        </is>
      </c>
      <c r="P82" s="8" t="inlineStr">
        <is>
          <t>À intégrer après validation du prototype</t>
        </is>
      </c>
      <c r="Q82" t="inlineStr">
        <is>
          <t>Sd.Kfz. 222 : véhicule de catégorie « Voiture blindée de reconnaissance », d'origine Allemagne. Motorisation recensée : À rechercher. Fiche de catalogue à compléter avec le rôle tactique et les caractéristiques de jeu.</t>
        </is>
      </c>
    </row>
    <row r="83" ht="42" customHeight="1">
      <c r="A83" s="8" t="inlineStr">
        <is>
          <t>Automitrailleuses et reconnaissance</t>
        </is>
      </c>
      <c r="B83" s="8" t="inlineStr">
        <is>
          <t>AB 41</t>
        </is>
      </c>
      <c r="C83" s="8" t="inlineStr">
        <is>
          <t>Italie</t>
        </is>
      </c>
      <c r="D83" s="8" t="inlineStr">
        <is>
          <t>Automitrailleuse</t>
        </is>
      </c>
      <c r="E83" s="8" t="inlineStr">
        <is>
          <t>À vérifier</t>
        </is>
      </c>
      <c r="F83" s="8" t="inlineStr">
        <is>
          <t>À rechercher</t>
        </is>
      </c>
      <c r="G83" s="8" t="inlineStr">
        <is>
          <t>À rechercher</t>
        </is>
      </c>
      <c r="H83" s="8" t="inlineStr">
        <is>
          <t>À définir</t>
        </is>
      </c>
      <c r="I83" s="8" t="inlineStr">
        <is>
          <t>Inventaire initial</t>
        </is>
      </c>
      <c r="J83" s="8" t="inlineStr">
        <is>
          <t>Modèle à valider historiquement avant verrouillage</t>
        </is>
      </c>
      <c r="K83" s="8" t="n"/>
      <c r="L83" s="8" t="inlineStr">
        <is>
          <t>Aucun armement standard confirmé; dépend de la variante et des transformations de terrain</t>
        </is>
      </c>
      <c r="M83" s="8" t="inlineStr">
        <is>
          <t>Ne pas attribuer automatiquement une arme; confirmer sur l'épave</t>
        </is>
      </c>
      <c r="N83" s="8" t="inlineStr">
        <is>
          <t>À vérifier</t>
        </is>
      </c>
      <c r="O83" s="8" t="inlineStr">
        <is>
          <t>Non — contenu ultérieur</t>
        </is>
      </c>
      <c r="P83" s="8" t="inlineStr">
        <is>
          <t>À intégrer après validation du prototype</t>
        </is>
      </c>
      <c r="Q83" t="inlineStr">
        <is>
          <t>AB 41 : véhicule de catégorie « Automitrailleuse », d'origine Italie. Motorisation recensée : À rechercher. Fiche de catalogue à compléter avec le rôle tactique et les caractéristiques de jeu.</t>
        </is>
      </c>
    </row>
    <row r="84" ht="42" customHeight="1">
      <c r="A84" s="8" t="inlineStr">
        <is>
          <t>Automitrailleuses et reconnaissance</t>
        </is>
      </c>
      <c r="B84" s="8" t="inlineStr">
        <is>
          <t>BA-64</t>
        </is>
      </c>
      <c r="C84" s="8" t="inlineStr">
        <is>
          <t>URSS</t>
        </is>
      </c>
      <c r="D84" s="8" t="inlineStr">
        <is>
          <t>Voiture blindée</t>
        </is>
      </c>
      <c r="E84" s="8" t="inlineStr">
        <is>
          <t>À vérifier</t>
        </is>
      </c>
      <c r="F84" s="8" t="inlineStr">
        <is>
          <t>À rechercher</t>
        </is>
      </c>
      <c r="G84" s="8" t="inlineStr">
        <is>
          <t>À rechercher</t>
        </is>
      </c>
      <c r="H84" s="8" t="inlineStr">
        <is>
          <t>À définir</t>
        </is>
      </c>
      <c r="I84" s="8" t="inlineStr">
        <is>
          <t>Inventaire initial</t>
        </is>
      </c>
      <c r="J84" s="8" t="inlineStr">
        <is>
          <t>Modèle à valider historiquement avant verrouillage</t>
        </is>
      </c>
      <c r="K84" s="8" t="n"/>
      <c r="L84" s="8" t="inlineStr">
        <is>
          <t>Canon automatique ou mitrailleuse selon modèle; armement à vérifier individuellement</t>
        </is>
      </c>
      <c r="M84" s="8" t="inlineStr">
        <is>
          <t>Tourelle/arme récupérable seulement si réellement montée</t>
        </is>
      </c>
      <c r="N84" s="8" t="inlineStr">
        <is>
          <t>À vérifier</t>
        </is>
      </c>
      <c r="O84" s="8" t="inlineStr">
        <is>
          <t>Non — contenu ultérieur</t>
        </is>
      </c>
      <c r="P84" s="8" t="inlineStr">
        <is>
          <t>À intégrer après validation du prototype</t>
        </is>
      </c>
      <c r="Q84" t="inlineStr">
        <is>
          <t>BA-64 : véhicule de catégorie « Voiture blindée », d'origine URSS. Motorisation recensée : À rechercher. Fiche de catalogue à compléter avec le rôle tactique et les caractéristiques de jeu.</t>
        </is>
      </c>
    </row>
    <row r="85" ht="42" customHeight="1">
      <c r="A85" s="14" t="inlineStr">
        <is>
          <t>Chars légers</t>
        </is>
      </c>
      <c r="B85" s="11" t="inlineStr">
        <is>
          <t>M3 Stuart</t>
        </is>
      </c>
      <c r="C85" s="14" t="inlineStr">
        <is>
          <t>États-Unis</t>
        </is>
      </c>
      <c r="D85" s="14" t="inlineStr">
        <is>
          <t>Char léger</t>
        </is>
      </c>
      <c r="E85" s="14" t="inlineStr">
        <is>
          <t>À vérifier</t>
        </is>
      </c>
      <c r="F85" s="14" t="inlineStr">
        <is>
          <t>À rechercher</t>
        </is>
      </c>
      <c r="G85" s="14" t="inlineStr">
        <is>
          <t>À rechercher</t>
        </is>
      </c>
      <c r="H85" s="14" t="inlineStr">
        <is>
          <t>À définir</t>
        </is>
      </c>
      <c r="I85" s="14" t="inlineStr">
        <is>
          <t>Inventaire initial</t>
        </is>
      </c>
      <c r="J85" s="14" t="inlineStr">
        <is>
          <t>Modèle à valider historiquement avant verrouillage</t>
        </is>
      </c>
      <c r="K85" s="14" t="n"/>
      <c r="L85" s="14" t="inlineStr">
        <is>
          <t>Canon de 37 mm M5/M6; mitrailleuses Browning .30, nombre variable selon version</t>
        </is>
      </c>
      <c r="M85" s="14" t="inlineStr">
        <is>
          <t>Canon de 37 mm et MG; variantes sans tourelle possibles</t>
        </is>
      </c>
      <c r="N85" s="14" t="inlineStr">
        <is>
          <t>Partiel</t>
        </is>
      </c>
      <c r="O85" s="11" t="inlineStr">
        <is>
          <t>OUI — PROTOTYPE</t>
        </is>
      </c>
      <c r="P85" s="14" t="inlineStr">
        <is>
          <t>Char rapide léger</t>
        </is>
      </c>
      <c r="Q85" t="inlineStr">
        <is>
          <t>M3 Stuart : véhicule de catégorie « Char léger », d'origine États-Unis. Motorisation recensée : À rechercher. Fiche de catalogue à compléter avec le rôle tactique et les caractéristiques de jeu.</t>
        </is>
      </c>
    </row>
    <row r="86" ht="42" customHeight="1">
      <c r="A86" s="8" t="inlineStr">
        <is>
          <t>Chars légers</t>
        </is>
      </c>
      <c r="B86" s="8" t="inlineStr">
        <is>
          <t>M5 Stuart</t>
        </is>
      </c>
      <c r="C86" s="8" t="inlineStr">
        <is>
          <t>États-Unis</t>
        </is>
      </c>
      <c r="D86" s="8" t="inlineStr">
        <is>
          <t>Char léger</t>
        </is>
      </c>
      <c r="E86" s="8" t="inlineStr">
        <is>
          <t>À vérifier</t>
        </is>
      </c>
      <c r="F86" s="8" t="inlineStr">
        <is>
          <t>À rechercher</t>
        </is>
      </c>
      <c r="G86" s="8" t="inlineStr">
        <is>
          <t>À rechercher</t>
        </is>
      </c>
      <c r="H86" s="8" t="inlineStr">
        <is>
          <t>À définir</t>
        </is>
      </c>
      <c r="I86" s="8" t="inlineStr">
        <is>
          <t>Inventaire initial</t>
        </is>
      </c>
      <c r="J86" s="8" t="inlineStr">
        <is>
          <t>Modèle à valider historiquement avant verrouillage</t>
        </is>
      </c>
      <c r="K86" s="8" t="n"/>
      <c r="L86" s="8" t="inlineStr">
        <is>
          <t>Canon de 37 mm M5/M6; mitrailleuses Browning .30, nombre variable selon version</t>
        </is>
      </c>
      <c r="M86" s="8" t="inlineStr">
        <is>
          <t>Canon de 37 mm et MG; variantes sans tourelle possibles</t>
        </is>
      </c>
      <c r="N86" s="8" t="inlineStr">
        <is>
          <t>Partiel</t>
        </is>
      </c>
      <c r="O86" s="8" t="inlineStr">
        <is>
          <t>Non — contenu ultérieur</t>
        </is>
      </c>
      <c r="P86" s="8" t="inlineStr">
        <is>
          <t>À intégrer après validation du prototype</t>
        </is>
      </c>
      <c r="Q86" t="inlineStr">
        <is>
          <t>M5 Stuart : véhicule de catégorie « Char léger », d'origine États-Unis. Motorisation recensée : À rechercher. Fiche de catalogue à compléter avec le rôle tactique et les caractéristiques de jeu.</t>
        </is>
      </c>
    </row>
    <row r="87" ht="42" customHeight="1">
      <c r="A87" s="8" t="inlineStr">
        <is>
          <t>Chars légers</t>
        </is>
      </c>
      <c r="B87" s="8" t="inlineStr">
        <is>
          <t>M24 Chaffee</t>
        </is>
      </c>
      <c r="C87" s="8" t="inlineStr">
        <is>
          <t>États-Unis</t>
        </is>
      </c>
      <c r="D87" s="8" t="inlineStr">
        <is>
          <t>Char léger conçu avant 1945</t>
        </is>
      </c>
      <c r="E87" s="8" t="inlineStr">
        <is>
          <t>À vérifier</t>
        </is>
      </c>
      <c r="F87" s="8" t="inlineStr">
        <is>
          <t>À rechercher</t>
        </is>
      </c>
      <c r="G87" s="8" t="inlineStr">
        <is>
          <t>À rechercher</t>
        </is>
      </c>
      <c r="H87" s="8" t="inlineStr">
        <is>
          <t>À définir</t>
        </is>
      </c>
      <c r="I87" s="8" t="inlineStr">
        <is>
          <t>Inventaire initial</t>
        </is>
      </c>
      <c r="J87" s="8" t="inlineStr">
        <is>
          <t>Modèle à valider historiquement avant verrouillage</t>
        </is>
      </c>
      <c r="K87" s="8" t="n"/>
      <c r="L87" s="8" t="inlineStr">
        <is>
          <t>Canon de 75 mm M6; 2 mitrailleuses Browning .30 et une Browning .50</t>
        </is>
      </c>
      <c r="M87" s="8" t="inlineStr">
        <is>
          <t>Canon et mitrailleuses séparables</t>
        </is>
      </c>
      <c r="N87" s="8" t="inlineStr">
        <is>
          <t>Élevé</t>
        </is>
      </c>
      <c r="O87" s="8" t="inlineStr">
        <is>
          <t>Non — contenu ultérieur</t>
        </is>
      </c>
      <c r="P87" s="8" t="inlineStr">
        <is>
          <t>À intégrer après validation du prototype</t>
        </is>
      </c>
      <c r="Q87" t="inlineStr">
        <is>
          <t>M24 Chaffee : véhicule de catégorie « Char léger conçu avant 1945 », d'origine États-Unis. Motorisation recensée : À rechercher. Fiche de catalogue à compléter avec le rôle tactique et les caractéristiques de jeu.</t>
        </is>
      </c>
    </row>
    <row r="88" ht="42" customHeight="1">
      <c r="A88" s="8" t="inlineStr">
        <is>
          <t>Chars légers</t>
        </is>
      </c>
      <c r="B88" s="8" t="inlineStr">
        <is>
          <t>T-26</t>
        </is>
      </c>
      <c r="C88" s="8" t="inlineStr">
        <is>
          <t>URSS</t>
        </is>
      </c>
      <c r="D88" s="8" t="inlineStr">
        <is>
          <t>Char léger</t>
        </is>
      </c>
      <c r="E88" s="8" t="inlineStr">
        <is>
          <t>À vérifier</t>
        </is>
      </c>
      <c r="F88" s="8" t="inlineStr">
        <is>
          <t>À rechercher</t>
        </is>
      </c>
      <c r="G88" s="8" t="inlineStr">
        <is>
          <t>À rechercher</t>
        </is>
      </c>
      <c r="H88" s="8" t="inlineStr">
        <is>
          <t>À définir</t>
        </is>
      </c>
      <c r="I88" s="8" t="inlineStr">
        <is>
          <t>Inventaire initial</t>
        </is>
      </c>
      <c r="J88" s="8" t="inlineStr">
        <is>
          <t>Modèle à valider historiquement avant verrouillage</t>
        </is>
      </c>
      <c r="K88" s="8" t="n"/>
      <c r="L88" s="8" t="inlineStr">
        <is>
          <t>Canon de 37 mm ou 45 mm selon version; mitrailleuses DT de 7,62 mm</t>
        </is>
      </c>
      <c r="M88" s="8" t="inlineStr">
        <is>
          <t>Canon et MG selon variante</t>
        </is>
      </c>
      <c r="N88" s="8" t="inlineStr">
        <is>
          <t>Partiel</t>
        </is>
      </c>
      <c r="O88" s="8" t="inlineStr">
        <is>
          <t>Non — contenu ultérieur</t>
        </is>
      </c>
      <c r="P88" s="8" t="inlineStr">
        <is>
          <t>À intégrer après validation du prototype</t>
        </is>
      </c>
      <c r="Q88" t="inlineStr">
        <is>
          <t>T-26 : véhicule de catégorie « Char léger », d'origine URSS. Motorisation recensée : À rechercher. Fiche de catalogue à compléter avec le rôle tactique et les caractéristiques de jeu.</t>
        </is>
      </c>
    </row>
    <row r="89" ht="42" customHeight="1">
      <c r="A89" s="8" t="inlineStr">
        <is>
          <t>Chars légers</t>
        </is>
      </c>
      <c r="B89" s="8" t="inlineStr">
        <is>
          <t>BT-5 / BT-7</t>
        </is>
      </c>
      <c r="C89" s="8" t="inlineStr">
        <is>
          <t>URSS</t>
        </is>
      </c>
      <c r="D89" s="8" t="inlineStr">
        <is>
          <t>Char léger rapide</t>
        </is>
      </c>
      <c r="E89" s="8" t="inlineStr">
        <is>
          <t>À vérifier</t>
        </is>
      </c>
      <c r="F89" s="8" t="inlineStr">
        <is>
          <t>À rechercher</t>
        </is>
      </c>
      <c r="G89" s="8" t="inlineStr">
        <is>
          <t>À rechercher</t>
        </is>
      </c>
      <c r="H89" s="8" t="inlineStr">
        <is>
          <t>À définir</t>
        </is>
      </c>
      <c r="I89" s="8" t="inlineStr">
        <is>
          <t>Inventaire initial</t>
        </is>
      </c>
      <c r="J89" s="8" t="inlineStr">
        <is>
          <t>Modèle à valider historiquement avant verrouillage</t>
        </is>
      </c>
      <c r="K89" s="8" t="n"/>
      <c r="L89" s="8" t="inlineStr">
        <is>
          <t>Canon de 45 mm 20-K; mitrailleuse DT de 7,62 mm</t>
        </is>
      </c>
      <c r="M89" s="8" t="inlineStr">
        <is>
          <t>Canon et MG</t>
        </is>
      </c>
      <c r="N89" s="8" t="inlineStr">
        <is>
          <t>Élevé</t>
        </is>
      </c>
      <c r="O89" s="8" t="inlineStr">
        <is>
          <t>Non — contenu ultérieur</t>
        </is>
      </c>
      <c r="P89" s="8" t="inlineStr">
        <is>
          <t>À intégrer après validation du prototype</t>
        </is>
      </c>
      <c r="Q89" t="inlineStr">
        <is>
          <t>BT-5 / BT-7 : véhicule de catégorie « Char léger rapide », d'origine URSS. Motorisation recensée : À rechercher. Fiche de catalogue à compléter avec le rôle tactique et les caractéristiques de jeu.</t>
        </is>
      </c>
    </row>
    <row r="90" ht="42" customHeight="1">
      <c r="A90" s="8" t="inlineStr">
        <is>
          <t>Chars légers</t>
        </is>
      </c>
      <c r="B90" s="8" t="inlineStr">
        <is>
          <t>T-60</t>
        </is>
      </c>
      <c r="C90" s="8" t="inlineStr">
        <is>
          <t>URSS</t>
        </is>
      </c>
      <c r="D90" s="8" t="inlineStr">
        <is>
          <t>Char léger</t>
        </is>
      </c>
      <c r="E90" s="8" t="inlineStr">
        <is>
          <t>À vérifier</t>
        </is>
      </c>
      <c r="F90" s="8" t="inlineStr">
        <is>
          <t>À rechercher</t>
        </is>
      </c>
      <c r="G90" s="8" t="inlineStr">
        <is>
          <t>À rechercher</t>
        </is>
      </c>
      <c r="H90" s="8" t="inlineStr">
        <is>
          <t>À définir</t>
        </is>
      </c>
      <c r="I90" s="8" t="inlineStr">
        <is>
          <t>Inventaire initial</t>
        </is>
      </c>
      <c r="J90" s="8" t="inlineStr">
        <is>
          <t>Modèle à valider historiquement avant verrouillage</t>
        </is>
      </c>
      <c r="K90" s="8" t="n"/>
      <c r="L90" s="8" t="inlineStr">
        <is>
          <t>Armement historique à déterminer précisément pour ce modèle/sa variante</t>
        </is>
      </c>
      <c r="M90" s="8" t="inlineStr">
        <is>
          <t>Ne récupérer une arme que si elle est présente, identifiable et démontable; vérifier le calibre</t>
        </is>
      </c>
      <c r="N90" s="8" t="inlineStr">
        <is>
          <t>À vérifier</t>
        </is>
      </c>
      <c r="O90" s="8" t="inlineStr">
        <is>
          <t>Non — contenu ultérieur</t>
        </is>
      </c>
      <c r="P90" s="8" t="inlineStr">
        <is>
          <t>À intégrer après validation du prototype</t>
        </is>
      </c>
      <c r="Q90" t="inlineStr">
        <is>
          <t>T-60 : véhicule de catégorie « Char léger », d'origine URSS. Motorisation recensée : À rechercher. Fiche de catalogue à compléter avec le rôle tactique et les caractéristiques de jeu.</t>
        </is>
      </c>
    </row>
    <row r="91" ht="42" customHeight="1">
      <c r="A91" s="8" t="inlineStr">
        <is>
          <t>Chars légers</t>
        </is>
      </c>
      <c r="B91" s="8" t="inlineStr">
        <is>
          <t>T-70</t>
        </is>
      </c>
      <c r="C91" s="8" t="inlineStr">
        <is>
          <t>URSS</t>
        </is>
      </c>
      <c r="D91" s="8" t="inlineStr">
        <is>
          <t>Char léger</t>
        </is>
      </c>
      <c r="E91" s="8" t="inlineStr">
        <is>
          <t>À vérifier</t>
        </is>
      </c>
      <c r="F91" s="8" t="inlineStr">
        <is>
          <t>À rechercher</t>
        </is>
      </c>
      <c r="G91" s="8" t="inlineStr">
        <is>
          <t>À rechercher</t>
        </is>
      </c>
      <c r="H91" s="8" t="inlineStr">
        <is>
          <t>À définir</t>
        </is>
      </c>
      <c r="I91" s="8" t="inlineStr">
        <is>
          <t>Inventaire initial</t>
        </is>
      </c>
      <c r="J91" s="8" t="inlineStr">
        <is>
          <t>Modèle à valider historiquement avant verrouillage</t>
        </is>
      </c>
      <c r="K91" s="8" t="n"/>
      <c r="L91" s="8" t="inlineStr">
        <is>
          <t>Armement historique à déterminer précisément pour ce modèle/sa variante</t>
        </is>
      </c>
      <c r="M91" s="8" t="inlineStr">
        <is>
          <t>Ne récupérer une arme que si elle est présente, identifiable et démontable; vérifier le calibre</t>
        </is>
      </c>
      <c r="N91" s="8" t="inlineStr">
        <is>
          <t>À vérifier</t>
        </is>
      </c>
      <c r="O91" s="8" t="inlineStr">
        <is>
          <t>Non — contenu ultérieur</t>
        </is>
      </c>
      <c r="P91" s="8" t="inlineStr">
        <is>
          <t>À intégrer après validation du prototype</t>
        </is>
      </c>
      <c r="Q91" t="inlineStr">
        <is>
          <t>T-70 : véhicule de catégorie « Char léger », d'origine URSS. Motorisation recensée : À rechercher. Fiche de catalogue à compléter avec le rôle tactique et les caractéristiques de jeu.</t>
        </is>
      </c>
    </row>
    <row r="92" ht="42" customHeight="1">
      <c r="A92" s="8" t="inlineStr">
        <is>
          <t>Chars légers</t>
        </is>
      </c>
      <c r="B92" s="8" t="inlineStr">
        <is>
          <t>Panzer II</t>
        </is>
      </c>
      <c r="C92" s="8" t="inlineStr">
        <is>
          <t>Allemagne</t>
        </is>
      </c>
      <c r="D92" s="8" t="inlineStr">
        <is>
          <t>Char léger</t>
        </is>
      </c>
      <c r="E92" s="8" t="inlineStr">
        <is>
          <t>À vérifier</t>
        </is>
      </c>
      <c r="F92" s="8" t="inlineStr">
        <is>
          <t>À rechercher</t>
        </is>
      </c>
      <c r="G92" s="8" t="inlineStr">
        <is>
          <t>À rechercher</t>
        </is>
      </c>
      <c r="H92" s="8" t="inlineStr">
        <is>
          <t>À définir</t>
        </is>
      </c>
      <c r="I92" s="8" t="inlineStr">
        <is>
          <t>Inventaire initial</t>
        </is>
      </c>
      <c r="J92" s="8" t="inlineStr">
        <is>
          <t>Modèle à valider historiquement avant verrouillage</t>
        </is>
      </c>
      <c r="K92" s="8" t="n"/>
      <c r="L92" s="8" t="inlineStr">
        <is>
          <t>2 mitrailleuses MG 13 de 7,92 mm</t>
        </is>
      </c>
      <c r="M92" s="8" t="inlineStr">
        <is>
          <t>1–2 mitrailleuses selon état; tourelle/affûts distincts</t>
        </is>
      </c>
      <c r="N92" s="8" t="inlineStr">
        <is>
          <t>Élevé</t>
        </is>
      </c>
      <c r="O92" s="8" t="inlineStr">
        <is>
          <t>Non — contenu ultérieur</t>
        </is>
      </c>
      <c r="P92" s="8" t="inlineStr">
        <is>
          <t>À intégrer après validation du prototype</t>
        </is>
      </c>
      <c r="Q92" t="inlineStr">
        <is>
          <t>Panzer II : véhicule de catégorie « Char léger », d'origine Allemagne. Motorisation recensée : À rechercher. Fiche de catalogue à compléter avec le rôle tactique et les caractéristiques de jeu.</t>
        </is>
      </c>
    </row>
    <row r="93" ht="42" customHeight="1">
      <c r="A93" s="8" t="inlineStr">
        <is>
          <t>Chars légers</t>
        </is>
      </c>
      <c r="B93" s="8" t="inlineStr">
        <is>
          <t>Panzer 38(t)</t>
        </is>
      </c>
      <c r="C93" s="8" t="inlineStr">
        <is>
          <t>Tchécoslovaquie/Allemagne</t>
        </is>
      </c>
      <c r="D93" s="8" t="inlineStr">
        <is>
          <t>Char léger</t>
        </is>
      </c>
      <c r="E93" s="8" t="inlineStr">
        <is>
          <t>À vérifier</t>
        </is>
      </c>
      <c r="F93" s="8" t="inlineStr">
        <is>
          <t>À rechercher</t>
        </is>
      </c>
      <c r="G93" s="8" t="inlineStr">
        <is>
          <t>À rechercher</t>
        </is>
      </c>
      <c r="H93" s="8" t="inlineStr">
        <is>
          <t>À définir</t>
        </is>
      </c>
      <c r="I93" s="8" t="inlineStr">
        <is>
          <t>Inventaire initial</t>
        </is>
      </c>
      <c r="J93" s="8" t="inlineStr">
        <is>
          <t>Modèle à valider historiquement avant verrouillage</t>
        </is>
      </c>
      <c r="K93" s="8" t="n"/>
      <c r="L93" s="8" t="inlineStr">
        <is>
          <t>Armement historique à déterminer précisément pour ce modèle/sa variante</t>
        </is>
      </c>
      <c r="M93" s="8" t="inlineStr">
        <is>
          <t>Ne récupérer une arme que si elle est présente, identifiable et démontable; vérifier le calibre</t>
        </is>
      </c>
      <c r="N93" s="8" t="inlineStr">
        <is>
          <t>À vérifier</t>
        </is>
      </c>
      <c r="O93" s="8" t="inlineStr">
        <is>
          <t>Non — contenu ultérieur</t>
        </is>
      </c>
      <c r="P93" s="8" t="inlineStr">
        <is>
          <t>À intégrer après validation du prototype</t>
        </is>
      </c>
      <c r="Q93" t="inlineStr">
        <is>
          <t>Panzer 38(t) : véhicule de catégorie « Char léger », d'origine Tchécoslovaquie/Allemagne. Motorisation recensée : À rechercher. Fiche de catalogue à compléter avec le rôle tactique et les caractéristiques de jeu.</t>
        </is>
      </c>
    </row>
    <row r="94" ht="42" customHeight="1">
      <c r="A94" s="8" t="inlineStr">
        <is>
          <t>Chars légers</t>
        </is>
      </c>
      <c r="B94" s="8" t="inlineStr">
        <is>
          <t>Renault R35</t>
        </is>
      </c>
      <c r="C94" s="8" t="inlineStr">
        <is>
          <t>France</t>
        </is>
      </c>
      <c r="D94" s="8" t="inlineStr">
        <is>
          <t>Char léger</t>
        </is>
      </c>
      <c r="E94" s="8" t="inlineStr">
        <is>
          <t>À vérifier</t>
        </is>
      </c>
      <c r="F94" s="8" t="inlineStr">
        <is>
          <t>À rechercher</t>
        </is>
      </c>
      <c r="G94" s="8" t="inlineStr">
        <is>
          <t>À rechercher</t>
        </is>
      </c>
      <c r="H94" s="8" t="inlineStr">
        <is>
          <t>À définir</t>
        </is>
      </c>
      <c r="I94" s="8" t="inlineStr">
        <is>
          <t>Inventaire initial</t>
        </is>
      </c>
      <c r="J94" s="8" t="inlineStr">
        <is>
          <t>Modèle à valider historiquement avant verrouillage</t>
        </is>
      </c>
      <c r="K94" s="8" t="n"/>
      <c r="L94" s="8" t="inlineStr">
        <is>
          <t>Armement historique à déterminer précisément pour ce modèle/sa variante</t>
        </is>
      </c>
      <c r="M94" s="8" t="inlineStr">
        <is>
          <t>Ne récupérer une arme que si elle est présente, identifiable et démontable; vérifier le calibre</t>
        </is>
      </c>
      <c r="N94" s="8" t="inlineStr">
        <is>
          <t>À vérifier</t>
        </is>
      </c>
      <c r="O94" s="8" t="inlineStr">
        <is>
          <t>Non — contenu ultérieur</t>
        </is>
      </c>
      <c r="P94" s="8" t="inlineStr">
        <is>
          <t>À intégrer après validation du prototype</t>
        </is>
      </c>
      <c r="Q94" t="inlineStr">
        <is>
          <t>Renault R35 : véhicule de catégorie « Char léger », d'origine France. Motorisation recensée : À rechercher. Fiche de catalogue à compléter avec le rôle tactique et les caractéristiques de jeu.</t>
        </is>
      </c>
    </row>
    <row r="95" ht="42" customHeight="1">
      <c r="A95" s="8" t="inlineStr">
        <is>
          <t>Chars légers</t>
        </is>
      </c>
      <c r="B95" s="8" t="inlineStr">
        <is>
          <t>Hotchkiss H35 / H39</t>
        </is>
      </c>
      <c r="C95" s="8" t="inlineStr">
        <is>
          <t>France</t>
        </is>
      </c>
      <c r="D95" s="8" t="inlineStr">
        <is>
          <t>Char léger</t>
        </is>
      </c>
      <c r="E95" s="8" t="inlineStr">
        <is>
          <t>À vérifier</t>
        </is>
      </c>
      <c r="F95" s="8" t="inlineStr">
        <is>
          <t>À rechercher</t>
        </is>
      </c>
      <c r="G95" s="8" t="inlineStr">
        <is>
          <t>À rechercher</t>
        </is>
      </c>
      <c r="H95" s="8" t="inlineStr">
        <is>
          <t>À définir</t>
        </is>
      </c>
      <c r="I95" s="8" t="inlineStr">
        <is>
          <t>Inventaire initial</t>
        </is>
      </c>
      <c r="J95" s="8" t="inlineStr">
        <is>
          <t>Modèle à valider historiquement avant verrouillage</t>
        </is>
      </c>
      <c r="K95" s="8" t="n"/>
      <c r="L95" s="8" t="inlineStr">
        <is>
          <t>Armement historique à déterminer précisément pour ce modèle/sa variante</t>
        </is>
      </c>
      <c r="M95" s="8" t="inlineStr">
        <is>
          <t>Ne récupérer une arme que si elle est présente, identifiable et démontable; vérifier le calibre</t>
        </is>
      </c>
      <c r="N95" s="8" t="inlineStr">
        <is>
          <t>À vérifier</t>
        </is>
      </c>
      <c r="O95" s="8" t="inlineStr">
        <is>
          <t>Non — contenu ultérieur</t>
        </is>
      </c>
      <c r="P95" s="8" t="inlineStr">
        <is>
          <t>À intégrer après validation du prototype</t>
        </is>
      </c>
      <c r="Q95" t="inlineStr">
        <is>
          <t>Hotchkiss H35 / H39 : véhicule de catégorie « Char léger », d'origine France. Motorisation recensée : À rechercher. Fiche de catalogue à compléter avec le rôle tactique et les caractéristiques de jeu.</t>
        </is>
      </c>
    </row>
    <row r="96" ht="42" customHeight="1">
      <c r="A96" s="8" t="inlineStr">
        <is>
          <t>Chars légers</t>
        </is>
      </c>
      <c r="B96" s="8" t="inlineStr">
        <is>
          <t>Fiat L3/35</t>
        </is>
      </c>
      <c r="C96" s="8" t="inlineStr">
        <is>
          <t>Italie</t>
        </is>
      </c>
      <c r="D96" s="8" t="inlineStr">
        <is>
          <t>Tankette</t>
        </is>
      </c>
      <c r="E96" s="8" t="inlineStr">
        <is>
          <t>À vérifier</t>
        </is>
      </c>
      <c r="F96" s="8" t="inlineStr">
        <is>
          <t>À rechercher</t>
        </is>
      </c>
      <c r="G96" s="8" t="inlineStr">
        <is>
          <t>À rechercher</t>
        </is>
      </c>
      <c r="H96" s="8" t="inlineStr">
        <is>
          <t>À définir</t>
        </is>
      </c>
      <c r="I96" s="8" t="inlineStr">
        <is>
          <t>Inventaire initial</t>
        </is>
      </c>
      <c r="J96" s="8" t="inlineStr">
        <is>
          <t>Modèle à valider historiquement avant verrouillage</t>
        </is>
      </c>
      <c r="K96" s="8" t="n"/>
      <c r="L96" s="8" t="inlineStr">
        <is>
          <t>Armement historique à déterminer précisément pour ce modèle/sa variante</t>
        </is>
      </c>
      <c r="M96" s="8" t="inlineStr">
        <is>
          <t>Ne récupérer une arme que si elle est présente, identifiable et démontable; vérifier le calibre</t>
        </is>
      </c>
      <c r="N96" s="8" t="inlineStr">
        <is>
          <t>À vérifier</t>
        </is>
      </c>
      <c r="O96" s="8" t="inlineStr">
        <is>
          <t>Non — contenu ultérieur</t>
        </is>
      </c>
      <c r="P96" s="8" t="inlineStr">
        <is>
          <t>À intégrer après validation du prototype</t>
        </is>
      </c>
      <c r="Q96" t="inlineStr">
        <is>
          <t>Fiat L3/35 : véhicule de catégorie « Tankette », d'origine Italie. Motorisation recensée : À rechercher. Fiche de catalogue à compléter avec le rôle tactique et les caractéristiques de jeu.</t>
        </is>
      </c>
    </row>
    <row r="97" ht="42" customHeight="1">
      <c r="A97" s="14" t="inlineStr">
        <is>
          <t>Chars moyens</t>
        </is>
      </c>
      <c r="B97" s="11" t="inlineStr">
        <is>
          <t>M4 Sherman</t>
        </is>
      </c>
      <c r="C97" s="14" t="inlineStr">
        <is>
          <t>États-Unis</t>
        </is>
      </c>
      <c r="D97" s="14" t="inlineStr">
        <is>
          <t>Char moyen</t>
        </is>
      </c>
      <c r="E97" s="14" t="inlineStr">
        <is>
          <t>À vérifier</t>
        </is>
      </c>
      <c r="F97" s="14" t="inlineStr">
        <is>
          <t>À rechercher</t>
        </is>
      </c>
      <c r="G97" s="14" t="inlineStr">
        <is>
          <t>À rechercher</t>
        </is>
      </c>
      <c r="H97" s="14" t="inlineStr">
        <is>
          <t>À définir</t>
        </is>
      </c>
      <c r="I97" s="14" t="inlineStr">
        <is>
          <t>Inventaire initial</t>
        </is>
      </c>
      <c r="J97" s="14" t="inlineStr">
        <is>
          <t>Modèle à valider historiquement avant verrouillage</t>
        </is>
      </c>
      <c r="K97" s="14" t="n"/>
      <c r="L97" s="14" t="inlineStr">
        <is>
          <t>Canon de 75 mm M3, 76 mm M1 ou obusier de 105 mm selon version; mitrailleuses Browning .30 et souvent .50</t>
        </is>
      </c>
      <c r="M97" s="14" t="inlineStr">
        <is>
          <t>Canon et mitrailleuses; identifier la tourelle/variante avant attribution</t>
        </is>
      </c>
      <c r="N97" s="14" t="inlineStr">
        <is>
          <t>Partiel</t>
        </is>
      </c>
      <c r="O97" s="11" t="inlineStr">
        <is>
          <t>OUI — PROTOTYPE</t>
        </is>
      </c>
      <c r="P97" s="14" t="inlineStr">
        <is>
          <t>Char de combat polyvalent</t>
        </is>
      </c>
      <c r="Q97" t="inlineStr">
        <is>
          <t>M4 Sherman : véhicule de catégorie « Char moyen », d'origine États-Unis. Motorisation recensée : À rechercher. Fiche de catalogue à compléter avec le rôle tactique et les caractéristiques de jeu.</t>
        </is>
      </c>
    </row>
    <row r="98" ht="42" customHeight="1">
      <c r="A98" s="8" t="inlineStr">
        <is>
          <t>Chars moyens</t>
        </is>
      </c>
      <c r="B98" s="8" t="inlineStr">
        <is>
          <t>M3 Lee / Grant</t>
        </is>
      </c>
      <c r="C98" s="8" t="inlineStr">
        <is>
          <t>États-Unis</t>
        </is>
      </c>
      <c r="D98" s="8" t="inlineStr">
        <is>
          <t>Char moyen</t>
        </is>
      </c>
      <c r="E98" s="8" t="inlineStr">
        <is>
          <t>À vérifier</t>
        </is>
      </c>
      <c r="F98" s="8" t="inlineStr">
        <is>
          <t>À rechercher</t>
        </is>
      </c>
      <c r="G98" s="8" t="inlineStr">
        <is>
          <t>À rechercher</t>
        </is>
      </c>
      <c r="H98" s="8" t="inlineStr">
        <is>
          <t>À définir</t>
        </is>
      </c>
      <c r="I98" s="8" t="inlineStr">
        <is>
          <t>Inventaire initial</t>
        </is>
      </c>
      <c r="J98" s="8" t="inlineStr">
        <is>
          <t>Modèle à valider historiquement avant verrouillage</t>
        </is>
      </c>
      <c r="K98" s="8" t="n"/>
      <c r="L98" s="8" t="inlineStr">
        <is>
          <t>Canon de 75 mm en casemate + canon de 37 mm en tourelle; mitrailleuses Browning .30</t>
        </is>
      </c>
      <c r="M98" s="8" t="inlineStr">
        <is>
          <t>Deux canons de calibres différents et MG; récupération complexe</t>
        </is>
      </c>
      <c r="N98" s="8" t="inlineStr">
        <is>
          <t>Élevé</t>
        </is>
      </c>
      <c r="O98" s="8" t="inlineStr">
        <is>
          <t>Non — contenu ultérieur</t>
        </is>
      </c>
      <c r="P98" s="8" t="inlineStr">
        <is>
          <t>À intégrer après validation du prototype</t>
        </is>
      </c>
      <c r="Q98" t="inlineStr">
        <is>
          <t>M3 Lee / Grant : véhicule de catégorie « Char moyen », d'origine États-Unis. Motorisation recensée : À rechercher. Fiche de catalogue à compléter avec le rôle tactique et les caractéristiques de jeu.</t>
        </is>
      </c>
    </row>
    <row r="99" ht="42" customHeight="1">
      <c r="A99" s="8" t="inlineStr">
        <is>
          <t>Chars moyens</t>
        </is>
      </c>
      <c r="B99" s="8" t="inlineStr">
        <is>
          <t>T-34</t>
        </is>
      </c>
      <c r="C99" s="8" t="inlineStr">
        <is>
          <t>URSS</t>
        </is>
      </c>
      <c r="D99" s="8" t="inlineStr">
        <is>
          <t>Char moyen</t>
        </is>
      </c>
      <c r="E99" s="8" t="inlineStr">
        <is>
          <t>À vérifier</t>
        </is>
      </c>
      <c r="F99" s="8" t="inlineStr">
        <is>
          <t>À rechercher</t>
        </is>
      </c>
      <c r="G99" s="8" t="inlineStr">
        <is>
          <t>À rechercher</t>
        </is>
      </c>
      <c r="H99" s="8" t="inlineStr">
        <is>
          <t>À définir</t>
        </is>
      </c>
      <c r="I99" s="8" t="inlineStr">
        <is>
          <t>Inventaire initial</t>
        </is>
      </c>
      <c r="J99" s="8" t="inlineStr">
        <is>
          <t>Modèle à valider historiquement avant verrouillage</t>
        </is>
      </c>
      <c r="K99" s="8" t="n"/>
      <c r="L99" s="8" t="inlineStr">
        <is>
          <t>Canon de 76,2 mm L-11/F-34 selon modèle; 2 mitrailleuses DT de 7,62 mm</t>
        </is>
      </c>
      <c r="M99" s="8" t="inlineStr">
        <is>
          <t>Canon et MG; variante précise importante</t>
        </is>
      </c>
      <c r="N99" s="8" t="inlineStr">
        <is>
          <t>Élevé</t>
        </is>
      </c>
      <c r="O99" s="8" t="inlineStr">
        <is>
          <t>Non — contenu ultérieur</t>
        </is>
      </c>
      <c r="P99" s="8" t="inlineStr">
        <is>
          <t>À intégrer après validation du prototype</t>
        </is>
      </c>
      <c r="Q99" t="inlineStr">
        <is>
          <t>T-34 : véhicule de catégorie « Char moyen », d'origine URSS. Motorisation recensée : À rechercher. Fiche de catalogue à compléter avec le rôle tactique et les caractéristiques de jeu.</t>
        </is>
      </c>
    </row>
    <row r="100" ht="42" customHeight="1">
      <c r="A100" s="8" t="inlineStr">
        <is>
          <t>Chars moyens</t>
        </is>
      </c>
      <c r="B100" s="8" t="inlineStr">
        <is>
          <t>Panzer III</t>
        </is>
      </c>
      <c r="C100" s="8" t="inlineStr">
        <is>
          <t>Allemagne</t>
        </is>
      </c>
      <c r="D100" s="8" t="inlineStr">
        <is>
          <t>Char moyen</t>
        </is>
      </c>
      <c r="E100" s="8" t="inlineStr">
        <is>
          <t>À vérifier</t>
        </is>
      </c>
      <c r="F100" s="8" t="inlineStr">
        <is>
          <t>À rechercher</t>
        </is>
      </c>
      <c r="G100" s="8" t="inlineStr">
        <is>
          <t>À rechercher</t>
        </is>
      </c>
      <c r="H100" s="8" t="inlineStr">
        <is>
          <t>À définir</t>
        </is>
      </c>
      <c r="I100" s="8" t="inlineStr">
        <is>
          <t>Inventaire initial</t>
        </is>
      </c>
      <c r="J100" s="8" t="inlineStr">
        <is>
          <t>Modèle à valider historiquement avant verrouillage</t>
        </is>
      </c>
      <c r="K100" s="8" t="n"/>
      <c r="L100" s="8" t="inlineStr">
        <is>
          <t>2 mitrailleuses MG 13 de 7,92 mm</t>
        </is>
      </c>
      <c r="M100" s="8" t="inlineStr">
        <is>
          <t>1–2 mitrailleuses selon état; tourelle/affûts distincts</t>
        </is>
      </c>
      <c r="N100" s="8" t="inlineStr">
        <is>
          <t>Élevé</t>
        </is>
      </c>
      <c r="O100" s="8" t="inlineStr">
        <is>
          <t>Non — contenu ultérieur</t>
        </is>
      </c>
      <c r="P100" s="8" t="inlineStr">
        <is>
          <t>À intégrer après validation du prototype</t>
        </is>
      </c>
      <c r="Q100" t="inlineStr">
        <is>
          <t>Panzer III : véhicule de catégorie « Char moyen », d'origine Allemagne. Motorisation recensée : À rechercher. Fiche de catalogue à compléter avec le rôle tactique et les caractéristiques de jeu.</t>
        </is>
      </c>
    </row>
    <row r="101" ht="42" customHeight="1">
      <c r="A101" s="8" t="inlineStr">
        <is>
          <t>Chars moyens</t>
        </is>
      </c>
      <c r="B101" s="8" t="inlineStr">
        <is>
          <t>Panzer IV</t>
        </is>
      </c>
      <c r="C101" s="8" t="inlineStr">
        <is>
          <t>Allemagne</t>
        </is>
      </c>
      <c r="D101" s="8" t="inlineStr">
        <is>
          <t>Char moyen</t>
        </is>
      </c>
      <c r="E101" s="8" t="inlineStr">
        <is>
          <t>À vérifier</t>
        </is>
      </c>
      <c r="F101" s="8" t="inlineStr">
        <is>
          <t>À rechercher</t>
        </is>
      </c>
      <c r="G101" s="8" t="inlineStr">
        <is>
          <t>À rechercher</t>
        </is>
      </c>
      <c r="H101" s="8" t="inlineStr">
        <is>
          <t>À définir</t>
        </is>
      </c>
      <c r="I101" s="8" t="inlineStr">
        <is>
          <t>Inventaire initial</t>
        </is>
      </c>
      <c r="J101" s="8" t="inlineStr">
        <is>
          <t>Modèle à valider historiquement avant verrouillage</t>
        </is>
      </c>
      <c r="K101" s="8" t="n"/>
      <c r="L101" s="8" t="inlineStr">
        <is>
          <t>2 mitrailleuses MG 13 de 7,92 mm</t>
        </is>
      </c>
      <c r="M101" s="8" t="inlineStr">
        <is>
          <t>1–2 mitrailleuses selon état; tourelle/affûts distincts</t>
        </is>
      </c>
      <c r="N101" s="8" t="inlineStr">
        <is>
          <t>Élevé</t>
        </is>
      </c>
      <c r="O101" s="8" t="inlineStr">
        <is>
          <t>Non — contenu ultérieur</t>
        </is>
      </c>
      <c r="P101" s="8" t="inlineStr">
        <is>
          <t>À intégrer après validation du prototype</t>
        </is>
      </c>
      <c r="Q101" t="inlineStr">
        <is>
          <t>Panzer IV : véhicule de catégorie « Char moyen », d'origine Allemagne. Motorisation recensée : À rechercher. Fiche de catalogue à compléter avec le rôle tactique et les caractéristiques de jeu.</t>
        </is>
      </c>
    </row>
    <row r="102" ht="42" customHeight="1">
      <c r="A102" s="8" t="inlineStr">
        <is>
          <t>Chars moyens</t>
        </is>
      </c>
      <c r="B102" s="8" t="inlineStr">
        <is>
          <t>Panther (Panzer V)</t>
        </is>
      </c>
      <c r="C102" s="8" t="inlineStr">
        <is>
          <t>Allemagne</t>
        </is>
      </c>
      <c r="D102" s="8" t="inlineStr">
        <is>
          <t>Char moyen</t>
        </is>
      </c>
      <c r="E102" s="8" t="inlineStr">
        <is>
          <t>À vérifier</t>
        </is>
      </c>
      <c r="F102" s="8" t="inlineStr">
        <is>
          <t>À rechercher</t>
        </is>
      </c>
      <c r="G102" s="8" t="inlineStr">
        <is>
          <t>À rechercher</t>
        </is>
      </c>
      <c r="H102" s="8" t="inlineStr">
        <is>
          <t>À définir</t>
        </is>
      </c>
      <c r="I102" s="8" t="inlineStr">
        <is>
          <t>Inventaire initial</t>
        </is>
      </c>
      <c r="J102" s="8" t="inlineStr">
        <is>
          <t>Modèle à valider historiquement avant verrouillage</t>
        </is>
      </c>
      <c r="K102" s="8" t="n"/>
      <c r="L102" s="8" t="inlineStr">
        <is>
          <t>Canon de 75 mm KwK 42 L/70; 2–3 MG 34/42 selon version</t>
        </is>
      </c>
      <c r="M102" s="8" t="inlineStr">
        <is>
          <t>Canon principal, MG coaxiale et/ou de caisse selon variante</t>
        </is>
      </c>
      <c r="N102" s="8" t="inlineStr">
        <is>
          <t>Élevé</t>
        </is>
      </c>
      <c r="O102" s="8" t="inlineStr">
        <is>
          <t>Non — contenu ultérieur</t>
        </is>
      </c>
      <c r="P102" s="8" t="inlineStr">
        <is>
          <t>À intégrer après validation du prototype</t>
        </is>
      </c>
      <c r="Q102" t="inlineStr">
        <is>
          <t>Panther (Panzer V) : véhicule de catégorie « Char moyen », d'origine Allemagne. Motorisation recensée : À rechercher. Fiche de catalogue à compléter avec le rôle tactique et les caractéristiques de jeu.</t>
        </is>
      </c>
    </row>
    <row r="103" ht="42" customHeight="1">
      <c r="A103" s="8" t="inlineStr">
        <is>
          <t>Chars moyens</t>
        </is>
      </c>
      <c r="B103" s="8" t="inlineStr">
        <is>
          <t>Cromwell</t>
        </is>
      </c>
      <c r="C103" s="8" t="inlineStr">
        <is>
          <t>Royaume-Uni</t>
        </is>
      </c>
      <c r="D103" s="8" t="inlineStr">
        <is>
          <t>Char moyen</t>
        </is>
      </c>
      <c r="E103" s="8" t="inlineStr">
        <is>
          <t>À vérifier</t>
        </is>
      </c>
      <c r="F103" s="8" t="inlineStr">
        <is>
          <t>À rechercher</t>
        </is>
      </c>
      <c r="G103" s="8" t="inlineStr">
        <is>
          <t>À rechercher</t>
        </is>
      </c>
      <c r="H103" s="8" t="inlineStr">
        <is>
          <t>À définir</t>
        </is>
      </c>
      <c r="I103" s="8" t="inlineStr">
        <is>
          <t>Inventaire initial</t>
        </is>
      </c>
      <c r="J103" s="8" t="inlineStr">
        <is>
          <t>Modèle à valider historiquement avant verrouillage</t>
        </is>
      </c>
      <c r="K103" s="8" t="n"/>
      <c r="L103" s="8" t="inlineStr">
        <is>
          <t>Canon de 6-pdr ou 75 mm selon version; mitrailleuses Besa 7,92 mm</t>
        </is>
      </c>
      <c r="M103" s="8" t="inlineStr">
        <is>
          <t>Canon et Besa selon variante</t>
        </is>
      </c>
      <c r="N103" s="8" t="inlineStr">
        <is>
          <t>Partiel</t>
        </is>
      </c>
      <c r="O103" s="8" t="inlineStr">
        <is>
          <t>Non — contenu ultérieur</t>
        </is>
      </c>
      <c r="P103" s="8" t="inlineStr">
        <is>
          <t>À intégrer après validation du prototype</t>
        </is>
      </c>
      <c r="Q103" t="inlineStr">
        <is>
          <t>Cromwell : véhicule de catégorie « Char moyen », d'origine Royaume-Uni. Motorisation recensée : À rechercher. Fiche de catalogue à compléter avec le rôle tactique et les caractéristiques de jeu.</t>
        </is>
      </c>
    </row>
    <row r="104" ht="42" customHeight="1">
      <c r="A104" s="8" t="inlineStr">
        <is>
          <t>Chars moyens</t>
        </is>
      </c>
      <c r="B104" s="8" t="inlineStr">
        <is>
          <t>Crusader</t>
        </is>
      </c>
      <c r="C104" s="8" t="inlineStr">
        <is>
          <t>Royaume-Uni</t>
        </is>
      </c>
      <c r="D104" s="8" t="inlineStr">
        <is>
          <t>Char croiseur</t>
        </is>
      </c>
      <c r="E104" s="8" t="inlineStr">
        <is>
          <t>À vérifier</t>
        </is>
      </c>
      <c r="F104" s="8" t="inlineStr">
        <is>
          <t>À rechercher</t>
        </is>
      </c>
      <c r="G104" s="8" t="inlineStr">
        <is>
          <t>À rechercher</t>
        </is>
      </c>
      <c r="H104" s="8" t="inlineStr">
        <is>
          <t>À définir</t>
        </is>
      </c>
      <c r="I104" s="8" t="inlineStr">
        <is>
          <t>Inventaire initial</t>
        </is>
      </c>
      <c r="J104" s="8" t="inlineStr">
        <is>
          <t>Modèle à valider historiquement avant verrouillage</t>
        </is>
      </c>
      <c r="K104" s="8" t="n"/>
      <c r="L104" s="8" t="inlineStr">
        <is>
          <t>Canon de 2-pdr ou 6-pdr selon version; mitrailleuse Besa 7,92 mm</t>
        </is>
      </c>
      <c r="M104" s="8" t="inlineStr">
        <is>
          <t>Canon et Besa selon variante</t>
        </is>
      </c>
      <c r="N104" s="8" t="inlineStr">
        <is>
          <t>Partiel</t>
        </is>
      </c>
      <c r="O104" s="8" t="inlineStr">
        <is>
          <t>Non — contenu ultérieur</t>
        </is>
      </c>
      <c r="P104" s="8" t="inlineStr">
        <is>
          <t>À intégrer après validation du prototype</t>
        </is>
      </c>
      <c r="Q104" t="inlineStr">
        <is>
          <t>Crusader : véhicule de catégorie « Char croiseur », d'origine Royaume-Uni. Motorisation recensée : À rechercher. Fiche de catalogue à compléter avec le rôle tactique et les caractéristiques de jeu.</t>
        </is>
      </c>
    </row>
    <row r="105" ht="42" customHeight="1">
      <c r="A105" s="8" t="inlineStr">
        <is>
          <t>Chars moyens</t>
        </is>
      </c>
      <c r="B105" s="8" t="inlineStr">
        <is>
          <t>Valentine</t>
        </is>
      </c>
      <c r="C105" s="8" t="inlineStr">
        <is>
          <t>Royaume-Uni</t>
        </is>
      </c>
      <c r="D105" s="8" t="inlineStr">
        <is>
          <t>Char d'infanterie</t>
        </is>
      </c>
      <c r="E105" s="8" t="inlineStr">
        <is>
          <t>À vérifier</t>
        </is>
      </c>
      <c r="F105" s="8" t="inlineStr">
        <is>
          <t>À rechercher</t>
        </is>
      </c>
      <c r="G105" s="8" t="inlineStr">
        <is>
          <t>À rechercher</t>
        </is>
      </c>
      <c r="H105" s="8" t="inlineStr">
        <is>
          <t>À définir</t>
        </is>
      </c>
      <c r="I105" s="8" t="inlineStr">
        <is>
          <t>Inventaire initial</t>
        </is>
      </c>
      <c r="J105" s="8" t="inlineStr">
        <is>
          <t>Modèle à valider historiquement avant verrouillage</t>
        </is>
      </c>
      <c r="K105" s="8" t="n"/>
      <c r="L105" s="8" t="inlineStr">
        <is>
          <t>Canon de 2-pdr, 6-pdr ou 75 mm selon version; mitrailleuse Besa 7,92 mm</t>
        </is>
      </c>
      <c r="M105" s="8" t="inlineStr">
        <is>
          <t>Canon et Besa selon variante</t>
        </is>
      </c>
      <c r="N105" s="8" t="inlineStr">
        <is>
          <t>Partiel</t>
        </is>
      </c>
      <c r="O105" s="8" t="inlineStr">
        <is>
          <t>Non — contenu ultérieur</t>
        </is>
      </c>
      <c r="P105" s="8" t="inlineStr">
        <is>
          <t>À intégrer après validation du prototype</t>
        </is>
      </c>
      <c r="Q105" t="inlineStr">
        <is>
          <t>Valentine : véhicule de catégorie « Char d'infanterie », d'origine Royaume-Uni. Motorisation recensée : À rechercher. Fiche de catalogue à compléter avec le rôle tactique et les caractéristiques de jeu.</t>
        </is>
      </c>
    </row>
    <row r="106" ht="42" customHeight="1">
      <c r="A106" s="8" t="inlineStr">
        <is>
          <t>Chars moyens</t>
        </is>
      </c>
      <c r="B106" s="8" t="inlineStr">
        <is>
          <t>Matilda II</t>
        </is>
      </c>
      <c r="C106" s="8" t="inlineStr">
        <is>
          <t>Royaume-Uni</t>
        </is>
      </c>
      <c r="D106" s="8" t="inlineStr">
        <is>
          <t>Char d'infanterie</t>
        </is>
      </c>
      <c r="E106" s="8" t="inlineStr">
        <is>
          <t>À vérifier</t>
        </is>
      </c>
      <c r="F106" s="8" t="inlineStr">
        <is>
          <t>À rechercher</t>
        </is>
      </c>
      <c r="G106" s="8" t="inlineStr">
        <is>
          <t>À rechercher</t>
        </is>
      </c>
      <c r="H106" s="8" t="inlineStr">
        <is>
          <t>À définir</t>
        </is>
      </c>
      <c r="I106" s="8" t="inlineStr">
        <is>
          <t>Inventaire initial</t>
        </is>
      </c>
      <c r="J106" s="8" t="inlineStr">
        <is>
          <t>Modèle à valider historiquement avant verrouillage</t>
        </is>
      </c>
      <c r="K106" s="8" t="n"/>
      <c r="L106" s="8" t="inlineStr">
        <is>
          <t>Canon de 2-pdr (40 mm); mitrailleuse Besa 7,92 mm; parfois lance-fumigènes</t>
        </is>
      </c>
      <c r="M106" s="8" t="inlineStr">
        <is>
          <t>Canon et Besa; confirmer variante</t>
        </is>
      </c>
      <c r="N106" s="8" t="inlineStr">
        <is>
          <t>Élevé</t>
        </is>
      </c>
      <c r="O106" s="8" t="inlineStr">
        <is>
          <t>Non — contenu ultérieur</t>
        </is>
      </c>
      <c r="P106" s="8" t="inlineStr">
        <is>
          <t>À intégrer après validation du prototype</t>
        </is>
      </c>
      <c r="Q106" t="inlineStr">
        <is>
          <t>Matilda II : véhicule de catégorie « Char d'infanterie », d'origine Royaume-Uni. Motorisation recensée : À rechercher. Fiche de catalogue à compléter avec le rôle tactique et les caractéristiques de jeu.</t>
        </is>
      </c>
    </row>
    <row r="107" ht="42" customHeight="1">
      <c r="A107" s="8" t="inlineStr">
        <is>
          <t>Chars moyens</t>
        </is>
      </c>
      <c r="B107" s="8" t="inlineStr">
        <is>
          <t>SOMUA S35</t>
        </is>
      </c>
      <c r="C107" s="8" t="inlineStr">
        <is>
          <t>France</t>
        </is>
      </c>
      <c r="D107" s="8" t="inlineStr">
        <is>
          <t>Char moyen</t>
        </is>
      </c>
      <c r="E107" s="8" t="inlineStr">
        <is>
          <t>À vérifier</t>
        </is>
      </c>
      <c r="F107" s="8" t="inlineStr">
        <is>
          <t>À rechercher</t>
        </is>
      </c>
      <c r="G107" s="8" t="inlineStr">
        <is>
          <t>À rechercher</t>
        </is>
      </c>
      <c r="H107" s="8" t="inlineStr">
        <is>
          <t>À définir</t>
        </is>
      </c>
      <c r="I107" s="8" t="inlineStr">
        <is>
          <t>Inventaire initial</t>
        </is>
      </c>
      <c r="J107" s="8" t="inlineStr">
        <is>
          <t>Modèle à valider historiquement avant verrouillage</t>
        </is>
      </c>
      <c r="K107" s="8" t="n"/>
      <c r="L107" s="8" t="inlineStr">
        <is>
          <t>Armement historique à déterminer précisément pour ce modèle/sa variante</t>
        </is>
      </c>
      <c r="M107" s="8" t="inlineStr">
        <is>
          <t>Ne récupérer une arme que si elle est présente, identifiable et démontable; vérifier le calibre</t>
        </is>
      </c>
      <c r="N107" s="8" t="inlineStr">
        <is>
          <t>À vérifier</t>
        </is>
      </c>
      <c r="O107" s="8" t="inlineStr">
        <is>
          <t>Non — contenu ultérieur</t>
        </is>
      </c>
      <c r="P107" s="8" t="inlineStr">
        <is>
          <t>À intégrer après validation du prototype</t>
        </is>
      </c>
      <c r="Q107" t="inlineStr">
        <is>
          <t>SOMUA S35 : véhicule de catégorie « Char moyen », d'origine France. Motorisation recensée : À rechercher. Fiche de catalogue à compléter avec le rôle tactique et les caractéristiques de jeu.</t>
        </is>
      </c>
    </row>
    <row r="108" ht="42" customHeight="1">
      <c r="A108" s="8" t="inlineStr">
        <is>
          <t>Chars moyens</t>
        </is>
      </c>
      <c r="B108" s="8" t="inlineStr">
        <is>
          <t>Char B1 bis</t>
        </is>
      </c>
      <c r="C108" s="8" t="inlineStr">
        <is>
          <t>France</t>
        </is>
      </c>
      <c r="D108" s="8" t="inlineStr">
        <is>
          <t>Char lourd</t>
        </is>
      </c>
      <c r="E108" s="8" t="inlineStr">
        <is>
          <t>À vérifier</t>
        </is>
      </c>
      <c r="F108" s="8" t="inlineStr">
        <is>
          <t>À rechercher</t>
        </is>
      </c>
      <c r="G108" s="8" t="inlineStr">
        <is>
          <t>À rechercher</t>
        </is>
      </c>
      <c r="H108" s="8" t="inlineStr">
        <is>
          <t>À définir</t>
        </is>
      </c>
      <c r="I108" s="8" t="inlineStr">
        <is>
          <t>Inventaire initial</t>
        </is>
      </c>
      <c r="J108" s="8" t="inlineStr">
        <is>
          <t>Modèle à valider historiquement avant verrouillage</t>
        </is>
      </c>
      <c r="K108" s="8" t="n"/>
      <c r="L108" s="8" t="inlineStr">
        <is>
          <t>Armement historique à déterminer précisément pour ce modèle/sa variante</t>
        </is>
      </c>
      <c r="M108" s="8" t="inlineStr">
        <is>
          <t>Ne récupérer une arme que si elle est présente, identifiable et démontable; vérifier le calibre</t>
        </is>
      </c>
      <c r="N108" s="8" t="inlineStr">
        <is>
          <t>À vérifier</t>
        </is>
      </c>
      <c r="O108" s="8" t="inlineStr">
        <is>
          <t>Non — contenu ultérieur</t>
        </is>
      </c>
      <c r="P108" s="8" t="inlineStr">
        <is>
          <t>À intégrer après validation du prototype</t>
        </is>
      </c>
      <c r="Q108" t="inlineStr">
        <is>
          <t>Char B1 bis : véhicule de catégorie « Char lourd », d'origine France. Motorisation recensée : À rechercher. Fiche de catalogue à compléter avec le rôle tactique et les caractéristiques de jeu.</t>
        </is>
      </c>
    </row>
    <row r="109" ht="42" customHeight="1">
      <c r="A109" s="8" t="inlineStr">
        <is>
          <t>Chars moyens</t>
        </is>
      </c>
      <c r="B109" s="8" t="inlineStr">
        <is>
          <t>M13/40</t>
        </is>
      </c>
      <c r="C109" s="8" t="inlineStr">
        <is>
          <t>Italie</t>
        </is>
      </c>
      <c r="D109" s="8" t="inlineStr">
        <is>
          <t>Char moyen</t>
        </is>
      </c>
      <c r="E109" s="8" t="inlineStr">
        <is>
          <t>À vérifier</t>
        </is>
      </c>
      <c r="F109" s="8" t="inlineStr">
        <is>
          <t>À rechercher</t>
        </is>
      </c>
      <c r="G109" s="8" t="inlineStr">
        <is>
          <t>À rechercher</t>
        </is>
      </c>
      <c r="H109" s="8" t="inlineStr">
        <is>
          <t>À définir</t>
        </is>
      </c>
      <c r="I109" s="8" t="inlineStr">
        <is>
          <t>Inventaire initial</t>
        </is>
      </c>
      <c r="J109" s="8" t="inlineStr">
        <is>
          <t>Modèle à valider historiquement avant verrouillage</t>
        </is>
      </c>
      <c r="K109" s="8" t="n"/>
      <c r="L109" s="8" t="inlineStr">
        <is>
          <t>Armement historique à déterminer précisément pour ce modèle/sa variante</t>
        </is>
      </c>
      <c r="M109" s="8" t="inlineStr">
        <is>
          <t>Ne récupérer une arme que si elle est présente, identifiable et démontable; vérifier le calibre</t>
        </is>
      </c>
      <c r="N109" s="8" t="inlineStr">
        <is>
          <t>À vérifier</t>
        </is>
      </c>
      <c r="O109" s="8" t="inlineStr">
        <is>
          <t>Non — contenu ultérieur</t>
        </is>
      </c>
      <c r="P109" s="8" t="inlineStr">
        <is>
          <t>À intégrer après validation du prototype</t>
        </is>
      </c>
      <c r="Q109" t="inlineStr">
        <is>
          <t>M13/40 : véhicule de catégorie « Char moyen », d'origine Italie. Motorisation recensée : À rechercher. Fiche de catalogue à compléter avec le rôle tactique et les caractéristiques de jeu.</t>
        </is>
      </c>
    </row>
    <row r="110" ht="42" customHeight="1">
      <c r="A110" s="8" t="inlineStr">
        <is>
          <t>Chars moyens</t>
        </is>
      </c>
      <c r="B110" s="8" t="inlineStr">
        <is>
          <t>M15/42</t>
        </is>
      </c>
      <c r="C110" s="8" t="inlineStr">
        <is>
          <t>Italie</t>
        </is>
      </c>
      <c r="D110" s="8" t="inlineStr">
        <is>
          <t>Char moyen</t>
        </is>
      </c>
      <c r="E110" s="8" t="inlineStr">
        <is>
          <t>À vérifier</t>
        </is>
      </c>
      <c r="F110" s="8" t="inlineStr">
        <is>
          <t>À rechercher</t>
        </is>
      </c>
      <c r="G110" s="8" t="inlineStr">
        <is>
          <t>À rechercher</t>
        </is>
      </c>
      <c r="H110" s="8" t="inlineStr">
        <is>
          <t>À définir</t>
        </is>
      </c>
      <c r="I110" s="8" t="inlineStr">
        <is>
          <t>Inventaire initial</t>
        </is>
      </c>
      <c r="J110" s="8" t="inlineStr">
        <is>
          <t>Modèle à valider historiquement avant verrouillage</t>
        </is>
      </c>
      <c r="K110" s="8" t="n"/>
      <c r="L110" s="8" t="inlineStr">
        <is>
          <t>Canon de 47/32 mm; mitrailleuses Breda 8 mm</t>
        </is>
      </c>
      <c r="M110" s="8" t="inlineStr">
        <is>
          <t>Canon et mitrailleuses selon version</t>
        </is>
      </c>
      <c r="N110" s="8" t="inlineStr">
        <is>
          <t>Partiel</t>
        </is>
      </c>
      <c r="O110" s="8" t="inlineStr">
        <is>
          <t>Non — contenu ultérieur</t>
        </is>
      </c>
      <c r="P110" s="8" t="inlineStr">
        <is>
          <t>À intégrer après validation du prototype</t>
        </is>
      </c>
      <c r="Q110" t="inlineStr">
        <is>
          <t>M15/42 : véhicule de catégorie « Char moyen », d'origine Italie. Motorisation recensée : À rechercher. Fiche de catalogue à compléter avec le rôle tactique et les caractéristiques de jeu.</t>
        </is>
      </c>
    </row>
    <row r="111" ht="42" customHeight="1">
      <c r="A111" s="8" t="inlineStr">
        <is>
          <t>Chars moyens</t>
        </is>
      </c>
      <c r="B111" s="8" t="inlineStr">
        <is>
          <t>Type 97 Chi-Ha</t>
        </is>
      </c>
      <c r="C111" s="8" t="inlineStr">
        <is>
          <t>Japon</t>
        </is>
      </c>
      <c r="D111" s="8" t="inlineStr">
        <is>
          <t>Char moyen</t>
        </is>
      </c>
      <c r="E111" s="8" t="inlineStr">
        <is>
          <t>À vérifier</t>
        </is>
      </c>
      <c r="F111" s="8" t="inlineStr">
        <is>
          <t>À rechercher</t>
        </is>
      </c>
      <c r="G111" s="8" t="inlineStr">
        <is>
          <t>À rechercher</t>
        </is>
      </c>
      <c r="H111" s="8" t="inlineStr">
        <is>
          <t>À définir</t>
        </is>
      </c>
      <c r="I111" s="8" t="inlineStr">
        <is>
          <t>Inventaire initial</t>
        </is>
      </c>
      <c r="J111" s="8" t="inlineStr">
        <is>
          <t>Modèle à valider historiquement avant verrouillage</t>
        </is>
      </c>
      <c r="K111" s="8" t="n"/>
      <c r="L111" s="8" t="inlineStr">
        <is>
          <t>Canon de 57 mm Type 97 ou 47 mm Type 1 selon version; mitrailleuses Type 97 de 7,7 mm</t>
        </is>
      </c>
      <c r="M111" s="8" t="inlineStr">
        <is>
          <t>Canon et MG selon variante</t>
        </is>
      </c>
      <c r="N111" s="8" t="inlineStr">
        <is>
          <t>Partiel</t>
        </is>
      </c>
      <c r="O111" s="8" t="inlineStr">
        <is>
          <t>Non — contenu ultérieur</t>
        </is>
      </c>
      <c r="P111" s="8" t="inlineStr">
        <is>
          <t>À intégrer après validation du prototype</t>
        </is>
      </c>
      <c r="Q111" t="inlineStr">
        <is>
          <t>Type 97 Chi-Ha : véhicule de catégorie « Char moyen », d'origine Japon. Motorisation recensée : À rechercher. Fiche de catalogue à compléter avec le rôle tactique et les caractéristiques de jeu.</t>
        </is>
      </c>
    </row>
    <row r="112" ht="42" customHeight="1">
      <c r="A112" s="8" t="inlineStr">
        <is>
          <t>Chars lourds et chasseurs de chars</t>
        </is>
      </c>
      <c r="B112" s="8" t="inlineStr">
        <is>
          <t>Churchill</t>
        </is>
      </c>
      <c r="C112" s="8" t="inlineStr">
        <is>
          <t>Royaume-Uni</t>
        </is>
      </c>
      <c r="D112" s="8" t="inlineStr">
        <is>
          <t>Char d'infanterie lourd</t>
        </is>
      </c>
      <c r="E112" s="8" t="inlineStr">
        <is>
          <t>À vérifier</t>
        </is>
      </c>
      <c r="F112" s="8" t="inlineStr">
        <is>
          <t>À rechercher</t>
        </is>
      </c>
      <c r="G112" s="8" t="inlineStr">
        <is>
          <t>À rechercher</t>
        </is>
      </c>
      <c r="H112" s="8" t="inlineStr">
        <is>
          <t>À définir</t>
        </is>
      </c>
      <c r="I112" s="8" t="inlineStr">
        <is>
          <t>Inventaire initial</t>
        </is>
      </c>
      <c r="J112" s="8" t="inlineStr">
        <is>
          <t>Modèle à valider historiquement avant verrouillage</t>
        </is>
      </c>
      <c r="K112" s="8" t="n"/>
      <c r="L112" s="8" t="inlineStr">
        <is>
          <t>Canon de 2-pdr, 6-pdr ou 75 mm selon version; mitrailleuse Besa 7,92 mm; parfois obusier de 3 pouces</t>
        </is>
      </c>
      <c r="M112" s="8" t="inlineStr">
        <is>
          <t>Canon/obusier et Besa selon variante</t>
        </is>
      </c>
      <c r="N112" s="8" t="inlineStr">
        <is>
          <t>Partiel</t>
        </is>
      </c>
      <c r="O112" s="8" t="inlineStr">
        <is>
          <t>Non — contenu ultérieur</t>
        </is>
      </c>
      <c r="P112" s="8" t="inlineStr">
        <is>
          <t>À intégrer après validation du prototype</t>
        </is>
      </c>
      <c r="Q112" t="inlineStr">
        <is>
          <t>Churchill : véhicule de catégorie « Char d'infanterie lourd », d'origine Royaume-Uni. Motorisation recensée : À rechercher. Fiche de catalogue à compléter avec le rôle tactique et les caractéristiques de jeu.</t>
        </is>
      </c>
    </row>
    <row r="113" ht="42" customHeight="1">
      <c r="A113" s="14" t="inlineStr">
        <is>
          <t>Chars lourds et chasseurs de chars</t>
        </is>
      </c>
      <c r="B113" s="11" t="inlineStr">
        <is>
          <t>Tiger I</t>
        </is>
      </c>
      <c r="C113" s="14" t="inlineStr">
        <is>
          <t>Allemagne</t>
        </is>
      </c>
      <c r="D113" s="14" t="inlineStr">
        <is>
          <t>Char lourd</t>
        </is>
      </c>
      <c r="E113" s="14" t="inlineStr">
        <is>
          <t>À vérifier</t>
        </is>
      </c>
      <c r="F113" s="14" t="inlineStr">
        <is>
          <t>À rechercher</t>
        </is>
      </c>
      <c r="G113" s="14" t="inlineStr">
        <is>
          <t>À rechercher</t>
        </is>
      </c>
      <c r="H113" s="14" t="inlineStr">
        <is>
          <t>À définir</t>
        </is>
      </c>
      <c r="I113" s="14" t="inlineStr">
        <is>
          <t>Inventaire initial</t>
        </is>
      </c>
      <c r="J113" s="14" t="inlineStr">
        <is>
          <t>Modèle à valider historiquement avant verrouillage</t>
        </is>
      </c>
      <c r="K113" s="14" t="n"/>
      <c r="L113" s="14" t="inlineStr">
        <is>
          <t>Canon de 88 mm KwK 36 L/56; 2 mitrailleuses MG 34 de 7,92 mm</t>
        </is>
      </c>
      <c r="M113" s="14" t="inlineStr">
        <is>
          <t>Canon et MG récupérables séparément</t>
        </is>
      </c>
      <c r="N113" s="14" t="inlineStr">
        <is>
          <t>Élevé</t>
        </is>
      </c>
      <c r="O113" s="11" t="inlineStr">
        <is>
          <t>OUI — PROTOTYPE</t>
        </is>
      </c>
      <c r="P113" s="14" t="inlineStr">
        <is>
          <t>Char lourd à forte puissance de feu</t>
        </is>
      </c>
      <c r="Q113" t="inlineStr">
        <is>
          <t>Tiger I : véhicule de catégorie « Char lourd », d'origine Allemagne. Motorisation recensée : À rechercher. Fiche de catalogue à compléter avec le rôle tactique et les caractéristiques de jeu.</t>
        </is>
      </c>
    </row>
    <row r="114" ht="42" customHeight="1">
      <c r="A114" s="14" t="inlineStr">
        <is>
          <t>Chars lourds et chasseurs de chars</t>
        </is>
      </c>
      <c r="B114" s="11" t="inlineStr">
        <is>
          <t>Tiger II</t>
        </is>
      </c>
      <c r="C114" s="14" t="inlineStr">
        <is>
          <t>Allemagne</t>
        </is>
      </c>
      <c r="D114" s="14" t="inlineStr">
        <is>
          <t>Char lourd</t>
        </is>
      </c>
      <c r="E114" s="14" t="inlineStr">
        <is>
          <t>À vérifier</t>
        </is>
      </c>
      <c r="F114" s="14" t="inlineStr">
        <is>
          <t>À rechercher</t>
        </is>
      </c>
      <c r="G114" s="14" t="inlineStr">
        <is>
          <t>À rechercher</t>
        </is>
      </c>
      <c r="H114" s="14" t="inlineStr">
        <is>
          <t>À définir</t>
        </is>
      </c>
      <c r="I114" s="14" t="inlineStr">
        <is>
          <t>Inventaire initial</t>
        </is>
      </c>
      <c r="J114" s="14" t="inlineStr">
        <is>
          <t>Modèle à valider historiquement avant verrouillage</t>
        </is>
      </c>
      <c r="K114" s="14" t="n"/>
      <c r="L114" s="14" t="inlineStr">
        <is>
          <t>Canon de 88 mm KwK 43 L/71; 2 mitrailleuses MG 34 de 7,92 mm</t>
        </is>
      </c>
      <c r="M114" s="14" t="inlineStr">
        <is>
          <t>Canon et MG, si tourelle/affûts récupérables</t>
        </is>
      </c>
      <c r="N114" s="14" t="inlineStr">
        <is>
          <t>Élevé</t>
        </is>
      </c>
      <c r="O114" s="11" t="inlineStr">
        <is>
          <t>OUI — PROTOTYPE</t>
        </is>
      </c>
      <c r="P114" s="14" t="inlineStr">
        <is>
          <t>Char lourd à forte puissance de feu</t>
        </is>
      </c>
      <c r="Q114" t="inlineStr">
        <is>
          <t>Tiger II : véhicule de catégorie « Char lourd », d'origine Allemagne. Motorisation recensée : À rechercher. Fiche de catalogue à compléter avec le rôle tactique et les caractéristiques de jeu.</t>
        </is>
      </c>
    </row>
    <row r="115" ht="42" customHeight="1">
      <c r="A115" s="8" t="inlineStr">
        <is>
          <t>Chars lourds et chasseurs de chars</t>
        </is>
      </c>
      <c r="B115" s="8" t="inlineStr">
        <is>
          <t>Jagdtiger</t>
        </is>
      </c>
      <c r="C115" s="8" t="inlineStr">
        <is>
          <t>Allemagne</t>
        </is>
      </c>
      <c r="D115" s="8" t="inlineStr">
        <is>
          <t>Chasseur de chars lourd</t>
        </is>
      </c>
      <c r="E115" s="8" t="inlineStr">
        <is>
          <t>À vérifier</t>
        </is>
      </c>
      <c r="F115" s="8" t="inlineStr">
        <is>
          <t>À rechercher</t>
        </is>
      </c>
      <c r="G115" s="8" t="inlineStr">
        <is>
          <t>À rechercher</t>
        </is>
      </c>
      <c r="H115" s="8" t="inlineStr">
        <is>
          <t>À définir</t>
        </is>
      </c>
      <c r="I115" s="8" t="inlineStr">
        <is>
          <t>Inventaire initial</t>
        </is>
      </c>
      <c r="J115" s="8" t="inlineStr">
        <is>
          <t>Modèle à valider historiquement avant verrouillage</t>
        </is>
      </c>
      <c r="K115" s="8" t="n"/>
      <c r="L115" s="8" t="inlineStr">
        <is>
          <t>Armement historique à déterminer précisément pour ce modèle/sa variante</t>
        </is>
      </c>
      <c r="M115" s="8" t="inlineStr">
        <is>
          <t>Ne récupérer une arme que si elle est présente, identifiable et démontable; vérifier le calibre</t>
        </is>
      </c>
      <c r="N115" s="8" t="inlineStr">
        <is>
          <t>À vérifier</t>
        </is>
      </c>
      <c r="O115" s="8" t="inlineStr">
        <is>
          <t>Non — contenu ultérieur</t>
        </is>
      </c>
      <c r="P115" s="8" t="inlineStr">
        <is>
          <t>À intégrer après validation du prototype</t>
        </is>
      </c>
      <c r="Q115" t="inlineStr">
        <is>
          <t>Jagdtiger : véhicule de catégorie « Chasseur de chars lourd », d'origine Allemagne. Motorisation recensée : À rechercher. Fiche de catalogue à compléter avec le rôle tactique et les caractéristiques de jeu.</t>
        </is>
      </c>
    </row>
    <row r="116" ht="42" customHeight="1">
      <c r="A116" s="8" t="inlineStr">
        <is>
          <t>Chars lourds et chasseurs de chars</t>
        </is>
      </c>
      <c r="B116" s="8" t="inlineStr">
        <is>
          <t>Jagdpanther</t>
        </is>
      </c>
      <c r="C116" s="8" t="inlineStr">
        <is>
          <t>Allemagne</t>
        </is>
      </c>
      <c r="D116" s="8" t="inlineStr">
        <is>
          <t>Chasseur de chars</t>
        </is>
      </c>
      <c r="E116" s="8" t="inlineStr">
        <is>
          <t>À vérifier</t>
        </is>
      </c>
      <c r="F116" s="8" t="inlineStr">
        <is>
          <t>À rechercher</t>
        </is>
      </c>
      <c r="G116" s="8" t="inlineStr">
        <is>
          <t>À rechercher</t>
        </is>
      </c>
      <c r="H116" s="8" t="inlineStr">
        <is>
          <t>À définir</t>
        </is>
      </c>
      <c r="I116" s="8" t="inlineStr">
        <is>
          <t>Inventaire initial</t>
        </is>
      </c>
      <c r="J116" s="8" t="inlineStr">
        <is>
          <t>Modèle à valider historiquement avant verrouillage</t>
        </is>
      </c>
      <c r="K116" s="8" t="n"/>
      <c r="L116" s="8" t="inlineStr">
        <is>
          <t>Canon de 75 mm KwK 42 L/70; 2–3 MG 34/42 selon version</t>
        </is>
      </c>
      <c r="M116" s="8" t="inlineStr">
        <is>
          <t>Canon principal, MG coaxiale et/ou de caisse selon variante</t>
        </is>
      </c>
      <c r="N116" s="8" t="inlineStr">
        <is>
          <t>Élevé</t>
        </is>
      </c>
      <c r="O116" s="8" t="inlineStr">
        <is>
          <t>Non — contenu ultérieur</t>
        </is>
      </c>
      <c r="P116" s="8" t="inlineStr">
        <is>
          <t>À intégrer après validation du prototype</t>
        </is>
      </c>
      <c r="Q116" t="inlineStr">
        <is>
          <t>Jagdpanther : véhicule de catégorie « Chasseur de chars », d'origine Allemagne. Motorisation recensée : À rechercher. Fiche de catalogue à compléter avec le rôle tactique et les caractéristiques de jeu.</t>
        </is>
      </c>
    </row>
    <row r="117" ht="42" customHeight="1">
      <c r="A117" s="8" t="inlineStr">
        <is>
          <t>Chars lourds et chasseurs de chars</t>
        </is>
      </c>
      <c r="B117" s="8" t="inlineStr">
        <is>
          <t>StuG III</t>
        </is>
      </c>
      <c r="C117" s="8" t="inlineStr">
        <is>
          <t>Allemagne</t>
        </is>
      </c>
      <c r="D117" s="8" t="inlineStr">
        <is>
          <t>Canon d'assaut</t>
        </is>
      </c>
      <c r="E117" s="8" t="inlineStr">
        <is>
          <t>À vérifier</t>
        </is>
      </c>
      <c r="F117" s="8" t="inlineStr">
        <is>
          <t>À rechercher</t>
        </is>
      </c>
      <c r="G117" s="8" t="inlineStr">
        <is>
          <t>À rechercher</t>
        </is>
      </c>
      <c r="H117" s="8" t="inlineStr">
        <is>
          <t>À définir</t>
        </is>
      </c>
      <c r="I117" s="8" t="inlineStr">
        <is>
          <t>Inventaire initial</t>
        </is>
      </c>
      <c r="J117" s="8" t="inlineStr">
        <is>
          <t>Modèle à valider historiquement avant verrouillage</t>
        </is>
      </c>
      <c r="K117" s="8" t="n"/>
      <c r="L117" s="8" t="inlineStr">
        <is>
          <t>Canon de 75 mm StuK 37/40 selon version; MG de caisse ou bouclier sur versions tardives</t>
        </is>
      </c>
      <c r="M117" s="8" t="inlineStr">
        <is>
          <t>Canon et MG selon version</t>
        </is>
      </c>
      <c r="N117" s="8" t="inlineStr">
        <is>
          <t>Partiel</t>
        </is>
      </c>
      <c r="O117" s="8" t="inlineStr">
        <is>
          <t>Non — contenu ultérieur</t>
        </is>
      </c>
      <c r="P117" s="8" t="inlineStr">
        <is>
          <t>À intégrer après validation du prototype</t>
        </is>
      </c>
      <c r="Q117" t="inlineStr">
        <is>
          <t>StuG III : véhicule de catégorie « Canon d'assaut », d'origine Allemagne. Motorisation recensée : À rechercher. Fiche de catalogue à compléter avec le rôle tactique et les caractéristiques de jeu.</t>
        </is>
      </c>
    </row>
    <row r="118" ht="42" customHeight="1">
      <c r="A118" s="8" t="inlineStr">
        <is>
          <t>Chars lourds et chasseurs de chars</t>
        </is>
      </c>
      <c r="B118" s="8" t="inlineStr">
        <is>
          <t>Jagdpanzer 38(t) Hetzer</t>
        </is>
      </c>
      <c r="C118" s="8" t="inlineStr">
        <is>
          <t>Allemagne</t>
        </is>
      </c>
      <c r="D118" s="8" t="inlineStr">
        <is>
          <t>Chasseur de chars</t>
        </is>
      </c>
      <c r="E118" s="8" t="inlineStr">
        <is>
          <t>À vérifier</t>
        </is>
      </c>
      <c r="F118" s="8" t="inlineStr">
        <is>
          <t>À rechercher</t>
        </is>
      </c>
      <c r="G118" s="8" t="inlineStr">
        <is>
          <t>À rechercher</t>
        </is>
      </c>
      <c r="H118" s="8" t="inlineStr">
        <is>
          <t>À définir</t>
        </is>
      </c>
      <c r="I118" s="8" t="inlineStr">
        <is>
          <t>Inventaire initial</t>
        </is>
      </c>
      <c r="J118" s="8" t="inlineStr">
        <is>
          <t>Modèle à valider historiquement avant verrouillage</t>
        </is>
      </c>
      <c r="K118" s="8" t="n"/>
      <c r="L118" s="8" t="inlineStr">
        <is>
          <t>Canon de 75 mm PaK 39 L/48; MG 34/42 sous bouclier télécommandé sur versions équipées</t>
        </is>
      </c>
      <c r="M118" s="8" t="inlineStr">
        <is>
          <t>Canon principal; MG dépend de la variante</t>
        </is>
      </c>
      <c r="N118" s="8" t="inlineStr">
        <is>
          <t>Élevé</t>
        </is>
      </c>
      <c r="O118" s="8" t="inlineStr">
        <is>
          <t>Non — contenu ultérieur</t>
        </is>
      </c>
      <c r="P118" s="8" t="inlineStr">
        <is>
          <t>À intégrer après validation du prototype</t>
        </is>
      </c>
      <c r="Q118" t="inlineStr">
        <is>
          <t>Jagdpanzer 38(t) Hetzer : véhicule de catégorie « Chasseur de chars », d'origine Allemagne. Motorisation recensée : À rechercher. Fiche de catalogue à compléter avec le rôle tactique et les caractéristiques de jeu.</t>
        </is>
      </c>
    </row>
    <row r="119" ht="42" customHeight="1">
      <c r="A119" s="8" t="inlineStr">
        <is>
          <t>Chars lourds et chasseurs de chars</t>
        </is>
      </c>
      <c r="B119" s="8" t="inlineStr">
        <is>
          <t>M10 Wolverine</t>
        </is>
      </c>
      <c r="C119" s="8" t="inlineStr">
        <is>
          <t>États-Unis</t>
        </is>
      </c>
      <c r="D119" s="8" t="inlineStr">
        <is>
          <t>Chasseur de chars</t>
        </is>
      </c>
      <c r="E119" s="8" t="inlineStr">
        <is>
          <t>À vérifier</t>
        </is>
      </c>
      <c r="F119" s="8" t="inlineStr">
        <is>
          <t>À rechercher</t>
        </is>
      </c>
      <c r="G119" s="8" t="inlineStr">
        <is>
          <t>À rechercher</t>
        </is>
      </c>
      <c r="H119" s="8" t="inlineStr">
        <is>
          <t>À définir</t>
        </is>
      </c>
      <c r="I119" s="8" t="inlineStr">
        <is>
          <t>Inventaire initial</t>
        </is>
      </c>
      <c r="J119" s="8" t="inlineStr">
        <is>
          <t>Modèle à valider historiquement avant verrouillage</t>
        </is>
      </c>
      <c r="K119" s="8" t="n"/>
      <c r="L119" s="8" t="inlineStr">
        <is>
          <t>Canon de 76,2 mm M7; mitrailleuse lourde Browning M2 de 12,7 mm</t>
        </is>
      </c>
      <c r="M119" s="8" t="inlineStr">
        <is>
          <t>Canon et M2; vérifier l'équipement présent</t>
        </is>
      </c>
      <c r="N119" s="8" t="inlineStr">
        <is>
          <t>Élevé</t>
        </is>
      </c>
      <c r="O119" s="8" t="inlineStr">
        <is>
          <t>Non — contenu ultérieur</t>
        </is>
      </c>
      <c r="P119" s="8" t="inlineStr">
        <is>
          <t>À intégrer après validation du prototype</t>
        </is>
      </c>
      <c r="Q119" t="inlineStr">
        <is>
          <t>M10 Wolverine : véhicule de catégorie « Chasseur de chars », d'origine États-Unis. Motorisation recensée : À rechercher. Fiche de catalogue à compléter avec le rôle tactique et les caractéristiques de jeu.</t>
        </is>
      </c>
    </row>
    <row r="120" ht="42" customHeight="1">
      <c r="A120" s="8" t="inlineStr">
        <is>
          <t>Chars lourds et chasseurs de chars</t>
        </is>
      </c>
      <c r="B120" s="8" t="inlineStr">
        <is>
          <t>M18 Hellcat</t>
        </is>
      </c>
      <c r="C120" s="8" t="inlineStr">
        <is>
          <t>États-Unis</t>
        </is>
      </c>
      <c r="D120" s="8" t="inlineStr">
        <is>
          <t>Chasseur de chars</t>
        </is>
      </c>
      <c r="E120" s="8" t="inlineStr">
        <is>
          <t>À vérifier</t>
        </is>
      </c>
      <c r="F120" s="8" t="inlineStr">
        <is>
          <t>À rechercher</t>
        </is>
      </c>
      <c r="G120" s="8" t="inlineStr">
        <is>
          <t>À rechercher</t>
        </is>
      </c>
      <c r="H120" s="8" t="inlineStr">
        <is>
          <t>À définir</t>
        </is>
      </c>
      <c r="I120" s="8" t="inlineStr">
        <is>
          <t>Inventaire initial</t>
        </is>
      </c>
      <c r="J120" s="8" t="inlineStr">
        <is>
          <t>Modèle à valider historiquement avant verrouillage</t>
        </is>
      </c>
      <c r="K120" s="8" t="n"/>
      <c r="L120" s="8" t="inlineStr">
        <is>
          <t>Canon de 76 mm M1; mitrailleuse Browning M2 de 12,7 mm</t>
        </is>
      </c>
      <c r="M120" s="8" t="inlineStr">
        <is>
          <t>Canon et M2 récupérables</t>
        </is>
      </c>
      <c r="N120" s="8" t="inlineStr">
        <is>
          <t>Élevé</t>
        </is>
      </c>
      <c r="O120" s="8" t="inlineStr">
        <is>
          <t>Non — contenu ultérieur</t>
        </is>
      </c>
      <c r="P120" s="8" t="inlineStr">
        <is>
          <t>À intégrer après validation du prototype</t>
        </is>
      </c>
      <c r="Q120" t="inlineStr">
        <is>
          <t>M18 Hellcat : véhicule de catégorie « Chasseur de chars », d'origine États-Unis. Motorisation recensée : À rechercher. Fiche de catalogue à compléter avec le rôle tactique et les caractéristiques de jeu.</t>
        </is>
      </c>
    </row>
    <row r="121" ht="42" customHeight="1">
      <c r="A121" s="8" t="inlineStr">
        <is>
          <t>Chars lourds et chasseurs de chars</t>
        </is>
      </c>
      <c r="B121" s="8" t="inlineStr">
        <is>
          <t>M36 Jackson</t>
        </is>
      </c>
      <c r="C121" s="8" t="inlineStr">
        <is>
          <t>États-Unis</t>
        </is>
      </c>
      <c r="D121" s="8" t="inlineStr">
        <is>
          <t>Chasseur de chars</t>
        </is>
      </c>
      <c r="E121" s="8" t="inlineStr">
        <is>
          <t>À vérifier</t>
        </is>
      </c>
      <c r="F121" s="8" t="inlineStr">
        <is>
          <t>À rechercher</t>
        </is>
      </c>
      <c r="G121" s="8" t="inlineStr">
        <is>
          <t>À rechercher</t>
        </is>
      </c>
      <c r="H121" s="8" t="inlineStr">
        <is>
          <t>À définir</t>
        </is>
      </c>
      <c r="I121" s="8" t="inlineStr">
        <is>
          <t>Inventaire initial</t>
        </is>
      </c>
      <c r="J121" s="8" t="inlineStr">
        <is>
          <t>Modèle à valider historiquement avant verrouillage</t>
        </is>
      </c>
      <c r="K121" s="8" t="n"/>
      <c r="L121" s="8" t="inlineStr">
        <is>
          <t>Canon de 90 mm M3; mitrailleuse Browning M2 de 12,7 mm</t>
        </is>
      </c>
      <c r="M121" s="8" t="inlineStr">
        <is>
          <t>Canon et M2 récupérables</t>
        </is>
      </c>
      <c r="N121" s="8" t="inlineStr">
        <is>
          <t>Élevé</t>
        </is>
      </c>
      <c r="O121" s="8" t="inlineStr">
        <is>
          <t>Non — contenu ultérieur</t>
        </is>
      </c>
      <c r="P121" s="8" t="inlineStr">
        <is>
          <t>À intégrer après validation du prototype</t>
        </is>
      </c>
      <c r="Q121" t="inlineStr">
        <is>
          <t>M36 Jackson : véhicule de catégorie « Chasseur de chars », d'origine États-Unis. Motorisation recensée : À rechercher. Fiche de catalogue à compléter avec le rôle tactique et les caractéristiques de jeu.</t>
        </is>
      </c>
    </row>
    <row r="122" ht="42" customHeight="1">
      <c r="A122" s="8" t="inlineStr">
        <is>
          <t>Chars lourds et chasseurs de chars</t>
        </is>
      </c>
      <c r="B122" s="8" t="inlineStr">
        <is>
          <t>SU-76</t>
        </is>
      </c>
      <c r="C122" s="8" t="inlineStr">
        <is>
          <t>URSS</t>
        </is>
      </c>
      <c r="D122" s="8" t="inlineStr">
        <is>
          <t>Canon automoteur</t>
        </is>
      </c>
      <c r="E122" s="8" t="inlineStr">
        <is>
          <t>À vérifier</t>
        </is>
      </c>
      <c r="F122" s="8" t="inlineStr">
        <is>
          <t>À rechercher</t>
        </is>
      </c>
      <c r="G122" s="8" t="inlineStr">
        <is>
          <t>À rechercher</t>
        </is>
      </c>
      <c r="H122" s="8" t="inlineStr">
        <is>
          <t>À définir</t>
        </is>
      </c>
      <c r="I122" s="8" t="inlineStr">
        <is>
          <t>Inventaire initial</t>
        </is>
      </c>
      <c r="J122" s="8" t="inlineStr">
        <is>
          <t>Modèle à valider historiquement avant verrouillage</t>
        </is>
      </c>
      <c r="K122" s="8" t="n"/>
      <c r="L122" s="8" t="inlineStr">
        <is>
          <t>Canon de 76,2 mm ZiS-3; pas de mitrailleuse fixe standard</t>
        </is>
      </c>
      <c r="M122" s="8" t="inlineStr">
        <is>
          <t>Canon principal; MG d'équipage non garantie</t>
        </is>
      </c>
      <c r="N122" s="8" t="inlineStr">
        <is>
          <t>Élevé</t>
        </is>
      </c>
      <c r="O122" s="8" t="inlineStr">
        <is>
          <t>Non — contenu ultérieur</t>
        </is>
      </c>
      <c r="P122" s="8" t="inlineStr">
        <is>
          <t>À intégrer après validation du prototype</t>
        </is>
      </c>
      <c r="Q122" t="inlineStr">
        <is>
          <t>SU-76 : véhicule de catégorie « Canon automoteur », d'origine URSS. Motorisation recensée : À rechercher. Fiche de catalogue à compléter avec le rôle tactique et les caractéristiques de jeu.</t>
        </is>
      </c>
    </row>
    <row r="123" ht="42" customHeight="1">
      <c r="A123" s="8" t="inlineStr">
        <is>
          <t>Chars lourds et chasseurs de chars</t>
        </is>
      </c>
      <c r="B123" s="8" t="inlineStr">
        <is>
          <t>SU-85</t>
        </is>
      </c>
      <c r="C123" s="8" t="inlineStr">
        <is>
          <t>URSS</t>
        </is>
      </c>
      <c r="D123" s="8" t="inlineStr">
        <is>
          <t>Chasseur de chars</t>
        </is>
      </c>
      <c r="E123" s="8" t="inlineStr">
        <is>
          <t>À vérifier</t>
        </is>
      </c>
      <c r="F123" s="8" t="inlineStr">
        <is>
          <t>À rechercher</t>
        </is>
      </c>
      <c r="G123" s="8" t="inlineStr">
        <is>
          <t>À rechercher</t>
        </is>
      </c>
      <c r="H123" s="8" t="inlineStr">
        <is>
          <t>À définir</t>
        </is>
      </c>
      <c r="I123" s="8" t="inlineStr">
        <is>
          <t>Inventaire initial</t>
        </is>
      </c>
      <c r="J123" s="8" t="inlineStr">
        <is>
          <t>Modèle à valider historiquement avant verrouillage</t>
        </is>
      </c>
      <c r="K123" s="8" t="n"/>
      <c r="L123" s="8" t="inlineStr">
        <is>
          <t>Canon antichar de 85 mm D-5S</t>
        </is>
      </c>
      <c r="M123" s="8" t="inlineStr">
        <is>
          <t>Canon principal; pas de MG fixe standard</t>
        </is>
      </c>
      <c r="N123" s="8" t="inlineStr">
        <is>
          <t>Élevé</t>
        </is>
      </c>
      <c r="O123" s="8" t="inlineStr">
        <is>
          <t>Non — contenu ultérieur</t>
        </is>
      </c>
      <c r="P123" s="8" t="inlineStr">
        <is>
          <t>À intégrer après validation du prototype</t>
        </is>
      </c>
      <c r="Q123" t="inlineStr">
        <is>
          <t>SU-85 : véhicule de catégorie « Chasseur de chars », d'origine URSS. Motorisation recensée : À rechercher. Fiche de catalogue à compléter avec le rôle tactique et les caractéristiques de jeu.</t>
        </is>
      </c>
    </row>
    <row r="124" ht="42" customHeight="1">
      <c r="A124" s="8" t="inlineStr">
        <is>
          <t>Chars lourds et chasseurs de chars</t>
        </is>
      </c>
      <c r="B124" s="8" t="inlineStr">
        <is>
          <t>IS-2</t>
        </is>
      </c>
      <c r="C124" s="8" t="inlineStr">
        <is>
          <t>URSS</t>
        </is>
      </c>
      <c r="D124" s="8" t="inlineStr">
        <is>
          <t>Char lourd</t>
        </is>
      </c>
      <c r="E124" s="8" t="inlineStr">
        <is>
          <t>À vérifier</t>
        </is>
      </c>
      <c r="F124" s="8" t="inlineStr">
        <is>
          <t>À rechercher</t>
        </is>
      </c>
      <c r="G124" s="8" t="inlineStr">
        <is>
          <t>À rechercher</t>
        </is>
      </c>
      <c r="H124" s="8" t="inlineStr">
        <is>
          <t>À définir</t>
        </is>
      </c>
      <c r="I124" s="8" t="inlineStr">
        <is>
          <t>Inventaire initial</t>
        </is>
      </c>
      <c r="J124" s="8" t="inlineStr">
        <is>
          <t>Modèle à valider historiquement avant verrouillage</t>
        </is>
      </c>
      <c r="K124" s="8" t="n"/>
      <c r="L124" s="8" t="inlineStr">
        <is>
          <t>Canon de 122 mm D-25T; mitrailleuses DT de 7,62 mm, parfois DShK de 12,7 mm</t>
        </is>
      </c>
      <c r="M124" s="8" t="inlineStr">
        <is>
          <t>Canon lourd; MG selon version</t>
        </is>
      </c>
      <c r="N124" s="8" t="inlineStr">
        <is>
          <t>Partiel</t>
        </is>
      </c>
      <c r="O124" s="8" t="inlineStr">
        <is>
          <t>Non — contenu ultérieur</t>
        </is>
      </c>
      <c r="P124" s="8" t="inlineStr">
        <is>
          <t>À intégrer après validation du prototype</t>
        </is>
      </c>
      <c r="Q124" t="inlineStr">
        <is>
          <t>IS-2 : véhicule de catégorie « Char lourd », d'origine URSS. Motorisation recensée : À rechercher. Fiche de catalogue à compléter avec le rôle tactique et les caractéristiques de jeu.</t>
        </is>
      </c>
    </row>
    <row r="125" ht="42" customHeight="1">
      <c r="A125" s="14" t="inlineStr">
        <is>
          <t>Amphibies et véhicules spécialisés</t>
        </is>
      </c>
      <c r="B125" s="11" t="inlineStr">
        <is>
          <t>DUKW</t>
        </is>
      </c>
      <c r="C125" s="14" t="inlineStr">
        <is>
          <t>États-Unis</t>
        </is>
      </c>
      <c r="D125" s="14" t="inlineStr">
        <is>
          <t>Camion amphibie</t>
        </is>
      </c>
      <c r="E125" s="14" t="inlineStr">
        <is>
          <t>À vérifier</t>
        </is>
      </c>
      <c r="F125" s="14" t="inlineStr">
        <is>
          <t>À rechercher</t>
        </is>
      </c>
      <c r="G125" s="14" t="inlineStr">
        <is>
          <t>À rechercher</t>
        </is>
      </c>
      <c r="H125" s="14" t="inlineStr">
        <is>
          <t>À définir</t>
        </is>
      </c>
      <c r="I125" s="14" t="inlineStr">
        <is>
          <t>Inventaire initial</t>
        </is>
      </c>
      <c r="J125" s="14" t="inlineStr">
        <is>
          <t>Modèle à valider historiquement avant verrouillage</t>
        </is>
      </c>
      <c r="K125" s="14" t="n"/>
      <c r="L125" s="14" t="inlineStr">
        <is>
          <t>Aucun armement fixe standard identifié; arme individuelle/affût de campagne possible selon usage</t>
        </is>
      </c>
      <c r="M125" s="14" t="inlineStr">
        <is>
          <t>Pas d'arme à attribuer par défaut; une arme montée doit être confirmée</t>
        </is>
      </c>
      <c r="N125" s="14" t="inlineStr">
        <is>
          <t>Élevé</t>
        </is>
      </c>
      <c r="O125" s="11" t="inlineStr">
        <is>
          <t>OUI — PROTOTYPE</t>
        </is>
      </c>
      <c r="P125" s="14" t="inlineStr">
        <is>
          <t>Transport amphibie de cargaison</t>
        </is>
      </c>
      <c r="Q125" t="inlineStr">
        <is>
          <t>DUKW : véhicule de catégorie « Camion amphibie », d'origine États-Unis. Motorisation recensée : À rechercher. Fiche de catalogue à compléter avec le rôle tactique et les caractéristiques de jeu.</t>
        </is>
      </c>
    </row>
    <row r="126" ht="42" customHeight="1">
      <c r="A126" s="8" t="inlineStr">
        <is>
          <t>Amphibies et véhicules spécialisés</t>
        </is>
      </c>
      <c r="B126" s="8" t="inlineStr">
        <is>
          <t>LVT-2 / LVT-4</t>
        </is>
      </c>
      <c r="C126" s="8" t="inlineStr">
        <is>
          <t>États-Unis</t>
        </is>
      </c>
      <c r="D126" s="8" t="inlineStr">
        <is>
          <t>Véhicule amphibie chenillé</t>
        </is>
      </c>
      <c r="E126" s="8" t="inlineStr">
        <is>
          <t>À vérifier</t>
        </is>
      </c>
      <c r="F126" s="8" t="inlineStr">
        <is>
          <t>À rechercher</t>
        </is>
      </c>
      <c r="G126" s="8" t="inlineStr">
        <is>
          <t>À rechercher</t>
        </is>
      </c>
      <c r="H126" s="8" t="inlineStr">
        <is>
          <t>À définir</t>
        </is>
      </c>
      <c r="I126" s="8" t="inlineStr">
        <is>
          <t>Inventaire initial</t>
        </is>
      </c>
      <c r="J126" s="8" t="inlineStr">
        <is>
          <t>Modèle à valider historiquement avant verrouillage</t>
        </is>
      </c>
      <c r="K126" s="8" t="n"/>
      <c r="L126" s="8" t="inlineStr">
        <is>
          <t>Aucun armement standard confirmé; dépend de la variante et des transformations de terrain</t>
        </is>
      </c>
      <c r="M126" s="8" t="inlineStr">
        <is>
          <t>Ne pas attribuer automatiquement une arme; confirmer sur l'épave</t>
        </is>
      </c>
      <c r="N126" s="8" t="inlineStr">
        <is>
          <t>À vérifier</t>
        </is>
      </c>
      <c r="O126" s="8" t="inlineStr">
        <is>
          <t>Non — contenu ultérieur</t>
        </is>
      </c>
      <c r="P126" s="8" t="inlineStr">
        <is>
          <t>À intégrer après validation du prototype</t>
        </is>
      </c>
      <c r="Q126" t="inlineStr">
        <is>
          <t>LVT-2 / LVT-4 : véhicule de catégorie « Véhicule amphibie chenillé », d'origine États-Unis. Motorisation recensée : À rechercher. Fiche de catalogue à compléter avec le rôle tactique et les caractéristiques de jeu.</t>
        </is>
      </c>
    </row>
    <row r="127" ht="42" customHeight="1">
      <c r="A127" s="8" t="inlineStr">
        <is>
          <t>Amphibies et véhicules spécialisés</t>
        </is>
      </c>
      <c r="B127" s="8" t="inlineStr">
        <is>
          <t>Studebaker M29 Weasel</t>
        </is>
      </c>
      <c r="C127" s="8" t="inlineStr">
        <is>
          <t>États-Unis</t>
        </is>
      </c>
      <c r="D127" s="8" t="inlineStr">
        <is>
          <t>Transporteur chenillé léger</t>
        </is>
      </c>
      <c r="E127" s="8" t="inlineStr">
        <is>
          <t>À vérifier</t>
        </is>
      </c>
      <c r="F127" s="8" t="inlineStr">
        <is>
          <t>À rechercher</t>
        </is>
      </c>
      <c r="G127" s="8" t="inlineStr">
        <is>
          <t>À rechercher</t>
        </is>
      </c>
      <c r="H127" s="8" t="inlineStr">
        <is>
          <t>À définir</t>
        </is>
      </c>
      <c r="I127" s="8" t="inlineStr">
        <is>
          <t>Inventaire initial</t>
        </is>
      </c>
      <c r="J127" s="8" t="inlineStr">
        <is>
          <t>Modèle à valider historiquement avant verrouillage</t>
        </is>
      </c>
      <c r="K127" s="8" t="n"/>
      <c r="L127" s="8" t="inlineStr">
        <is>
          <t>Aucun armement fixe standard identifié; arme individuelle/affût de campagne possible selon usage</t>
        </is>
      </c>
      <c r="M127" s="8" t="inlineStr">
        <is>
          <t>Pas d'arme à attribuer par défaut; une arme montée doit être confirmée</t>
        </is>
      </c>
      <c r="N127" s="8" t="inlineStr">
        <is>
          <t>Élevé</t>
        </is>
      </c>
      <c r="O127" s="8" t="inlineStr">
        <is>
          <t>Non — contenu ultérieur</t>
        </is>
      </c>
      <c r="P127" s="8" t="inlineStr">
        <is>
          <t>À intégrer après validation du prototype</t>
        </is>
      </c>
      <c r="Q127" t="inlineStr">
        <is>
          <t>Studebaker M29 Weasel : véhicule de catégorie « Transporteur chenillé léger », d'origine États-Unis. Motorisation recensée : À rechercher. Fiche de catalogue à compléter avec le rôle tactique et les caractéristiques de jeu.</t>
        </is>
      </c>
    </row>
    <row r="128" ht="42" customHeight="1">
      <c r="A128" s="8" t="inlineStr">
        <is>
          <t>Amphibies et véhicules spécialisés</t>
        </is>
      </c>
      <c r="B128" s="8" t="inlineStr">
        <is>
          <t>Ford GPA Seep</t>
        </is>
      </c>
      <c r="C128" s="8" t="inlineStr">
        <is>
          <t>États-Unis</t>
        </is>
      </c>
      <c r="D128" s="8" t="inlineStr">
        <is>
          <t>Jeep amphibie</t>
        </is>
      </c>
      <c r="E128" s="8" t="inlineStr">
        <is>
          <t>À vérifier</t>
        </is>
      </c>
      <c r="F128" s="8" t="inlineStr">
        <is>
          <t>À rechercher</t>
        </is>
      </c>
      <c r="G128" s="8" t="inlineStr">
        <is>
          <t>À rechercher</t>
        </is>
      </c>
      <c r="H128" s="8" t="inlineStr">
        <is>
          <t>À définir</t>
        </is>
      </c>
      <c r="I128" s="8" t="inlineStr">
        <is>
          <t>Inventaire initial</t>
        </is>
      </c>
      <c r="J128" s="8" t="inlineStr">
        <is>
          <t>Modèle à valider historiquement avant verrouillage</t>
        </is>
      </c>
      <c r="K128" s="8" t="n"/>
      <c r="L128" s="8" t="inlineStr">
        <is>
          <t>Aucun armement standard confirmé; dépend de la variante et des transformations de terrain</t>
        </is>
      </c>
      <c r="M128" s="8" t="inlineStr">
        <is>
          <t>Ne pas attribuer automatiquement une arme; confirmer sur l'épave</t>
        </is>
      </c>
      <c r="N128" s="8" t="inlineStr">
        <is>
          <t>À vérifier</t>
        </is>
      </c>
      <c r="O128" s="8" t="inlineStr">
        <is>
          <t>Non — contenu ultérieur</t>
        </is>
      </c>
      <c r="P128" s="8" t="inlineStr">
        <is>
          <t>À intégrer après validation du prototype</t>
        </is>
      </c>
      <c r="Q128" t="inlineStr">
        <is>
          <t>Ford GPA Seep : véhicule de catégorie « Jeep amphibie », d'origine États-Unis. Motorisation recensée : À rechercher. Fiche de catalogue à compléter avec le rôle tactique et les caractéristiques de jeu.</t>
        </is>
      </c>
    </row>
    <row r="129" ht="42" customHeight="1">
      <c r="A129" s="8" t="inlineStr">
        <is>
          <t>Amphibies et véhicules spécialisés</t>
        </is>
      </c>
      <c r="B129" s="8" t="inlineStr">
        <is>
          <t>Schwimmwagen Type 166</t>
        </is>
      </c>
      <c r="C129" s="8" t="inlineStr">
        <is>
          <t>Allemagne</t>
        </is>
      </c>
      <c r="D129" s="8" t="inlineStr">
        <is>
          <t>Véhicule amphibie léger</t>
        </is>
      </c>
      <c r="E129" s="8" t="inlineStr">
        <is>
          <t>À vérifier</t>
        </is>
      </c>
      <c r="F129" s="8" t="inlineStr">
        <is>
          <t>À rechercher</t>
        </is>
      </c>
      <c r="G129" s="8" t="inlineStr">
        <is>
          <t>À rechercher</t>
        </is>
      </c>
      <c r="H129" s="8" t="inlineStr">
        <is>
          <t>À définir</t>
        </is>
      </c>
      <c r="I129" s="8" t="inlineStr">
        <is>
          <t>Inventaire initial</t>
        </is>
      </c>
      <c r="J129" s="8" t="inlineStr">
        <is>
          <t>Modèle à valider historiquement avant verrouillage</t>
        </is>
      </c>
      <c r="K129" s="8" t="n"/>
      <c r="L129" s="8" t="inlineStr">
        <is>
          <t>Aucun armement standard confirmé; dépend de la variante et des transformations de terrain</t>
        </is>
      </c>
      <c r="M129" s="8" t="inlineStr">
        <is>
          <t>Ne pas attribuer automatiquement une arme; confirmer sur l'épave</t>
        </is>
      </c>
      <c r="N129" s="8" t="inlineStr">
        <is>
          <t>À vérifier</t>
        </is>
      </c>
      <c r="O129" s="8" t="inlineStr">
        <is>
          <t>Non — contenu ultérieur</t>
        </is>
      </c>
      <c r="P129" s="8" t="inlineStr">
        <is>
          <t>À intégrer après validation du prototype</t>
        </is>
      </c>
      <c r="Q129" t="inlineStr">
        <is>
          <t>Schwimmwagen Type 166 : véhicule de catégorie « Véhicule amphibie léger », d'origine Allemagne. Motorisation recensée : À rechercher. Fiche de catalogue à compléter avec le rôle tactique et les caractéristiques de jeu.</t>
        </is>
      </c>
    </row>
    <row r="130" ht="42" customHeight="1">
      <c r="A130" s="8" t="inlineStr">
        <is>
          <t>Amphibies et véhicules spécialisés</t>
        </is>
      </c>
      <c r="B130" s="8" t="inlineStr">
        <is>
          <t>LVT britannique Buffalo</t>
        </is>
      </c>
      <c r="C130" s="8" t="inlineStr">
        <is>
          <t>Royaume-Uni/États-Unis</t>
        </is>
      </c>
      <c r="D130" s="8" t="inlineStr">
        <is>
          <t>Véhicule amphibie</t>
        </is>
      </c>
      <c r="E130" s="8" t="inlineStr">
        <is>
          <t>À vérifier</t>
        </is>
      </c>
      <c r="F130" s="8" t="inlineStr">
        <is>
          <t>À rechercher</t>
        </is>
      </c>
      <c r="G130" s="8" t="inlineStr">
        <is>
          <t>À rechercher</t>
        </is>
      </c>
      <c r="H130" s="8" t="inlineStr">
        <is>
          <t>À définir</t>
        </is>
      </c>
      <c r="I130" s="8" t="inlineStr">
        <is>
          <t>Inventaire initial</t>
        </is>
      </c>
      <c r="J130" s="8" t="inlineStr">
        <is>
          <t>Modèle à valider historiquement avant verrouillage</t>
        </is>
      </c>
      <c r="K130" s="8" t="n"/>
      <c r="L130" s="8" t="inlineStr">
        <is>
          <t>Aucun armement standard confirmé; dépend de la variante et des transformations de terrain</t>
        </is>
      </c>
      <c r="M130" s="8" t="inlineStr">
        <is>
          <t>Ne pas attribuer automatiquement une arme; confirmer sur l'épave</t>
        </is>
      </c>
      <c r="N130" s="8" t="inlineStr">
        <is>
          <t>À vérifier</t>
        </is>
      </c>
      <c r="O130" s="8" t="inlineStr">
        <is>
          <t>Non — contenu ultérieur</t>
        </is>
      </c>
      <c r="P130" s="8" t="inlineStr">
        <is>
          <t>À intégrer après validation du prototype</t>
        </is>
      </c>
      <c r="Q130" t="inlineStr">
        <is>
          <t>LVT britannique Buffalo : véhicule de catégorie « Véhicule amphibie », d'origine Royaume-Uni/États-Unis. Motorisation recensée : À rechercher. Fiche de catalogue à compléter avec le rôle tactique et les caractéristiques de jeu.</t>
        </is>
      </c>
    </row>
    <row r="131" ht="42" customHeight="1">
      <c r="A131" s="8" t="inlineStr">
        <is>
          <t>Engins de chantier et agricoles</t>
        </is>
      </c>
      <c r="B131" s="8" t="inlineStr">
        <is>
          <t>Caterpillar D2</t>
        </is>
      </c>
      <c r="C131" s="8" t="inlineStr">
        <is>
          <t>États-Unis</t>
        </is>
      </c>
      <c r="D131" s="8" t="inlineStr">
        <is>
          <t>Bulldozer</t>
        </is>
      </c>
      <c r="E131" s="8" t="inlineStr">
        <is>
          <t>À vérifier</t>
        </is>
      </c>
      <c r="F131" s="8" t="inlineStr">
        <is>
          <t>À rechercher</t>
        </is>
      </c>
      <c r="G131" s="8" t="inlineStr">
        <is>
          <t>À rechercher</t>
        </is>
      </c>
      <c r="H131" s="8" t="inlineStr">
        <is>
          <t>À définir</t>
        </is>
      </c>
      <c r="I131" s="8" t="inlineStr">
        <is>
          <t>Inventaire initial</t>
        </is>
      </c>
      <c r="J131" s="8" t="inlineStr">
        <is>
          <t>Modèle à valider historiquement avant verrouillage</t>
        </is>
      </c>
      <c r="K131" s="8" t="n"/>
      <c r="L131" s="8" t="inlineStr">
        <is>
          <t>Aucun armement standard confirmé; dépend de la variante et des transformations de terrain</t>
        </is>
      </c>
      <c r="M131" s="8" t="inlineStr">
        <is>
          <t>Ne pas attribuer automatiquement une arme; confirmer sur l'épave</t>
        </is>
      </c>
      <c r="N131" s="8" t="inlineStr">
        <is>
          <t>À vérifier</t>
        </is>
      </c>
      <c r="O131" s="8" t="inlineStr">
        <is>
          <t>Non — contenu ultérieur</t>
        </is>
      </c>
      <c r="P131" s="8" t="inlineStr">
        <is>
          <t>À intégrer après validation du prototype</t>
        </is>
      </c>
      <c r="Q131" t="inlineStr">
        <is>
          <t>Caterpillar D2 : véhicule de catégorie « Bulldozer », d'origine États-Unis. Motorisation recensée : À rechercher. Fiche de catalogue à compléter avec le rôle tactique et les caractéristiques de jeu.</t>
        </is>
      </c>
    </row>
    <row r="132" ht="42" customHeight="1">
      <c r="A132" s="8" t="inlineStr">
        <is>
          <t>Engins de chantier et agricoles</t>
        </is>
      </c>
      <c r="B132" s="8" t="inlineStr">
        <is>
          <t>Caterpillar D4</t>
        </is>
      </c>
      <c r="C132" s="8" t="inlineStr">
        <is>
          <t>États-Unis</t>
        </is>
      </c>
      <c r="D132" s="8" t="inlineStr">
        <is>
          <t>Tracteur chenillé</t>
        </is>
      </c>
      <c r="E132" s="8" t="inlineStr">
        <is>
          <t>À vérifier</t>
        </is>
      </c>
      <c r="F132" s="8" t="inlineStr">
        <is>
          <t>À rechercher</t>
        </is>
      </c>
      <c r="G132" s="8" t="inlineStr">
        <is>
          <t>À rechercher</t>
        </is>
      </c>
      <c r="H132" s="8" t="inlineStr">
        <is>
          <t>À définir</t>
        </is>
      </c>
      <c r="I132" s="8" t="inlineStr">
        <is>
          <t>Inventaire initial</t>
        </is>
      </c>
      <c r="J132" s="8" t="inlineStr">
        <is>
          <t>Modèle à valider historiquement avant verrouillage</t>
        </is>
      </c>
      <c r="K132" s="8" t="n"/>
      <c r="L132" s="8" t="inlineStr">
        <is>
          <t>Aucun armement fixe standard identifié; arme individuelle/affût de campagne possible selon usage</t>
        </is>
      </c>
      <c r="M132" s="8" t="inlineStr">
        <is>
          <t>Pas d'arme à attribuer par défaut; une arme montée doit être confirmée</t>
        </is>
      </c>
      <c r="N132" s="8" t="inlineStr">
        <is>
          <t>Élevé</t>
        </is>
      </c>
      <c r="O132" s="8" t="inlineStr">
        <is>
          <t>Non — contenu ultérieur</t>
        </is>
      </c>
      <c r="P132" s="8" t="inlineStr">
        <is>
          <t>À intégrer après validation du prototype</t>
        </is>
      </c>
      <c r="Q132" t="inlineStr">
        <is>
          <t>Caterpillar D4 : véhicule de catégorie « Tracteur chenillé », d'origine États-Unis. Motorisation recensée : À rechercher. Fiche de catalogue à compléter avec le rôle tactique et les caractéristiques de jeu.</t>
        </is>
      </c>
    </row>
    <row r="133" ht="42" customHeight="1">
      <c r="A133" s="8" t="inlineStr">
        <is>
          <t>Engins de chantier et agricoles</t>
        </is>
      </c>
      <c r="B133" s="8" t="inlineStr">
        <is>
          <t>Caterpillar D7</t>
        </is>
      </c>
      <c r="C133" s="8" t="inlineStr">
        <is>
          <t>États-Unis</t>
        </is>
      </c>
      <c r="D133" s="8" t="inlineStr">
        <is>
          <t>Tracteur chenillé</t>
        </is>
      </c>
      <c r="E133" s="8" t="inlineStr">
        <is>
          <t>À vérifier</t>
        </is>
      </c>
      <c r="F133" s="8" t="inlineStr">
        <is>
          <t>À rechercher</t>
        </is>
      </c>
      <c r="G133" s="8" t="inlineStr">
        <is>
          <t>À rechercher</t>
        </is>
      </c>
      <c r="H133" s="8" t="inlineStr">
        <is>
          <t>À définir</t>
        </is>
      </c>
      <c r="I133" s="8" t="inlineStr">
        <is>
          <t>Inventaire initial</t>
        </is>
      </c>
      <c r="J133" s="8" t="inlineStr">
        <is>
          <t>Modèle à valider historiquement avant verrouillage</t>
        </is>
      </c>
      <c r="K133" s="8" t="n"/>
      <c r="L133" s="8" t="inlineStr">
        <is>
          <t>Aucun armement fixe standard identifié; arme individuelle/affût de campagne possible selon usage</t>
        </is>
      </c>
      <c r="M133" s="8" t="inlineStr">
        <is>
          <t>Pas d'arme à attribuer par défaut; une arme montée doit être confirmée</t>
        </is>
      </c>
      <c r="N133" s="8" t="inlineStr">
        <is>
          <t>Élevé</t>
        </is>
      </c>
      <c r="O133" s="8" t="inlineStr">
        <is>
          <t>Non — contenu ultérieur</t>
        </is>
      </c>
      <c r="P133" s="8" t="inlineStr">
        <is>
          <t>À intégrer après validation du prototype</t>
        </is>
      </c>
      <c r="Q133" t="inlineStr">
        <is>
          <t>Caterpillar D7 : véhicule de catégorie « Tracteur chenillé », d'origine États-Unis. Motorisation recensée : À rechercher. Fiche de catalogue à compléter avec le rôle tactique et les caractéristiques de jeu.</t>
        </is>
      </c>
    </row>
    <row r="134" ht="42" customHeight="1">
      <c r="A134" s="8" t="inlineStr">
        <is>
          <t>Engins de chantier et agricoles</t>
        </is>
      </c>
      <c r="B134" s="8" t="inlineStr">
        <is>
          <t>Cletrac HG / modèles d'époque</t>
        </is>
      </c>
      <c r="C134" s="8" t="inlineStr">
        <is>
          <t>États-Unis</t>
        </is>
      </c>
      <c r="D134" s="8" t="inlineStr">
        <is>
          <t>Tracteur chenillé</t>
        </is>
      </c>
      <c r="E134" s="8" t="inlineStr">
        <is>
          <t>À vérifier</t>
        </is>
      </c>
      <c r="F134" s="8" t="inlineStr">
        <is>
          <t>À rechercher</t>
        </is>
      </c>
      <c r="G134" s="8" t="inlineStr">
        <is>
          <t>À rechercher</t>
        </is>
      </c>
      <c r="H134" s="8" t="inlineStr">
        <is>
          <t>À définir</t>
        </is>
      </c>
      <c r="I134" s="8" t="inlineStr">
        <is>
          <t>Inventaire initial</t>
        </is>
      </c>
      <c r="J134" s="8" t="inlineStr">
        <is>
          <t>Modèle à valider historiquement avant verrouillage</t>
        </is>
      </c>
      <c r="K134" s="8" t="n"/>
      <c r="L134" s="8" t="inlineStr">
        <is>
          <t>Aucun armement fixe standard identifié; arme individuelle/affût de campagne possible selon usage</t>
        </is>
      </c>
      <c r="M134" s="8" t="inlineStr">
        <is>
          <t>Pas d'arme à attribuer par défaut; une arme montée doit être confirmée</t>
        </is>
      </c>
      <c r="N134" s="8" t="inlineStr">
        <is>
          <t>Élevé</t>
        </is>
      </c>
      <c r="O134" s="8" t="inlineStr">
        <is>
          <t>Non — contenu ultérieur</t>
        </is>
      </c>
      <c r="P134" s="8" t="inlineStr">
        <is>
          <t>À intégrer après validation du prototype</t>
        </is>
      </c>
      <c r="Q134" t="inlineStr">
        <is>
          <t>Cletrac HG / modèles d'époque : véhicule de catégorie « Tracteur chenillé », d'origine États-Unis. Motorisation recensée : À rechercher. Fiche de catalogue à compléter avec le rôle tactique et les caractéristiques de jeu.</t>
        </is>
      </c>
    </row>
    <row r="135" ht="42" customHeight="1">
      <c r="A135" s="8" t="inlineStr">
        <is>
          <t>Engins de chantier et agricoles</t>
        </is>
      </c>
      <c r="B135" s="8" t="inlineStr">
        <is>
          <t>Farmall H</t>
        </is>
      </c>
      <c r="C135" s="8" t="inlineStr">
        <is>
          <t>États-Unis</t>
        </is>
      </c>
      <c r="D135" s="8" t="inlineStr">
        <is>
          <t>Tracteur agricole</t>
        </is>
      </c>
      <c r="E135" s="8" t="inlineStr">
        <is>
          <t>À vérifier</t>
        </is>
      </c>
      <c r="F135" s="8" t="inlineStr">
        <is>
          <t>À rechercher</t>
        </is>
      </c>
      <c r="G135" s="8" t="inlineStr">
        <is>
          <t>À rechercher</t>
        </is>
      </c>
      <c r="H135" s="8" t="inlineStr">
        <is>
          <t>À définir</t>
        </is>
      </c>
      <c r="I135" s="8" t="inlineStr">
        <is>
          <t>Inventaire initial</t>
        </is>
      </c>
      <c r="J135" s="8" t="inlineStr">
        <is>
          <t>Modèle à valider historiquement avant verrouillage</t>
        </is>
      </c>
      <c r="K135" s="8" t="n"/>
      <c r="L135" s="8" t="inlineStr">
        <is>
          <t>Aucun armement fixe standard identifié; arme individuelle/affût de campagne possible selon usage</t>
        </is>
      </c>
      <c r="M135" s="8" t="inlineStr">
        <is>
          <t>Pas d'arme à attribuer par défaut; une arme montée doit être confirmée</t>
        </is>
      </c>
      <c r="N135" s="8" t="inlineStr">
        <is>
          <t>Élevé</t>
        </is>
      </c>
      <c r="O135" s="8" t="inlineStr">
        <is>
          <t>Non — contenu ultérieur</t>
        </is>
      </c>
      <c r="P135" s="8" t="inlineStr">
        <is>
          <t>À intégrer après validation du prototype</t>
        </is>
      </c>
      <c r="Q135" t="inlineStr">
        <is>
          <t>Farmall H : véhicule de catégorie « Tracteur agricole », d'origine États-Unis. Motorisation recensée : À rechercher. Fiche de catalogue à compléter avec le rôle tactique et les caractéristiques de jeu.</t>
        </is>
      </c>
    </row>
    <row r="136" ht="42" customHeight="1">
      <c r="A136" s="8" t="inlineStr">
        <is>
          <t>Engins de chantier et agricoles</t>
        </is>
      </c>
      <c r="B136" s="8" t="inlineStr">
        <is>
          <t>Fordson N</t>
        </is>
      </c>
      <c r="C136" s="8" t="inlineStr">
        <is>
          <t>Royaume-Uni</t>
        </is>
      </c>
      <c r="D136" s="8" t="inlineStr">
        <is>
          <t>Tracteur agricole</t>
        </is>
      </c>
      <c r="E136" s="8" t="inlineStr">
        <is>
          <t>À vérifier</t>
        </is>
      </c>
      <c r="F136" s="8" t="inlineStr">
        <is>
          <t>À rechercher</t>
        </is>
      </c>
      <c r="G136" s="8" t="inlineStr">
        <is>
          <t>À rechercher</t>
        </is>
      </c>
      <c r="H136" s="8" t="inlineStr">
        <is>
          <t>À définir</t>
        </is>
      </c>
      <c r="I136" s="8" t="inlineStr">
        <is>
          <t>Inventaire initial</t>
        </is>
      </c>
      <c r="J136" s="8" t="inlineStr">
        <is>
          <t>Modèle à valider historiquement avant verrouillage</t>
        </is>
      </c>
      <c r="K136" s="8" t="n"/>
      <c r="L136" s="8" t="inlineStr">
        <is>
          <t>Aucun armement fixe standard identifié; arme individuelle/affût de campagne possible selon usage</t>
        </is>
      </c>
      <c r="M136" s="8" t="inlineStr">
        <is>
          <t>Pas d'arme à attribuer par défaut; une arme montée doit être confirmée</t>
        </is>
      </c>
      <c r="N136" s="8" t="inlineStr">
        <is>
          <t>Élevé</t>
        </is>
      </c>
      <c r="O136" s="8" t="inlineStr">
        <is>
          <t>Non — contenu ultérieur</t>
        </is>
      </c>
      <c r="P136" s="8" t="inlineStr">
        <is>
          <t>À intégrer après validation du prototype</t>
        </is>
      </c>
      <c r="Q136" t="inlineStr">
        <is>
          <t>Fordson N : véhicule de catégorie « Tracteur agricole », d'origine Royaume-Uni. Motorisation recensée : À rechercher. Fiche de catalogue à compléter avec le rôle tactique et les caractéristiques de jeu.</t>
        </is>
      </c>
    </row>
    <row r="137" ht="42" customHeight="1">
      <c r="A137" s="8" t="inlineStr">
        <is>
          <t>Engins de chantier et agricoles</t>
        </is>
      </c>
      <c r="B137" s="8" t="inlineStr">
        <is>
          <t>Lanz Bulldog</t>
        </is>
      </c>
      <c r="C137" s="8" t="inlineStr">
        <is>
          <t>Allemagne</t>
        </is>
      </c>
      <c r="D137" s="8" t="inlineStr">
        <is>
          <t>Tracteur agricole</t>
        </is>
      </c>
      <c r="E137" s="8" t="inlineStr">
        <is>
          <t>À vérifier</t>
        </is>
      </c>
      <c r="F137" s="8" t="inlineStr">
        <is>
          <t>À rechercher</t>
        </is>
      </c>
      <c r="G137" s="8" t="inlineStr">
        <is>
          <t>À rechercher</t>
        </is>
      </c>
      <c r="H137" s="8" t="inlineStr">
        <is>
          <t>À définir</t>
        </is>
      </c>
      <c r="I137" s="8" t="inlineStr">
        <is>
          <t>Inventaire initial</t>
        </is>
      </c>
      <c r="J137" s="8" t="inlineStr">
        <is>
          <t>Modèle à valider historiquement avant verrouillage</t>
        </is>
      </c>
      <c r="K137" s="8" t="n"/>
      <c r="L137" s="8" t="inlineStr">
        <is>
          <t>Aucun armement fixe standard identifié; arme individuelle/affût de campagne possible selon usage</t>
        </is>
      </c>
      <c r="M137" s="8" t="inlineStr">
        <is>
          <t>Pas d'arme à attribuer par défaut; une arme montée doit être confirmée</t>
        </is>
      </c>
      <c r="N137" s="8" t="inlineStr">
        <is>
          <t>Élevé</t>
        </is>
      </c>
      <c r="O137" s="8" t="inlineStr">
        <is>
          <t>Non — contenu ultérieur</t>
        </is>
      </c>
      <c r="P137" s="8" t="inlineStr">
        <is>
          <t>À intégrer après validation du prototype</t>
        </is>
      </c>
      <c r="Q137" t="inlineStr">
        <is>
          <t>Lanz Bulldog : véhicule de catégorie « Tracteur agricole », d'origine Allemagne. Motorisation recensée : À rechercher. Fiche de catalogue à compléter avec le rôle tactique et les caractéristiques de jeu.</t>
        </is>
      </c>
    </row>
    <row r="138" ht="42" customHeight="1">
      <c r="A138" s="8" t="inlineStr">
        <is>
          <t>Engins de chantier et agricoles</t>
        </is>
      </c>
      <c r="B138" s="8" t="inlineStr">
        <is>
          <t>Pavesi P4 / Pavesi Tolotti</t>
        </is>
      </c>
      <c r="C138" s="8" t="inlineStr">
        <is>
          <t>Italie</t>
        </is>
      </c>
      <c r="D138" s="8" t="inlineStr">
        <is>
          <t>Tracteur tout-terrain</t>
        </is>
      </c>
      <c r="E138" s="8" t="inlineStr">
        <is>
          <t>À vérifier</t>
        </is>
      </c>
      <c r="F138" s="8" t="inlineStr">
        <is>
          <t>À rechercher</t>
        </is>
      </c>
      <c r="G138" s="8" t="inlineStr">
        <is>
          <t>À rechercher</t>
        </is>
      </c>
      <c r="H138" s="8" t="inlineStr">
        <is>
          <t>À définir</t>
        </is>
      </c>
      <c r="I138" s="8" t="inlineStr">
        <is>
          <t>Inventaire initial</t>
        </is>
      </c>
      <c r="J138" s="8" t="inlineStr">
        <is>
          <t>Modèle à valider historiquement avant verrouillage</t>
        </is>
      </c>
      <c r="K138" s="8" t="n"/>
      <c r="L138" s="8" t="inlineStr">
        <is>
          <t>Aucun armement fixe standard identifié; arme individuelle/affût de campagne possible selon usage</t>
        </is>
      </c>
      <c r="M138" s="8" t="inlineStr">
        <is>
          <t>Pas d'arme à attribuer par défaut; une arme montée doit être confirmée</t>
        </is>
      </c>
      <c r="N138" s="8" t="inlineStr">
        <is>
          <t>Élevé</t>
        </is>
      </c>
      <c r="O138" s="8" t="inlineStr">
        <is>
          <t>Non — contenu ultérieur</t>
        </is>
      </c>
      <c r="P138" s="8" t="inlineStr">
        <is>
          <t>À intégrer après validation du prototype</t>
        </is>
      </c>
      <c r="Q138" t="inlineStr">
        <is>
          <t>Pavesi P4 / Pavesi Tolotti : véhicule de catégorie « Tracteur tout-terrain », d'origine Italie. Motorisation recensée : À rechercher. Fiche de catalogue à compléter avec le rôle tactique et les caractéristiques de jeu.</t>
        </is>
      </c>
    </row>
    <row r="139" ht="42" customHeight="1">
      <c r="A139" s="8" t="inlineStr">
        <is>
          <t>Engins de chantier et agricoles</t>
        </is>
      </c>
      <c r="B139" s="8" t="inlineStr">
        <is>
          <t>Bergepanther</t>
        </is>
      </c>
      <c r="C139" s="8" t="inlineStr">
        <is>
          <t>Allemagne</t>
        </is>
      </c>
      <c r="D139" s="8" t="inlineStr">
        <is>
          <t>Véhicule blindé de dépannage</t>
        </is>
      </c>
      <c r="E139" s="8" t="inlineStr">
        <is>
          <t>À vérifier</t>
        </is>
      </c>
      <c r="F139" s="8" t="inlineStr">
        <is>
          <t>À rechercher</t>
        </is>
      </c>
      <c r="G139" s="8" t="inlineStr">
        <is>
          <t>À rechercher</t>
        </is>
      </c>
      <c r="H139" s="8" t="inlineStr">
        <is>
          <t>À définir</t>
        </is>
      </c>
      <c r="I139" s="8" t="inlineStr">
        <is>
          <t>Inventaire initial</t>
        </is>
      </c>
      <c r="J139" s="8" t="inlineStr">
        <is>
          <t>Modèle à valider historiquement avant verrouillage</t>
        </is>
      </c>
      <c r="K139" s="8" t="n"/>
      <c r="L139" s="8" t="inlineStr">
        <is>
          <t>Canon de 75 mm KwK 42 L/70; 2–3 MG 34/42 selon version</t>
        </is>
      </c>
      <c r="M139" s="8" t="inlineStr">
        <is>
          <t>Canon principal, MG coaxiale et/ou de caisse selon variante</t>
        </is>
      </c>
      <c r="N139" s="8" t="inlineStr">
        <is>
          <t>Élevé</t>
        </is>
      </c>
      <c r="O139" s="8" t="inlineStr">
        <is>
          <t>Non — contenu ultérieur</t>
        </is>
      </c>
      <c r="P139" s="8" t="inlineStr">
        <is>
          <t>À intégrer après validation du prototype</t>
        </is>
      </c>
      <c r="Q139" t="inlineStr">
        <is>
          <t>Bergepanther : véhicule de catégorie « Véhicule blindé de dépannage », d'origine Allemagne. Motorisation recensée : À rechercher. Fiche de catalogue à compléter avec le rôle tactique et les caractéristiques de jeu.</t>
        </is>
      </c>
    </row>
    <row r="140" ht="42" customHeight="1">
      <c r="A140" s="8" t="inlineStr">
        <is>
          <t>Engins de chantier et agricoles</t>
        </is>
      </c>
      <c r="B140" s="8" t="inlineStr">
        <is>
          <t>Churchill ARV</t>
        </is>
      </c>
      <c r="C140" s="8" t="inlineStr">
        <is>
          <t>Royaume-Uni</t>
        </is>
      </c>
      <c r="D140" s="8" t="inlineStr">
        <is>
          <t>Véhicule blindé de dépannage</t>
        </is>
      </c>
      <c r="E140" s="8" t="inlineStr">
        <is>
          <t>À vérifier</t>
        </is>
      </c>
      <c r="F140" s="8" t="inlineStr">
        <is>
          <t>À rechercher</t>
        </is>
      </c>
      <c r="G140" s="8" t="inlineStr">
        <is>
          <t>À rechercher</t>
        </is>
      </c>
      <c r="H140" s="8" t="inlineStr">
        <is>
          <t>À définir</t>
        </is>
      </c>
      <c r="I140" s="8" t="inlineStr">
        <is>
          <t>Inventaire initial</t>
        </is>
      </c>
      <c r="J140" s="8" t="inlineStr">
        <is>
          <t>Modèle à valider historiquement avant verrouillage</t>
        </is>
      </c>
      <c r="K140" s="8" t="n"/>
      <c r="L140" s="8" t="inlineStr">
        <is>
          <t>Canon de 2-pdr, 6-pdr ou 75 mm selon version; mitrailleuse Besa 7,92 mm; parfois obusier de 3 pouces</t>
        </is>
      </c>
      <c r="M140" s="8" t="inlineStr">
        <is>
          <t>Canon/obusier et Besa selon variante</t>
        </is>
      </c>
      <c r="N140" s="8" t="inlineStr">
        <is>
          <t>Partiel</t>
        </is>
      </c>
      <c r="O140" s="8" t="inlineStr">
        <is>
          <t>Non — contenu ultérieur</t>
        </is>
      </c>
      <c r="P140" s="8" t="inlineStr">
        <is>
          <t>À intégrer après validation du prototype</t>
        </is>
      </c>
      <c r="Q140" t="inlineStr">
        <is>
          <t>Churchill ARV : véhicule de catégorie « Véhicule blindé de dépannage », d'origine Royaume-Uni. Motorisation recensée : À rechercher. Fiche de catalogue à compléter avec le rôle tactique et les caractéristiques de jeu.</t>
        </is>
      </c>
    </row>
    <row r="141" ht="42" customHeight="1">
      <c r="A141" s="8" t="inlineStr">
        <is>
          <t>Engins de chantier et agricoles</t>
        </is>
      </c>
      <c r="B141" s="8" t="inlineStr">
        <is>
          <t>M31 Tank Recovery Vehicle</t>
        </is>
      </c>
      <c r="C141" s="8" t="inlineStr">
        <is>
          <t>États-Unis</t>
        </is>
      </c>
      <c r="D141" s="8" t="inlineStr">
        <is>
          <t>Véhicule blindé de dépannage</t>
        </is>
      </c>
      <c r="E141" s="8" t="inlineStr">
        <is>
          <t>À vérifier</t>
        </is>
      </c>
      <c r="F141" s="8" t="inlineStr">
        <is>
          <t>À rechercher</t>
        </is>
      </c>
      <c r="G141" s="8" t="inlineStr">
        <is>
          <t>À rechercher</t>
        </is>
      </c>
      <c r="H141" s="8" t="inlineStr">
        <is>
          <t>À définir</t>
        </is>
      </c>
      <c r="I141" s="8" t="inlineStr">
        <is>
          <t>Inventaire initial</t>
        </is>
      </c>
      <c r="J141" s="8" t="inlineStr">
        <is>
          <t>Modèle à valider historiquement avant verrouillage</t>
        </is>
      </c>
      <c r="K141" s="8" t="n"/>
      <c r="L141" s="8" t="inlineStr">
        <is>
          <t>Armement historique à déterminer précisément pour ce modèle/sa variante</t>
        </is>
      </c>
      <c r="M141" s="8" t="inlineStr">
        <is>
          <t>Ne récupérer une arme que si elle est présente, identifiable et démontable; vérifier le calibre</t>
        </is>
      </c>
      <c r="N141" s="8" t="inlineStr">
        <is>
          <t>À vérifier</t>
        </is>
      </c>
      <c r="O141" s="8" t="inlineStr">
        <is>
          <t>Non — contenu ultérieur</t>
        </is>
      </c>
      <c r="P141" s="8" t="inlineStr">
        <is>
          <t>À intégrer après validation du prototype</t>
        </is>
      </c>
      <c r="Q141" t="inlineStr">
        <is>
          <t>M31 Tank Recovery Vehicle : véhicule de catégorie « Véhicule blindé de dépannage », d'origine États-Unis. Motorisation recensée : À rechercher. Fiche de catalogue à compléter avec le rôle tactique et les caractéristiques de jeu.</t>
        </is>
      </c>
    </row>
    <row r="142" ht="42" customHeight="1">
      <c r="A142" s="8" t="inlineStr">
        <is>
          <t>Chars légers et chars anciens</t>
        </is>
      </c>
      <c r="B142" s="8" t="inlineStr">
        <is>
          <t>Renault FT</t>
        </is>
      </c>
      <c r="C142" s="8" t="inlineStr">
        <is>
          <t>France</t>
        </is>
      </c>
      <c r="D142" s="8" t="inlineStr">
        <is>
          <t>Chars légers et chars anciens</t>
        </is>
      </c>
      <c r="E142" s="8" t="n"/>
      <c r="F142" s="8" t="inlineStr">
        <is>
          <t>4 cylindres en ligne Renault</t>
        </is>
      </c>
      <c r="G142" s="8" t="inlineStr">
        <is>
          <t>À normaliser après vérification</t>
        </is>
      </c>
      <c r="H142" s="8" t="inlineStr">
        <is>
          <t>À définir séparément des compatibilités historiques</t>
        </is>
      </c>
      <c r="I142" s="8" t="inlineStr">
        <is>
          <t>Documenté</t>
        </is>
      </c>
      <c r="J142" s="8" t="inlineStr">
        <is>
          <t>Char historique de référence ; moteur compact, faible puissance.</t>
        </is>
      </c>
      <c r="K142" s="8" t="inlineStr">
        <is>
          <t>https://museedesblindes.fr/les_chars/char-ft/</t>
        </is>
      </c>
      <c r="L142" s="8" t="inlineStr">
        <is>
          <t>37 mm Puteaux SA 18 OU mitrailleuse Hotchkiss 8 mm (versions distinctes)</t>
        </is>
      </c>
      <c r="M142" s="8" t="inlineStr">
        <is>
          <t>Canon ou mitrailleuse selon la variante; tourelle/affût récupérable si intact</t>
        </is>
      </c>
      <c r="N142" s="8" t="inlineStr">
        <is>
          <t>Partiel</t>
        </is>
      </c>
      <c r="O142" s="8" t="inlineStr">
        <is>
          <t>Non — contenu ultérieur</t>
        </is>
      </c>
      <c r="P142" s="8" t="inlineStr">
        <is>
          <t>À intégrer après validation du prototype</t>
        </is>
      </c>
      <c r="Q142" t="inlineStr">
        <is>
          <t>Renault FT : véhicule de catégorie « Chars légers et chars anciens », d'origine France. Motorisation recensée : 4 cylindres en ligne Renault. Fiche de catalogue à compléter avec le rôle tactique et les caractéristiques de jeu.</t>
        </is>
      </c>
    </row>
    <row r="143" ht="42" customHeight="1">
      <c r="A143" s="8" t="inlineStr">
        <is>
          <t>Chars légers et chars anciens</t>
        </is>
      </c>
      <c r="B143" s="8" t="inlineStr">
        <is>
          <t>Renault NC27 / NC1</t>
        </is>
      </c>
      <c r="C143" s="8" t="inlineStr">
        <is>
          <t>France</t>
        </is>
      </c>
      <c r="D143" s="8" t="inlineStr">
        <is>
          <t>Chars légers et chars anciens</t>
        </is>
      </c>
      <c r="E143" s="8" t="n"/>
      <c r="F143" s="8" t="inlineStr">
        <is>
          <t>4 cylindres en ligne Renault (variante à confirmer)</t>
        </is>
      </c>
      <c r="G143" s="8" t="inlineStr">
        <is>
          <t>À normaliser après vérification</t>
        </is>
      </c>
      <c r="H143" s="8" t="inlineStr">
        <is>
          <t>À définir séparément des compatibilités historiques</t>
        </is>
      </c>
      <c r="I143" s="8" t="inlineStr">
        <is>
          <t>À vérifier</t>
        </is>
      </c>
      <c r="J143" s="8" t="inlineStr">
        <is>
          <t>Prototype/modernisation dérivée du FT ; moteur exact à documenter.</t>
        </is>
      </c>
      <c r="K143" s="8" t="inlineStr">
        <is>
          <t>https://tanks-encyclopedia.com/ww1/fr/renault-ft/</t>
        </is>
      </c>
      <c r="L143" s="8" t="inlineStr">
        <is>
          <t>Canon court de 37 mm (famille SA 18/SA 38 selon modèle) et/ou mitrailleuse 7,5 mm selon version</t>
        </is>
      </c>
      <c r="M143" s="8" t="inlineStr">
        <is>
          <t>Canon et mitrailleuses séparables; confirmer la variante exacte</t>
        </is>
      </c>
      <c r="N143" s="8" t="inlineStr">
        <is>
          <t>Partiel</t>
        </is>
      </c>
      <c r="O143" s="8" t="inlineStr">
        <is>
          <t>Non — contenu ultérieur</t>
        </is>
      </c>
      <c r="P143" s="8" t="inlineStr">
        <is>
          <t>À intégrer après validation du prototype</t>
        </is>
      </c>
      <c r="Q143" t="inlineStr">
        <is>
          <t>Renault NC27 / NC1 : véhicule de catégorie « Chars légers et chars anciens », d'origine France. Motorisation recensée : 4 cylindres en ligne Renault (variante à confirmer). Variante historique à vérifier avant validation définitive.</t>
        </is>
      </c>
    </row>
    <row r="144" ht="42" customHeight="1">
      <c r="A144" s="8" t="inlineStr">
        <is>
          <t>Chars légers et chars anciens</t>
        </is>
      </c>
      <c r="B144" s="8" t="inlineStr">
        <is>
          <t>Renault D1</t>
        </is>
      </c>
      <c r="C144" s="8" t="inlineStr">
        <is>
          <t>France</t>
        </is>
      </c>
      <c r="D144" s="8" t="inlineStr">
        <is>
          <t>Chars légers et chars anciens</t>
        </is>
      </c>
      <c r="E144" s="8" t="n"/>
      <c r="F144" s="8" t="inlineStr">
        <is>
          <t>4 cylindres en ligne Renault</t>
        </is>
      </c>
      <c r="G144" s="8" t="inlineStr">
        <is>
          <t>À normaliser après vérification</t>
        </is>
      </c>
      <c r="H144" s="8" t="inlineStr">
        <is>
          <t>À définir séparément des compatibilités historiques</t>
        </is>
      </c>
      <c r="I144" s="8" t="inlineStr">
        <is>
          <t>À vérifier</t>
        </is>
      </c>
      <c r="J144" s="8" t="inlineStr">
        <is>
          <t>Char d'infanterie ancien ; famille moteur française à confirmer par source technique.</t>
        </is>
      </c>
      <c r="K144" s="8" t="inlineStr">
        <is>
          <t>https://tanks-encyclopedia.com/ww2/france/renault-d1/</t>
        </is>
      </c>
      <c r="L144" s="8" t="inlineStr">
        <is>
          <t>Canon court de 37 mm (famille SA 18/SA 38 selon modèle) et/ou mitrailleuse 7,5 mm selon version</t>
        </is>
      </c>
      <c r="M144" s="8" t="inlineStr">
        <is>
          <t>Canon et mitrailleuses séparables; confirmer la variante exacte</t>
        </is>
      </c>
      <c r="N144" s="8" t="inlineStr">
        <is>
          <t>Partiel</t>
        </is>
      </c>
      <c r="O144" s="8" t="inlineStr">
        <is>
          <t>Non — contenu ultérieur</t>
        </is>
      </c>
      <c r="P144" s="8" t="inlineStr">
        <is>
          <t>À intégrer après validation du prototype</t>
        </is>
      </c>
      <c r="Q144" t="inlineStr">
        <is>
          <t>Renault D1 : véhicule de catégorie « Chars légers et chars anciens », d'origine France. Motorisation recensée : 4 cylindres en ligne Renault. Variante historique à vérifier avant validation définitive.</t>
        </is>
      </c>
    </row>
    <row r="145" ht="42" customHeight="1">
      <c r="A145" s="8" t="inlineStr">
        <is>
          <t>Chars moyens</t>
        </is>
      </c>
      <c r="B145" s="8" t="inlineStr">
        <is>
          <t>Renault D2</t>
        </is>
      </c>
      <c r="C145" s="8" t="inlineStr">
        <is>
          <t>France</t>
        </is>
      </c>
      <c r="D145" s="8" t="inlineStr">
        <is>
          <t>Chars moyens</t>
        </is>
      </c>
      <c r="E145" s="8" t="n"/>
      <c r="F145" s="8" t="inlineStr">
        <is>
          <t>4 cylindres en ligne Renault</t>
        </is>
      </c>
      <c r="G145" s="8" t="inlineStr">
        <is>
          <t>À normaliser après vérification</t>
        </is>
      </c>
      <c r="H145" s="8" t="inlineStr">
        <is>
          <t>À définir séparément des compatibilités historiques</t>
        </is>
      </c>
      <c r="I145" s="8" t="inlineStr">
        <is>
          <t>À vérifier</t>
        </is>
      </c>
      <c r="J145" s="8" t="inlineStr">
        <is>
          <t>À distinguer du D1 dans le catalogue de châssis.</t>
        </is>
      </c>
      <c r="K145" s="8" t="inlineStr">
        <is>
          <t>https://tanks-encyclopedia.com/ww2/france/renault-d2/</t>
        </is>
      </c>
      <c r="L145" s="8" t="inlineStr">
        <is>
          <t>Canon court de 37 mm (famille SA 18/SA 38 selon modèle) et/ou mitrailleuse 7,5 mm selon version</t>
        </is>
      </c>
      <c r="M145" s="8" t="inlineStr">
        <is>
          <t>Canon et mitrailleuses séparables; confirmer la variante exacte</t>
        </is>
      </c>
      <c r="N145" s="8" t="inlineStr">
        <is>
          <t>Partiel</t>
        </is>
      </c>
      <c r="O145" s="8" t="inlineStr">
        <is>
          <t>Non — contenu ultérieur</t>
        </is>
      </c>
      <c r="P145" s="8" t="inlineStr">
        <is>
          <t>À intégrer après validation du prototype</t>
        </is>
      </c>
      <c r="Q145" t="inlineStr">
        <is>
          <t>Renault D2 : véhicule de catégorie « Chars moyens », d'origine France. Motorisation recensée : 4 cylindres en ligne Renault. Variante historique à vérifier avant validation définitive.</t>
        </is>
      </c>
    </row>
    <row r="146" ht="42" customHeight="1">
      <c r="A146" s="8" t="inlineStr">
        <is>
          <t>Chars lourds et prototypes</t>
        </is>
      </c>
      <c r="B146" s="8" t="inlineStr">
        <is>
          <t>Char 2C</t>
        </is>
      </c>
      <c r="C146" s="8" t="inlineStr">
        <is>
          <t>France</t>
        </is>
      </c>
      <c r="D146" s="8" t="inlineStr">
        <is>
          <t>Chars lourds et prototypes</t>
        </is>
      </c>
      <c r="E146" s="8" t="n"/>
      <c r="F146" s="8" t="inlineStr">
        <is>
          <t>2 moteurs 6 cylindres en ligne (familles d'époque, détails à confirmer)</t>
        </is>
      </c>
      <c r="G146" s="8" t="inlineStr">
        <is>
          <t>À normaliser après vérification</t>
        </is>
      </c>
      <c r="H146" s="8" t="inlineStr">
        <is>
          <t>À définir séparément des compatibilités historiques</t>
        </is>
      </c>
      <c r="I146" s="8" t="inlineStr">
        <is>
          <t>Partiel</t>
        </is>
      </c>
      <c r="J146" s="8" t="inlineStr">
        <is>
          <t>Très grand char multimoteur ; excellent exemple pour le système multimoteur.</t>
        </is>
      </c>
      <c r="K146" s="8" t="inlineStr">
        <is>
          <t>https://tanks-encyclopedia.com/ww2/france/char-2c/</t>
        </is>
      </c>
      <c r="L146" s="8" t="inlineStr">
        <is>
          <t>Canon de 75 mm; plusieurs mitrailleuses de 8 mm</t>
        </is>
      </c>
      <c r="M146" s="8" t="inlineStr">
        <is>
          <t>Canon principal, mitrailleuses et affûts; récupération lourde</t>
        </is>
      </c>
      <c r="N146" s="8" t="inlineStr">
        <is>
          <t>Partiel</t>
        </is>
      </c>
      <c r="O146" s="8" t="inlineStr">
        <is>
          <t>Non — contenu ultérieur</t>
        </is>
      </c>
      <c r="P146" s="8" t="inlineStr">
        <is>
          <t>À intégrer après validation du prototype</t>
        </is>
      </c>
      <c r="Q146" t="inlineStr">
        <is>
          <t>Char 2C : véhicule de catégorie « Chars lourds et prototypes », d'origine France. Motorisation recensée : 2 moteurs 6 cylindres en ligne (familles d'époque, détails à confirmer). Variante historique à vérifier avant validation définitive.</t>
        </is>
      </c>
    </row>
    <row r="147" ht="42" customHeight="1">
      <c r="A147" s="8" t="inlineStr">
        <is>
          <t>Reconnaissance et chars légers</t>
        </is>
      </c>
      <c r="B147" s="8" t="inlineStr">
        <is>
          <t>AMR 33</t>
        </is>
      </c>
      <c r="C147" s="8" t="inlineStr">
        <is>
          <t>France</t>
        </is>
      </c>
      <c r="D147" s="8" t="inlineStr">
        <is>
          <t>Reconnaissance et chars légers</t>
        </is>
      </c>
      <c r="E147" s="8" t="n"/>
      <c r="F147" s="8" t="inlineStr">
        <is>
          <t>4 cylindres en ligne Renault</t>
        </is>
      </c>
      <c r="G147" s="8" t="inlineStr">
        <is>
          <t>À normaliser après vérification</t>
        </is>
      </c>
      <c r="H147" s="8" t="inlineStr">
        <is>
          <t>À définir séparément des compatibilités historiques</t>
        </is>
      </c>
      <c r="I147" s="8" t="inlineStr">
        <is>
          <t>À vérifier</t>
        </is>
      </c>
      <c r="J147" s="8" t="inlineStr">
        <is>
          <t>Petit véhicule de reconnaissance, mobilité légère.</t>
        </is>
      </c>
      <c r="K147" s="8" t="inlineStr">
        <is>
          <t>https://museedesblindes.fr/1945-1962-fin-de-l-empire/</t>
        </is>
      </c>
      <c r="L147" s="8" t="inlineStr">
        <is>
          <t>Mitrailleuse 7,5 mm (certaines variantes/essais diffèrent)</t>
        </is>
      </c>
      <c r="M147" s="8" t="inlineStr">
        <is>
          <t>Mitrailleuse et affût si présents</t>
        </is>
      </c>
      <c r="N147" s="8" t="inlineStr">
        <is>
          <t>Partiel</t>
        </is>
      </c>
      <c r="O147" s="8" t="inlineStr">
        <is>
          <t>Non — contenu ultérieur</t>
        </is>
      </c>
      <c r="P147" s="8" t="inlineStr">
        <is>
          <t>À intégrer après validation du prototype</t>
        </is>
      </c>
      <c r="Q147" t="inlineStr">
        <is>
          <t>AMR 33 : véhicule de catégorie « Reconnaissance et chars légers », d'origine France. Motorisation recensée : 4 cylindres en ligne Renault. Variante historique à vérifier avant validation définitive.</t>
        </is>
      </c>
    </row>
    <row r="148" ht="42" customHeight="1">
      <c r="A148" s="8" t="inlineStr">
        <is>
          <t>Reconnaissance et chars légers</t>
        </is>
      </c>
      <c r="B148" s="8" t="inlineStr">
        <is>
          <t>AMR 35</t>
        </is>
      </c>
      <c r="C148" s="8" t="inlineStr">
        <is>
          <t>France</t>
        </is>
      </c>
      <c r="D148" s="8" t="inlineStr">
        <is>
          <t>Reconnaissance et chars légers</t>
        </is>
      </c>
      <c r="E148" s="8" t="n"/>
      <c r="F148" s="8" t="inlineStr">
        <is>
          <t>4 cylindres en ligne Renault (selon version)</t>
        </is>
      </c>
      <c r="G148" s="8" t="inlineStr">
        <is>
          <t>À normaliser après vérification</t>
        </is>
      </c>
      <c r="H148" s="8" t="inlineStr">
        <is>
          <t>À définir séparément des compatibilités historiques</t>
        </is>
      </c>
      <c r="I148" s="8" t="inlineStr">
        <is>
          <t>À vérifier</t>
        </is>
      </c>
      <c r="J148" s="8" t="inlineStr">
        <is>
          <t>Plusieurs variantes ; moteur à vérifier selon sous-type.</t>
        </is>
      </c>
      <c r="K148" s="8" t="inlineStr">
        <is>
          <t>https://museedesblindes.fr/1945-1962-fin-de-l-empire/</t>
        </is>
      </c>
      <c r="L148" s="8" t="inlineStr">
        <is>
          <t>Mitrailleuse 7,5 mm (certaines variantes/essais diffèrent)</t>
        </is>
      </c>
      <c r="M148" s="8" t="inlineStr">
        <is>
          <t>Mitrailleuse et affût si présents</t>
        </is>
      </c>
      <c r="N148" s="8" t="inlineStr">
        <is>
          <t>Partiel</t>
        </is>
      </c>
      <c r="O148" s="8" t="inlineStr">
        <is>
          <t>Non — contenu ultérieur</t>
        </is>
      </c>
      <c r="P148" s="8" t="inlineStr">
        <is>
          <t>À intégrer après validation du prototype</t>
        </is>
      </c>
      <c r="Q148" t="inlineStr">
        <is>
          <t>AMR 35 : véhicule de catégorie « Reconnaissance et chars légers », d'origine France. Motorisation recensée : 4 cylindres en ligne Renault (selon version). Variante historique à vérifier avant validation définitive.</t>
        </is>
      </c>
    </row>
    <row r="149" ht="42" customHeight="1">
      <c r="A149" s="8" t="inlineStr">
        <is>
          <t>Chars de cavalerie et prototypes</t>
        </is>
      </c>
      <c r="B149" s="8" t="inlineStr">
        <is>
          <t>AMC 34 / Renault YR</t>
        </is>
      </c>
      <c r="C149" s="8" t="inlineStr">
        <is>
          <t>France</t>
        </is>
      </c>
      <c r="D149" s="8" t="inlineStr">
        <is>
          <t>Chars de cavalerie et prototypes</t>
        </is>
      </c>
      <c r="E149" s="8" t="n"/>
      <c r="F149" s="8" t="inlineStr">
        <is>
          <t>4 cylindres en ligne Renault (à confirmer)</t>
        </is>
      </c>
      <c r="G149" s="8" t="inlineStr">
        <is>
          <t>À normaliser après vérification</t>
        </is>
      </c>
      <c r="H149" s="8" t="inlineStr">
        <is>
          <t>À définir séparément des compatibilités historiques</t>
        </is>
      </c>
      <c r="I149" s="8" t="inlineStr">
        <is>
          <t>À vérifier</t>
        </is>
      </c>
      <c r="J149" s="8" t="inlineStr">
        <is>
          <t>Modèle rare ; inclure comme véhicule de récupération rare.</t>
        </is>
      </c>
      <c r="K149" s="8" t="inlineStr">
        <is>
          <t>https://tanks-encyclopedia.com/ww2/france/renault-amc-34/</t>
        </is>
      </c>
      <c r="L149" s="8" t="inlineStr">
        <is>
          <t>Canon de 25 mm ou 47 mm selon version; mitrailleuse 7,5 mm</t>
        </is>
      </c>
      <c r="M149" s="8" t="inlineStr">
        <is>
          <t>Canon, mitrailleuse, affûts; calibre à confirmer par variante</t>
        </is>
      </c>
      <c r="N149" s="8" t="inlineStr">
        <is>
          <t>Partiel</t>
        </is>
      </c>
      <c r="O149" s="8" t="inlineStr">
        <is>
          <t>Non — contenu ultérieur</t>
        </is>
      </c>
      <c r="P149" s="8" t="inlineStr">
        <is>
          <t>À intégrer après validation du prototype</t>
        </is>
      </c>
      <c r="Q149" t="inlineStr">
        <is>
          <t>AMC 34 / Renault YR : véhicule de catégorie « Chars de cavalerie et prototypes », d'origine France. Motorisation recensée : 4 cylindres en ligne Renault (à confirmer). Variante historique à vérifier avant validation définitive.</t>
        </is>
      </c>
    </row>
    <row r="150" ht="42" customHeight="1">
      <c r="A150" s="8" t="inlineStr">
        <is>
          <t>Chars de cavalerie et prototypes</t>
        </is>
      </c>
      <c r="B150" s="8" t="inlineStr">
        <is>
          <t>AMC 35 / ACG-1</t>
        </is>
      </c>
      <c r="C150" s="8" t="inlineStr">
        <is>
          <t>France</t>
        </is>
      </c>
      <c r="D150" s="8" t="inlineStr">
        <is>
          <t>Chars de cavalerie et prototypes</t>
        </is>
      </c>
      <c r="E150" s="8" t="n"/>
      <c r="F150" s="8" t="inlineStr">
        <is>
          <t>4 cylindres en ligne Renault (à confirmer)</t>
        </is>
      </c>
      <c r="G150" s="8" t="inlineStr">
        <is>
          <t>À normaliser après vérification</t>
        </is>
      </c>
      <c r="H150" s="8" t="inlineStr">
        <is>
          <t>À définir séparément des compatibilités historiques</t>
        </is>
      </c>
      <c r="I150" s="8" t="inlineStr">
        <is>
          <t>À vérifier</t>
        </is>
      </c>
      <c r="J150" s="8" t="inlineStr">
        <is>
          <t>Char de cavalerie avec variantes nationales.</t>
        </is>
      </c>
      <c r="K150" s="8" t="inlineStr">
        <is>
          <t>https://museedesblindes.fr/le-musee/nos-vehicules/</t>
        </is>
      </c>
      <c r="L150" s="8" t="inlineStr">
        <is>
          <t>Canon de 25 mm ou 47 mm selon version; mitrailleuse 7,5 mm</t>
        </is>
      </c>
      <c r="M150" s="8" t="inlineStr">
        <is>
          <t>Canon, mitrailleuse, affûts; calibre à confirmer par variante</t>
        </is>
      </c>
      <c r="N150" s="8" t="inlineStr">
        <is>
          <t>Partiel</t>
        </is>
      </c>
      <c r="O150" s="8" t="inlineStr">
        <is>
          <t>Non — contenu ultérieur</t>
        </is>
      </c>
      <c r="P150" s="8" t="inlineStr">
        <is>
          <t>À intégrer après validation du prototype</t>
        </is>
      </c>
      <c r="Q150" t="inlineStr">
        <is>
          <t>AMC 35 / ACG-1 : véhicule de catégorie « Chars de cavalerie et prototypes », d'origine France. Motorisation recensée : 4 cylindres en ligne Renault (à confirmer). Variante historique à vérifier avant validation définitive.</t>
        </is>
      </c>
    </row>
    <row r="151" ht="42" customHeight="1">
      <c r="A151" s="8" t="inlineStr">
        <is>
          <t>Chars légers et chars anciens</t>
        </is>
      </c>
      <c r="B151" s="8" t="inlineStr">
        <is>
          <t>FCM 36</t>
        </is>
      </c>
      <c r="C151" s="8" t="inlineStr">
        <is>
          <t>France</t>
        </is>
      </c>
      <c r="D151" s="8" t="inlineStr">
        <is>
          <t>Chars légers et chars anciens</t>
        </is>
      </c>
      <c r="E151" s="8" t="n"/>
      <c r="F151" s="8" t="inlineStr">
        <is>
          <t>4 cylindres diesel Berliet</t>
        </is>
      </c>
      <c r="G151" s="8" t="inlineStr">
        <is>
          <t>À normaliser après vérification</t>
        </is>
      </c>
      <c r="H151" s="8" t="inlineStr">
        <is>
          <t>À définir séparément des compatibilités historiques</t>
        </is>
      </c>
      <c r="I151" s="8" t="inlineStr">
        <is>
          <t>À vérifier</t>
        </is>
      </c>
      <c r="J151" s="8" t="inlineStr">
        <is>
          <t>Intéressant pour différencier diesel et essence dans les chars français.</t>
        </is>
      </c>
      <c r="K151" s="8" t="inlineStr">
        <is>
          <t>https://museedesblindes.fr/1945-1962-fin-de-l-empire/</t>
        </is>
      </c>
      <c r="L151" s="8" t="inlineStr">
        <is>
          <t>Canon de 37 mm SA 18; mitrailleuse 7,5 mm</t>
        </is>
      </c>
      <c r="M151" s="8" t="inlineStr">
        <is>
          <t>Canon court et mitrailleuse récupérables séparément</t>
        </is>
      </c>
      <c r="N151" s="8" t="inlineStr">
        <is>
          <t>Partiel</t>
        </is>
      </c>
      <c r="O151" s="8" t="inlineStr">
        <is>
          <t>Non — contenu ultérieur</t>
        </is>
      </c>
      <c r="P151" s="8" t="inlineStr">
        <is>
          <t>À intégrer après validation du prototype</t>
        </is>
      </c>
      <c r="Q151" t="inlineStr">
        <is>
          <t>FCM 36 : véhicule de catégorie « Chars légers et chars anciens », d'origine France. Motorisation recensée : 4 cylindres diesel Berliet. Variante historique à vérifier avant validation définitive.</t>
        </is>
      </c>
    </row>
    <row r="152" ht="42" customHeight="1">
      <c r="A152" s="8" t="inlineStr">
        <is>
          <t>Chars légers et chars anciens</t>
        </is>
      </c>
      <c r="B152" s="8" t="inlineStr">
        <is>
          <t>Renault R40</t>
        </is>
      </c>
      <c r="C152" s="8" t="inlineStr">
        <is>
          <t>France</t>
        </is>
      </c>
      <c r="D152" s="8" t="inlineStr">
        <is>
          <t>Chars légers et chars anciens</t>
        </is>
      </c>
      <c r="E152" s="8" t="n"/>
      <c r="F152" s="8" t="inlineStr">
        <is>
          <t>4 cylindres en ligne Renault</t>
        </is>
      </c>
      <c r="G152" s="8" t="inlineStr">
        <is>
          <t>À normaliser après vérification</t>
        </is>
      </c>
      <c r="H152" s="8" t="inlineStr">
        <is>
          <t>À définir séparément des compatibilités historiques</t>
        </is>
      </c>
      <c r="I152" s="8" t="inlineStr">
        <is>
          <t>À vérifier</t>
        </is>
      </c>
      <c r="J152" s="8" t="inlineStr">
        <is>
          <t>Évolution du R35 avec suspension différente.</t>
        </is>
      </c>
      <c r="K152" s="8" t="inlineStr">
        <is>
          <t>https://museedesblindes.fr/les_chars/char-ft/</t>
        </is>
      </c>
      <c r="L152" s="8" t="inlineStr">
        <is>
          <t>Canon court de 37 mm (famille SA 18/SA 38 selon modèle) et/ou mitrailleuse 7,5 mm selon version</t>
        </is>
      </c>
      <c r="M152" s="8" t="inlineStr">
        <is>
          <t>Canon et mitrailleuses séparables; confirmer la variante exacte</t>
        </is>
      </c>
      <c r="N152" s="8" t="inlineStr">
        <is>
          <t>Partiel</t>
        </is>
      </c>
      <c r="O152" s="8" t="inlineStr">
        <is>
          <t>Non — contenu ultérieur</t>
        </is>
      </c>
      <c r="P152" s="8" t="inlineStr">
        <is>
          <t>À intégrer après validation du prototype</t>
        </is>
      </c>
      <c r="Q152" t="inlineStr">
        <is>
          <t>Renault R40 : véhicule de catégorie « Chars légers et chars anciens », d'origine France. Motorisation recensée : 4 cylindres en ligne Renault. Variante historique à vérifier avant validation définitive.</t>
        </is>
      </c>
    </row>
    <row r="153" ht="42" customHeight="1">
      <c r="A153" s="8" t="inlineStr">
        <is>
          <t>Chasseurs de chars et canons automoteurs</t>
        </is>
      </c>
      <c r="B153" s="8" t="inlineStr">
        <is>
          <t>Laffly W15 TCC</t>
        </is>
      </c>
      <c r="C153" s="8" t="inlineStr">
        <is>
          <t>France</t>
        </is>
      </c>
      <c r="D153" s="8" t="inlineStr">
        <is>
          <t>Chasseurs de chars et canons automoteurs</t>
        </is>
      </c>
      <c r="E153" s="8" t="n"/>
      <c r="F153" s="8" t="inlineStr">
        <is>
          <t>4 cylindres essence (famille à confirmer)</t>
        </is>
      </c>
      <c r="G153" s="8" t="inlineStr">
        <is>
          <t>À normaliser après vérification</t>
        </is>
      </c>
      <c r="H153" s="8" t="inlineStr">
        <is>
          <t>À définir séparément des compatibilités historiques</t>
        </is>
      </c>
      <c r="I153" s="8" t="inlineStr">
        <is>
          <t>À vérifier</t>
        </is>
      </c>
      <c r="J153" s="8" t="inlineStr">
        <is>
          <t>Chasseur de chars improvisé sur châssis à roues.</t>
        </is>
      </c>
      <c r="K153" s="8" t="inlineStr">
        <is>
          <t>https://tanks-encyclopedia.com/ww2/france/laffly-w15-tcc/</t>
        </is>
      </c>
      <c r="L153" s="8" t="inlineStr">
        <is>
          <t>Armement historique à déterminer précisément pour ce modèle/sa variante</t>
        </is>
      </c>
      <c r="M153" s="8" t="inlineStr">
        <is>
          <t>Ne récupérer une arme que si elle est présente, identifiable et démontable; vérifier le calibre</t>
        </is>
      </c>
      <c r="N153" s="8" t="inlineStr">
        <is>
          <t>À vérifier</t>
        </is>
      </c>
      <c r="O153" s="8" t="inlineStr">
        <is>
          <t>Non — contenu ultérieur</t>
        </is>
      </c>
      <c r="P153" s="8" t="inlineStr">
        <is>
          <t>À intégrer après validation du prototype</t>
        </is>
      </c>
      <c r="Q153" t="inlineStr">
        <is>
          <t>Laffly W15 TCC : véhicule de catégorie « Chasseurs de chars et canons automoteurs », d'origine France. Motorisation recensée : 4 cylindres essence (famille à confirmer). Variante historique à vérifier avant validation définitive.</t>
        </is>
      </c>
    </row>
    <row r="154" ht="42" customHeight="1">
      <c r="A154" s="8" t="inlineStr">
        <is>
          <t>Chasseurs de chars et canons automoteurs</t>
        </is>
      </c>
      <c r="B154" s="8" t="inlineStr">
        <is>
          <t>ARL V39</t>
        </is>
      </c>
      <c r="C154" s="8" t="inlineStr">
        <is>
          <t>France</t>
        </is>
      </c>
      <c r="D154" s="8" t="inlineStr">
        <is>
          <t>Chasseurs de chars et canons automoteurs</t>
        </is>
      </c>
      <c r="E154" s="8" t="n"/>
      <c r="F154" s="8" t="inlineStr">
        <is>
          <t>6 cylindres essence (à confirmer)</t>
        </is>
      </c>
      <c r="G154" s="8" t="inlineStr">
        <is>
          <t>À normaliser après vérification</t>
        </is>
      </c>
      <c r="H154" s="8" t="inlineStr">
        <is>
          <t>À définir séparément des compatibilités historiques</t>
        </is>
      </c>
      <c r="I154" s="8" t="inlineStr">
        <is>
          <t>À vérifier</t>
        </is>
      </c>
      <c r="J154" s="8" t="inlineStr">
        <is>
          <t>Prototype/production très limitée ; bon candidat rare.</t>
        </is>
      </c>
      <c r="K154" s="8" t="inlineStr">
        <is>
          <t>https://tanks-encyclopedia.com/ww2/france/arl-v39/</t>
        </is>
      </c>
      <c r="L154" s="8" t="inlineStr">
        <is>
          <t>Canon antichar de 47 mm SA 35</t>
        </is>
      </c>
      <c r="M154" s="8" t="inlineStr">
        <is>
          <t>Canon et affût si non détruits</t>
        </is>
      </c>
      <c r="N154" s="8" t="inlineStr">
        <is>
          <t>Partiel</t>
        </is>
      </c>
      <c r="O154" s="8" t="inlineStr">
        <is>
          <t>Non — contenu ultérieur</t>
        </is>
      </c>
      <c r="P154" s="8" t="inlineStr">
        <is>
          <t>À intégrer après validation du prototype</t>
        </is>
      </c>
      <c r="Q154" t="inlineStr">
        <is>
          <t>ARL V39 : véhicule de catégorie « Chasseurs de chars et canons automoteurs », d'origine France. Motorisation recensée : 6 cylindres essence (à confirmer). Variante historique à vérifier avant validation définitive.</t>
        </is>
      </c>
    </row>
    <row r="155" ht="42" customHeight="1">
      <c r="A155" s="8" t="inlineStr">
        <is>
          <t>Chars lourds et prototypes</t>
        </is>
      </c>
      <c r="B155" s="8" t="inlineStr">
        <is>
          <t>FCM F1</t>
        </is>
      </c>
      <c r="C155" s="8" t="inlineStr">
        <is>
          <t>France</t>
        </is>
      </c>
      <c r="D155" s="8" t="inlineStr">
        <is>
          <t>Chars lourds et prototypes</t>
        </is>
      </c>
      <c r="E155" s="8" t="n"/>
      <c r="F155" s="8" t="inlineStr">
        <is>
          <t>2 moteurs prévus, familles exactes à confirmer</t>
        </is>
      </c>
      <c r="G155" s="8" t="inlineStr">
        <is>
          <t>À normaliser après vérification</t>
        </is>
      </c>
      <c r="H155" s="8" t="inlineStr">
        <is>
          <t>À définir séparément des compatibilités historiques</t>
        </is>
      </c>
      <c r="I155" s="8" t="inlineStr">
        <is>
          <t>Prototype / moteur à vérifier</t>
        </is>
      </c>
      <c r="J155" s="8" t="inlineStr">
        <is>
          <t>Projet de char super-lourd jamais produit en série.</t>
        </is>
      </c>
      <c r="K155" s="8" t="inlineStr">
        <is>
          <t>https://tanks-encyclopedia.com/ww2/france/fcm-f1/</t>
        </is>
      </c>
      <c r="L155" s="8" t="inlineStr">
        <is>
          <t>Armement prévu sur projet; configuration non stabilisée</t>
        </is>
      </c>
      <c r="M155" s="8" t="inlineStr">
        <is>
          <t>Prototype/projet : ne pas traiter comme équipement standard</t>
        </is>
      </c>
      <c r="N155" s="8" t="inlineStr">
        <is>
          <t>Projet</t>
        </is>
      </c>
      <c r="O155" s="8" t="inlineStr">
        <is>
          <t>Non — contenu ultérieur</t>
        </is>
      </c>
      <c r="P155" s="8" t="inlineStr">
        <is>
          <t>À intégrer après validation du prototype</t>
        </is>
      </c>
      <c r="Q155" t="inlineStr">
        <is>
          <t>FCM F1 : véhicule de catégorie « Chars lourds et prototypes », d'origine France. Motorisation recensée : 2 moteurs prévus, familles exactes à confirmer. Variante historique à vérifier avant validation définitive.</t>
        </is>
      </c>
    </row>
    <row r="156" ht="42" customHeight="1">
      <c r="A156" s="8" t="inlineStr">
        <is>
          <t>Chars légers et chars anciens</t>
        </is>
      </c>
      <c r="B156" s="8" t="inlineStr">
        <is>
          <t>Panzer I Ausf. A</t>
        </is>
      </c>
      <c r="C156" s="8" t="inlineStr">
        <is>
          <t>Allemagne</t>
        </is>
      </c>
      <c r="D156" s="8" t="inlineStr">
        <is>
          <t>Chars légers et chars anciens</t>
        </is>
      </c>
      <c r="E156" s="8" t="n"/>
      <c r="F156" s="8" t="inlineStr">
        <is>
          <t>4 cylindres essence Krupp M305</t>
        </is>
      </c>
      <c r="G156" s="8" t="inlineStr">
        <is>
          <t>À normaliser après vérification</t>
        </is>
      </c>
      <c r="H156" s="8" t="inlineStr">
        <is>
          <t>À définir séparément des compatibilités historiques</t>
        </is>
      </c>
      <c r="I156" s="8" t="inlineStr">
        <is>
          <t>Documenté</t>
        </is>
      </c>
      <c r="J156" s="8" t="inlineStr">
        <is>
          <t>Petit moteur essence ; faible charge utile.</t>
        </is>
      </c>
      <c r="K156" s="8" t="inlineStr">
        <is>
          <t>https://tanks-encyclopedia.com/ww2/germany/panzer-i/</t>
        </is>
      </c>
      <c r="L156" s="8" t="inlineStr">
        <is>
          <t>2 mitrailleuses MG 13 de 7,92 mm</t>
        </is>
      </c>
      <c r="M156" s="8" t="inlineStr">
        <is>
          <t>1–2 mitrailleuses selon état; tourelle/affûts distincts</t>
        </is>
      </c>
      <c r="N156" s="8" t="inlineStr">
        <is>
          <t>Élevé</t>
        </is>
      </c>
      <c r="O156" s="8" t="inlineStr">
        <is>
          <t>Non — contenu ultérieur</t>
        </is>
      </c>
      <c r="P156" s="8" t="inlineStr">
        <is>
          <t>À intégrer après validation du prototype</t>
        </is>
      </c>
      <c r="Q156" t="inlineStr">
        <is>
          <t>Panzer I Ausf. A : véhicule de catégorie « Chars légers et chars anciens », d'origine Allemagne. Motorisation recensée : 4 cylindres essence Krupp M305. Fiche de catalogue à compléter avec le rôle tactique et les caractéristiques de jeu.</t>
        </is>
      </c>
    </row>
    <row r="157" ht="42" customHeight="1">
      <c r="A157" s="8" t="inlineStr">
        <is>
          <t>Chars légers et chars anciens</t>
        </is>
      </c>
      <c r="B157" s="8" t="inlineStr">
        <is>
          <t>Panzer I Ausf. B</t>
        </is>
      </c>
      <c r="C157" s="8" t="inlineStr">
        <is>
          <t>Allemagne</t>
        </is>
      </c>
      <c r="D157" s="8" t="inlineStr">
        <is>
          <t>Chars légers et chars anciens</t>
        </is>
      </c>
      <c r="E157" s="8" t="n"/>
      <c r="F157" s="8" t="inlineStr">
        <is>
          <t>6 cylindres essence Maybach NL38TR</t>
        </is>
      </c>
      <c r="G157" s="8" t="inlineStr">
        <is>
          <t>À normaliser après vérification</t>
        </is>
      </c>
      <c r="H157" s="8" t="inlineStr">
        <is>
          <t>À définir séparément des compatibilités historiques</t>
        </is>
      </c>
      <c r="I157" s="8" t="inlineStr">
        <is>
          <t>Documenté</t>
        </is>
      </c>
      <c r="J157" s="8" t="inlineStr">
        <is>
          <t>Moteur plus long que celui de l'Ausf. A ; famille distincte.</t>
        </is>
      </c>
      <c r="K157" s="8" t="inlineStr">
        <is>
          <t>https://tanks-encyclopedia.com/ww2/germany/panzer-i/</t>
        </is>
      </c>
      <c r="L157" s="8" t="inlineStr">
        <is>
          <t>2 mitrailleuses MG 13 de 7,92 mm</t>
        </is>
      </c>
      <c r="M157" s="8" t="inlineStr">
        <is>
          <t>1–2 mitrailleuses selon état; tourelle/affûts distincts</t>
        </is>
      </c>
      <c r="N157" s="8" t="inlineStr">
        <is>
          <t>Élevé</t>
        </is>
      </c>
      <c r="O157" s="8" t="inlineStr">
        <is>
          <t>Non — contenu ultérieur</t>
        </is>
      </c>
      <c r="P157" s="8" t="inlineStr">
        <is>
          <t>À intégrer après validation du prototype</t>
        </is>
      </c>
      <c r="Q157" t="inlineStr">
        <is>
          <t>Panzer I Ausf. B : véhicule de catégorie « Chars légers et chars anciens », d'origine Allemagne. Motorisation recensée : 6 cylindres essence Maybach NL38TR. Fiche de catalogue à compléter avec le rôle tactique et les caractéristiques de jeu.</t>
        </is>
      </c>
    </row>
    <row r="158" ht="42" customHeight="1">
      <c r="A158" s="8" t="inlineStr">
        <is>
          <t>Chars légers et chars anciens</t>
        </is>
      </c>
      <c r="B158" s="8" t="inlineStr">
        <is>
          <t>Panzer II Ausf. A–C</t>
        </is>
      </c>
      <c r="C158" s="8" t="inlineStr">
        <is>
          <t>Allemagne</t>
        </is>
      </c>
      <c r="D158" s="8" t="inlineStr">
        <is>
          <t>Chars légers et chars anciens</t>
        </is>
      </c>
      <c r="E158" s="8" t="n"/>
      <c r="F158" s="8" t="inlineStr">
        <is>
          <t>6 cylindres essence Maybach HL57 TR</t>
        </is>
      </c>
      <c r="G158" s="8" t="inlineStr">
        <is>
          <t>À normaliser après vérification</t>
        </is>
      </c>
      <c r="H158" s="8" t="inlineStr">
        <is>
          <t>À définir séparément des compatibilités historiques</t>
        </is>
      </c>
      <c r="I158" s="8" t="inlineStr">
        <is>
          <t>Documenté</t>
        </is>
      </c>
      <c r="J158" s="8" t="inlineStr">
        <is>
          <t>Famille moteur allemande à refroidissement liquide.</t>
        </is>
      </c>
      <c r="K158" s="8" t="inlineStr">
        <is>
          <t>https://tanks-encyclopedia.com/ww2/germany/panzer-ii/</t>
        </is>
      </c>
      <c r="L158" s="8" t="inlineStr">
        <is>
          <t>2 mitrailleuses MG 13 de 7,92 mm</t>
        </is>
      </c>
      <c r="M158" s="8" t="inlineStr">
        <is>
          <t>1–2 mitrailleuses selon état; tourelle/affûts distincts</t>
        </is>
      </c>
      <c r="N158" s="8" t="inlineStr">
        <is>
          <t>Élevé</t>
        </is>
      </c>
      <c r="O158" s="8" t="inlineStr">
        <is>
          <t>Non — contenu ultérieur</t>
        </is>
      </c>
      <c r="P158" s="8" t="inlineStr">
        <is>
          <t>À intégrer après validation du prototype</t>
        </is>
      </c>
      <c r="Q158" t="inlineStr">
        <is>
          <t>Panzer II Ausf. A–C : véhicule de catégorie « Chars légers et chars anciens », d'origine Allemagne. Motorisation recensée : 6 cylindres essence Maybach HL57 TR. Fiche de catalogue à compléter avec le rôle tactique et les caractéristiques de jeu.</t>
        </is>
      </c>
    </row>
    <row r="159" ht="42" customHeight="1">
      <c r="A159" s="8" t="inlineStr">
        <is>
          <t>Chars légers et chars anciens</t>
        </is>
      </c>
      <c r="B159" s="8" t="inlineStr">
        <is>
          <t>Panzer II Ausf. F</t>
        </is>
      </c>
      <c r="C159" s="8" t="inlineStr">
        <is>
          <t>Allemagne</t>
        </is>
      </c>
      <c r="D159" s="8" t="inlineStr">
        <is>
          <t>Chars légers et chars anciens</t>
        </is>
      </c>
      <c r="E159" s="8" t="n"/>
      <c r="F159" s="8" t="inlineStr">
        <is>
          <t>6 cylindres essence Maybach HL62 TRM</t>
        </is>
      </c>
      <c r="G159" s="8" t="inlineStr">
        <is>
          <t>À normaliser après vérification</t>
        </is>
      </c>
      <c r="H159" s="8" t="inlineStr">
        <is>
          <t>À définir séparément des compatibilités historiques</t>
        </is>
      </c>
      <c r="I159" s="8" t="inlineStr">
        <is>
          <t>Documenté</t>
        </is>
      </c>
      <c r="J159" s="8" t="inlineStr">
        <is>
          <t>Variante tardive avec moteur différent des premiers Panzer II.</t>
        </is>
      </c>
      <c r="K159" s="8" t="inlineStr">
        <is>
          <t>https://tanks-encyclopedia.com/ww2/germany/panzer-ii/</t>
        </is>
      </c>
      <c r="L159" s="8" t="inlineStr">
        <is>
          <t>2 mitrailleuses MG 13 de 7,92 mm</t>
        </is>
      </c>
      <c r="M159" s="8" t="inlineStr">
        <is>
          <t>1–2 mitrailleuses selon état; tourelle/affûts distincts</t>
        </is>
      </c>
      <c r="N159" s="8" t="inlineStr">
        <is>
          <t>Élevé</t>
        </is>
      </c>
      <c r="O159" s="8" t="inlineStr">
        <is>
          <t>Non — contenu ultérieur</t>
        </is>
      </c>
      <c r="P159" s="8" t="inlineStr">
        <is>
          <t>À intégrer après validation du prototype</t>
        </is>
      </c>
      <c r="Q159" t="inlineStr">
        <is>
          <t>Panzer II Ausf. F : véhicule de catégorie « Chars légers et chars anciens », d'origine Allemagne. Motorisation recensée : 6 cylindres essence Maybach HL62 TRM. Fiche de catalogue à compléter avec le rôle tactique et les caractéristiques de jeu.</t>
        </is>
      </c>
    </row>
    <row r="160" ht="42" customHeight="1">
      <c r="A160" s="8" t="inlineStr">
        <is>
          <t>Reconnaissance et chars légers</t>
        </is>
      </c>
      <c r="B160" s="8" t="inlineStr">
        <is>
          <t>Panzer II L Luchs</t>
        </is>
      </c>
      <c r="C160" s="8" t="inlineStr">
        <is>
          <t>Allemagne</t>
        </is>
      </c>
      <c r="D160" s="8" t="inlineStr">
        <is>
          <t>Reconnaissance et chars légers</t>
        </is>
      </c>
      <c r="E160" s="8" t="n"/>
      <c r="F160" s="8" t="inlineStr">
        <is>
          <t>6 cylindres essence Maybach HL66P</t>
        </is>
      </c>
      <c r="G160" s="8" t="inlineStr">
        <is>
          <t>À normaliser après vérification</t>
        </is>
      </c>
      <c r="H160" s="8" t="inlineStr">
        <is>
          <t>À définir séparément des compatibilités historiques</t>
        </is>
      </c>
      <c r="I160" s="8" t="inlineStr">
        <is>
          <t>Documenté</t>
        </is>
      </c>
      <c r="J160" s="8" t="inlineStr">
        <is>
          <t>Char de reconnaissance rapide.</t>
        </is>
      </c>
      <c r="K160" s="8" t="inlineStr">
        <is>
          <t>https://tanks-encyclopedia.com/ww2/germany/panzer-ii-luchs/</t>
        </is>
      </c>
      <c r="L160" s="8" t="inlineStr">
        <is>
          <t>2 mitrailleuses MG 13 de 7,92 mm</t>
        </is>
      </c>
      <c r="M160" s="8" t="inlineStr">
        <is>
          <t>1–2 mitrailleuses selon état; tourelle/affûts distincts</t>
        </is>
      </c>
      <c r="N160" s="8" t="inlineStr">
        <is>
          <t>Élevé</t>
        </is>
      </c>
      <c r="O160" s="8" t="inlineStr">
        <is>
          <t>Non — contenu ultérieur</t>
        </is>
      </c>
      <c r="P160" s="8" t="inlineStr">
        <is>
          <t>À intégrer après validation du prototype</t>
        </is>
      </c>
      <c r="Q160" t="inlineStr">
        <is>
          <t>Panzer II L Luchs : véhicule de catégorie « Reconnaissance et chars légers », d'origine Allemagne. Motorisation recensée : 6 cylindres essence Maybach HL66P. Fiche de catalogue à compléter avec le rôle tactique et les caractéristiques de jeu.</t>
        </is>
      </c>
    </row>
    <row r="161" ht="42" customHeight="1">
      <c r="A161" s="8" t="inlineStr">
        <is>
          <t>Chars lourds et prototypes</t>
        </is>
      </c>
      <c r="B161" s="8" t="inlineStr">
        <is>
          <t>Neubaufahrzeug</t>
        </is>
      </c>
      <c r="C161" s="8" t="inlineStr">
        <is>
          <t>Allemagne</t>
        </is>
      </c>
      <c r="D161" s="8" t="inlineStr">
        <is>
          <t>Chars lourds et prototypes</t>
        </is>
      </c>
      <c r="E161" s="8" t="n"/>
      <c r="F161" s="8" t="inlineStr">
        <is>
          <t>2 moteurs 6 cylindres Maybach (configuration exacte à vérifier)</t>
        </is>
      </c>
      <c r="G161" s="8" t="inlineStr">
        <is>
          <t>À normaliser après vérification</t>
        </is>
      </c>
      <c r="H161" s="8" t="inlineStr">
        <is>
          <t>À définir séparément des compatibilités historiques</t>
        </is>
      </c>
      <c r="I161" s="8" t="inlineStr">
        <is>
          <t>Partiel</t>
        </is>
      </c>
      <c r="J161" s="8" t="inlineStr">
        <is>
          <t>Prototype lourd multimoteur ; prototype rare.</t>
        </is>
      </c>
      <c r="K161" s="8" t="inlineStr">
        <is>
          <t>https://tanks-encyclopedia.com/ww2/germany/neubaufahrzeug/</t>
        </is>
      </c>
      <c r="L161" s="8" t="inlineStr">
        <is>
          <t>Armement historique à déterminer précisément pour ce modèle/sa variante</t>
        </is>
      </c>
      <c r="M161" s="8" t="inlineStr">
        <is>
          <t>Ne récupérer une arme que si elle est présente, identifiable et démontable; vérifier le calibre</t>
        </is>
      </c>
      <c r="N161" s="8" t="inlineStr">
        <is>
          <t>À vérifier</t>
        </is>
      </c>
      <c r="O161" s="8" t="inlineStr">
        <is>
          <t>Non — contenu ultérieur</t>
        </is>
      </c>
      <c r="P161" s="8" t="inlineStr">
        <is>
          <t>À intégrer après validation du prototype</t>
        </is>
      </c>
      <c r="Q161" t="inlineStr">
        <is>
          <t>Neubaufahrzeug : véhicule de catégorie « Chars lourds et prototypes », d'origine Allemagne. Motorisation recensée : 2 moteurs 6 cylindres Maybach (configuration exacte à vérifier). Variante historique à vérifier avant validation définitive.</t>
        </is>
      </c>
    </row>
    <row r="162" ht="42" customHeight="1">
      <c r="A162" s="8" t="inlineStr">
        <is>
          <t>Chars moyens</t>
        </is>
      </c>
      <c r="B162" s="8" t="inlineStr">
        <is>
          <t>Panzer III Ausf. E–G</t>
        </is>
      </c>
      <c r="C162" s="8" t="inlineStr">
        <is>
          <t>Allemagne</t>
        </is>
      </c>
      <c r="D162" s="8" t="inlineStr">
        <is>
          <t>Chars moyens</t>
        </is>
      </c>
      <c r="E162" s="8" t="n"/>
      <c r="F162" s="8" t="inlineStr">
        <is>
          <t>12 cylindres en V essence Maybach HL120 (selon variantes tardives; early versions à vérifier)</t>
        </is>
      </c>
      <c r="G162" s="8" t="inlineStr">
        <is>
          <t>À normaliser après vérification</t>
        </is>
      </c>
      <c r="H162" s="8" t="inlineStr">
        <is>
          <t>À définir séparément des compatibilités historiques</t>
        </is>
      </c>
      <c r="I162" s="8" t="inlineStr">
        <is>
          <t>Partiel</t>
        </is>
      </c>
      <c r="J162" s="8" t="inlineStr">
        <is>
          <t>Séparer les premières motorisations des versions les plus répandues.</t>
        </is>
      </c>
      <c r="K162" s="8" t="inlineStr">
        <is>
          <t>https://tanks-encyclopedia.com/ww2/germany/panzer-iii/</t>
        </is>
      </c>
      <c r="L162" s="8" t="inlineStr">
        <is>
          <t>2 mitrailleuses MG 13 de 7,92 mm</t>
        </is>
      </c>
      <c r="M162" s="8" t="inlineStr">
        <is>
          <t>1–2 mitrailleuses selon état; tourelle/affûts distincts</t>
        </is>
      </c>
      <c r="N162" s="8" t="inlineStr">
        <is>
          <t>Élevé</t>
        </is>
      </c>
      <c r="O162" s="8" t="inlineStr">
        <is>
          <t>Non — contenu ultérieur</t>
        </is>
      </c>
      <c r="P162" s="8" t="inlineStr">
        <is>
          <t>À intégrer après validation du prototype</t>
        </is>
      </c>
      <c r="Q162" t="inlineStr">
        <is>
          <t>Panzer III Ausf. E–G : véhicule de catégorie « Chars moyens », d'origine Allemagne. Motorisation recensée : 12 cylindres en V essence Maybach HL120 (selon variantes tardives. Variante historique à vérifier avant validation définitive.</t>
        </is>
      </c>
    </row>
    <row r="163" ht="42" customHeight="1">
      <c r="A163" s="8" t="inlineStr">
        <is>
          <t>Chars moyens</t>
        </is>
      </c>
      <c r="B163" s="8" t="inlineStr">
        <is>
          <t>Panzer III Ausf. J–N</t>
        </is>
      </c>
      <c r="C163" s="8" t="inlineStr">
        <is>
          <t>Allemagne</t>
        </is>
      </c>
      <c r="D163" s="8" t="inlineStr">
        <is>
          <t>Chars moyens</t>
        </is>
      </c>
      <c r="E163" s="8" t="n"/>
      <c r="F163" s="8" t="inlineStr">
        <is>
          <t>V12 essence Maybach HL120 TRM</t>
        </is>
      </c>
      <c r="G163" s="8" t="inlineStr">
        <is>
          <t>À normaliser après vérification</t>
        </is>
      </c>
      <c r="H163" s="8" t="inlineStr">
        <is>
          <t>À définir séparément des compatibilités historiques</t>
        </is>
      </c>
      <c r="I163" s="8" t="inlineStr">
        <is>
          <t>Documenté</t>
        </is>
      </c>
      <c r="J163" s="8" t="inlineStr">
        <is>
          <t>Famille V12 allemande, potentiellement réutilisable en gameplay avec adaptations lourdes.</t>
        </is>
      </c>
      <c r="K163" s="8" t="inlineStr">
        <is>
          <t>https://tanks-encyclopedia.com/ww2/germany/panzer-iii/</t>
        </is>
      </c>
      <c r="L163" s="8" t="inlineStr">
        <is>
          <t>2 mitrailleuses MG 13 de 7,92 mm</t>
        </is>
      </c>
      <c r="M163" s="8" t="inlineStr">
        <is>
          <t>1–2 mitrailleuses selon état; tourelle/affûts distincts</t>
        </is>
      </c>
      <c r="N163" s="8" t="inlineStr">
        <is>
          <t>Élevé</t>
        </is>
      </c>
      <c r="O163" s="8" t="inlineStr">
        <is>
          <t>Non — contenu ultérieur</t>
        </is>
      </c>
      <c r="P163" s="8" t="inlineStr">
        <is>
          <t>À intégrer après validation du prototype</t>
        </is>
      </c>
      <c r="Q163" t="inlineStr">
        <is>
          <t>Panzer III Ausf. J–N : véhicule de catégorie « Chars moyens », d'origine Allemagne. Motorisation recensée : V12 essence Maybach HL120 TRM. Fiche de catalogue à compléter avec le rôle tactique et les caractéristiques de jeu.</t>
        </is>
      </c>
    </row>
    <row r="164" ht="42" customHeight="1">
      <c r="A164" s="8" t="inlineStr">
        <is>
          <t>Chars moyens</t>
        </is>
      </c>
      <c r="B164" s="8" t="inlineStr">
        <is>
          <t>Panzer IV Ausf. A–F1</t>
        </is>
      </c>
      <c r="C164" s="8" t="inlineStr">
        <is>
          <t>Allemagne</t>
        </is>
      </c>
      <c r="D164" s="8" t="inlineStr">
        <is>
          <t>Chars moyens</t>
        </is>
      </c>
      <c r="E164" s="8" t="n"/>
      <c r="F164" s="8" t="inlineStr">
        <is>
          <t>V12 essence Maybach HL108 TR</t>
        </is>
      </c>
      <c r="G164" s="8" t="inlineStr">
        <is>
          <t>À normaliser après vérification</t>
        </is>
      </c>
      <c r="H164" s="8" t="inlineStr">
        <is>
          <t>À définir séparément des compatibilités historiques</t>
        </is>
      </c>
      <c r="I164" s="8" t="inlineStr">
        <is>
          <t>À vérifier</t>
        </is>
      </c>
      <c r="J164" s="8" t="inlineStr">
        <is>
          <t>Moteurs des premières séries à distinguer des versions tardives.</t>
        </is>
      </c>
      <c r="K164" s="8" t="inlineStr">
        <is>
          <t>https://tanks-encyclopedia.com/ww2/germany/panzer-iv/</t>
        </is>
      </c>
      <c r="L164" s="8" t="inlineStr">
        <is>
          <t>2 mitrailleuses MG 13 de 7,92 mm</t>
        </is>
      </c>
      <c r="M164" s="8" t="inlineStr">
        <is>
          <t>1–2 mitrailleuses selon état; tourelle/affûts distincts</t>
        </is>
      </c>
      <c r="N164" s="8" t="inlineStr">
        <is>
          <t>Élevé</t>
        </is>
      </c>
      <c r="O164" s="8" t="inlineStr">
        <is>
          <t>Non — contenu ultérieur</t>
        </is>
      </c>
      <c r="P164" s="8" t="inlineStr">
        <is>
          <t>À intégrer après validation du prototype</t>
        </is>
      </c>
      <c r="Q164" t="inlineStr">
        <is>
          <t>Panzer IV Ausf. A–F1 : véhicule de catégorie « Chars moyens », d'origine Allemagne. Motorisation recensée : V12 essence Maybach HL108 TR. Variante historique à vérifier avant validation définitive.</t>
        </is>
      </c>
    </row>
    <row r="165" ht="42" customHeight="1">
      <c r="A165" s="8" t="inlineStr">
        <is>
          <t>Chars moyens</t>
        </is>
      </c>
      <c r="B165" s="8" t="inlineStr">
        <is>
          <t>Panzer IV Ausf. F2–J</t>
        </is>
      </c>
      <c r="C165" s="8" t="inlineStr">
        <is>
          <t>Allemagne</t>
        </is>
      </c>
      <c r="D165" s="8" t="inlineStr">
        <is>
          <t>Chars moyens</t>
        </is>
      </c>
      <c r="E165" s="8" t="n"/>
      <c r="F165" s="8" t="inlineStr">
        <is>
          <t>V12 essence Maybach HL120 TRM</t>
        </is>
      </c>
      <c r="G165" s="8" t="inlineStr">
        <is>
          <t>À normaliser après vérification</t>
        </is>
      </c>
      <c r="H165" s="8" t="inlineStr">
        <is>
          <t>À définir séparément des compatibilités historiques</t>
        </is>
      </c>
      <c r="I165" s="8" t="inlineStr">
        <is>
          <t>Documenté</t>
        </is>
      </c>
      <c r="J165" s="8" t="inlineStr">
        <is>
          <t>Famille moteur commune avec des Panzer III tardifs, mais implantation et accessoires à vérifier.</t>
        </is>
      </c>
      <c r="K165" s="8" t="inlineStr">
        <is>
          <t>https://tanks-encyclopedia.com/ww2/germany/panzer-iv/</t>
        </is>
      </c>
      <c r="L165" s="8" t="inlineStr">
        <is>
          <t>2 mitrailleuses MG 13 de 7,92 mm</t>
        </is>
      </c>
      <c r="M165" s="8" t="inlineStr">
        <is>
          <t>1–2 mitrailleuses selon état; tourelle/affûts distincts</t>
        </is>
      </c>
      <c r="N165" s="8" t="inlineStr">
        <is>
          <t>Élevé</t>
        </is>
      </c>
      <c r="O165" s="8" t="inlineStr">
        <is>
          <t>Non — contenu ultérieur</t>
        </is>
      </c>
      <c r="P165" s="8" t="inlineStr">
        <is>
          <t>À intégrer après validation du prototype</t>
        </is>
      </c>
      <c r="Q165" t="inlineStr">
        <is>
          <t>Panzer IV Ausf. F2–J : véhicule de catégorie « Chars moyens », d'origine Allemagne. Motorisation recensée : V12 essence Maybach HL120 TRM. Fiche de catalogue à compléter avec le rôle tactique et les caractéristiques de jeu.</t>
        </is>
      </c>
    </row>
    <row r="166" ht="42" customHeight="1">
      <c r="A166" s="8" t="inlineStr">
        <is>
          <t>Chars moyens</t>
        </is>
      </c>
      <c r="B166" s="8" t="inlineStr">
        <is>
          <t>Panther Ausf. D/A/G</t>
        </is>
      </c>
      <c r="C166" s="8" t="inlineStr">
        <is>
          <t>Allemagne</t>
        </is>
      </c>
      <c r="D166" s="8" t="inlineStr">
        <is>
          <t>Chars moyens</t>
        </is>
      </c>
      <c r="E166" s="8" t="n"/>
      <c r="F166" s="8" t="inlineStr">
        <is>
          <t>V12 essence Maybach HL230</t>
        </is>
      </c>
      <c r="G166" s="8" t="inlineStr">
        <is>
          <t>À normaliser après vérification</t>
        </is>
      </c>
      <c r="H166" s="8" t="inlineStr">
        <is>
          <t>À définir séparément des compatibilités historiques</t>
        </is>
      </c>
      <c r="I166" s="8" t="inlineStr">
        <is>
          <t>Documenté</t>
        </is>
      </c>
      <c r="J166" s="8" t="inlineStr">
        <is>
          <t>Moteur puissant, consommation et refroidissement exigeants.</t>
        </is>
      </c>
      <c r="K166" s="8" t="inlineStr">
        <is>
          <t>https://tanks-encyclopedia.com/ww2/germany/panther/</t>
        </is>
      </c>
      <c r="L166" s="8" t="inlineStr">
        <is>
          <t>Canon de 75 mm KwK 42 L/70; 2–3 MG 34/42 selon version</t>
        </is>
      </c>
      <c r="M166" s="8" t="inlineStr">
        <is>
          <t>Canon principal, MG coaxiale et/ou de caisse selon variante</t>
        </is>
      </c>
      <c r="N166" s="8" t="inlineStr">
        <is>
          <t>Élevé</t>
        </is>
      </c>
      <c r="O166" s="8" t="inlineStr">
        <is>
          <t>Non — contenu ultérieur</t>
        </is>
      </c>
      <c r="P166" s="8" t="inlineStr">
        <is>
          <t>À intégrer après validation du prototype</t>
        </is>
      </c>
      <c r="Q166" t="inlineStr">
        <is>
          <t>Panther Ausf. D/A/G : véhicule de catégorie « Chars moyens », d'origine Allemagne. Motorisation recensée : V12 essence Maybach HL230. Fiche de catalogue à compléter avec le rôle tactique et les caractéristiques de jeu.</t>
        </is>
      </c>
    </row>
    <row r="167" ht="42" customHeight="1">
      <c r="A167" s="8" t="inlineStr">
        <is>
          <t>Chars lourds et prototypes</t>
        </is>
      </c>
      <c r="B167" s="8" t="inlineStr">
        <is>
          <t>Maus</t>
        </is>
      </c>
      <c r="C167" s="8" t="inlineStr">
        <is>
          <t>Allemagne</t>
        </is>
      </c>
      <c r="D167" s="8" t="inlineStr">
        <is>
          <t>Chars lourds et prototypes</t>
        </is>
      </c>
      <c r="E167" s="8" t="n"/>
      <c r="F167" s="8" t="inlineStr">
        <is>
          <t>V12 essence Daimler-Benz MB 509 prévu; prototypes et motorisations spécifiques</t>
        </is>
      </c>
      <c r="G167" s="8" t="inlineStr">
        <is>
          <t>À normaliser après vérification</t>
        </is>
      </c>
      <c r="H167" s="8" t="inlineStr">
        <is>
          <t>À définir séparément des compatibilités historiques</t>
        </is>
      </c>
      <c r="I167" s="8" t="inlineStr">
        <is>
          <t>Prototype / à vérifier</t>
        </is>
      </c>
      <c r="J167" s="8" t="inlineStr">
        <is>
          <t>Projet super-lourd ; ne pas fusionner avec le HL230.</t>
        </is>
      </c>
      <c r="K167" s="8" t="inlineStr">
        <is>
          <t>https://tanks-encyclopedia.com/ww2/germany/panzer-viii-maus/</t>
        </is>
      </c>
      <c r="L167" s="8" t="inlineStr">
        <is>
          <t>Canon de 128 mm KwK 44 L/55 + canon de 75 mm KwK 44; MG 34 prévue</t>
        </is>
      </c>
      <c r="M167" s="8" t="inlineStr">
        <is>
          <t>Prototype; canons à traiter comme équipements rares et lourds</t>
        </is>
      </c>
      <c r="N167" s="8" t="inlineStr">
        <is>
          <t>Partiel</t>
        </is>
      </c>
      <c r="O167" s="8" t="inlineStr">
        <is>
          <t>Non — contenu ultérieur</t>
        </is>
      </c>
      <c r="P167" s="8" t="inlineStr">
        <is>
          <t>À intégrer après validation du prototype</t>
        </is>
      </c>
      <c r="Q167" t="inlineStr">
        <is>
          <t>Maus : véhicule de catégorie « Chars lourds et prototypes », d'origine Allemagne. Motorisation recensée : V12 essence Daimler-Benz MB 509 prévu. Variante historique à vérifier avant validation définitive.</t>
        </is>
      </c>
    </row>
    <row r="168" ht="42" customHeight="1">
      <c r="A168" s="8" t="inlineStr">
        <is>
          <t>Chars lourds et prototypes</t>
        </is>
      </c>
      <c r="B168" s="8" t="inlineStr">
        <is>
          <t>E-100</t>
        </is>
      </c>
      <c r="C168" s="8" t="inlineStr">
        <is>
          <t>Allemagne</t>
        </is>
      </c>
      <c r="D168" s="8" t="inlineStr">
        <is>
          <t>Chars lourds et prototypes</t>
        </is>
      </c>
      <c r="E168" s="8" t="n"/>
      <c r="F168" s="8" t="inlineStr">
        <is>
          <t>Motorisation prévue V12 Maybach HL230/HL234 selon projet</t>
        </is>
      </c>
      <c r="G168" s="8" t="inlineStr">
        <is>
          <t>À normaliser après vérification</t>
        </is>
      </c>
      <c r="H168" s="8" t="inlineStr">
        <is>
          <t>À définir séparément des compatibilités historiques</t>
        </is>
      </c>
      <c r="I168" s="8" t="inlineStr">
        <is>
          <t>Prototype / projet</t>
        </is>
      </c>
      <c r="J168" s="8" t="inlineStr">
        <is>
          <t>Projet inachevé ; distinguer configuration prévue et véhicule opérationnel.</t>
        </is>
      </c>
      <c r="K168" s="8" t="inlineStr">
        <is>
          <t>https://tanks-encyclopedia.com/ww2/germany/e-100/</t>
        </is>
      </c>
      <c r="L168" s="8" t="inlineStr">
        <is>
          <t>Armement prévu : 128 mm ou projet de 150 mm selon configuration</t>
        </is>
      </c>
      <c r="M168" s="8" t="inlineStr">
        <is>
          <t>Projet non achevé; armement non standardisé</t>
        </is>
      </c>
      <c r="N168" s="8" t="inlineStr">
        <is>
          <t>Projet</t>
        </is>
      </c>
      <c r="O168" s="8" t="inlineStr">
        <is>
          <t>Non — contenu ultérieur</t>
        </is>
      </c>
      <c r="P168" s="8" t="inlineStr">
        <is>
          <t>À intégrer après validation du prototype</t>
        </is>
      </c>
      <c r="Q168" t="inlineStr">
        <is>
          <t>E-100 : véhicule de catégorie « Chars lourds et prototypes », d'origine Allemagne. Motorisation recensée : Motorisation prévue V12 Maybach HL230/HL234 selon projet. Variante historique à vérifier avant validation définitive.</t>
        </is>
      </c>
    </row>
    <row r="169" ht="42" customHeight="1">
      <c r="A169" s="8" t="inlineStr">
        <is>
          <t>Chasseurs de chars et canons automoteurs</t>
        </is>
      </c>
      <c r="B169" s="8" t="inlineStr">
        <is>
          <t>Jagdpanzer IV</t>
        </is>
      </c>
      <c r="C169" s="8" t="inlineStr">
        <is>
          <t>Allemagne</t>
        </is>
      </c>
      <c r="D169" s="8" t="inlineStr">
        <is>
          <t>Chasseurs de chars et canons automoteurs</t>
        </is>
      </c>
      <c r="E169" s="8" t="n"/>
      <c r="F169" s="8" t="inlineStr">
        <is>
          <t>V12 essence Maybach HL120 TRM</t>
        </is>
      </c>
      <c r="G169" s="8" t="inlineStr">
        <is>
          <t>À normaliser après vérification</t>
        </is>
      </c>
      <c r="H169" s="8" t="inlineStr">
        <is>
          <t>À définir séparément des compatibilités historiques</t>
        </is>
      </c>
      <c r="I169" s="8" t="inlineStr">
        <is>
          <t>Documenté</t>
        </is>
      </c>
      <c r="J169" s="8" t="inlineStr">
        <is>
          <t>Dérivé du châssis Panzer IV.</t>
        </is>
      </c>
      <c r="K169" s="8" t="inlineStr">
        <is>
          <t>https://tanks-encyclopedia.com/ww2/germany/jagdpanzer-iv/</t>
        </is>
      </c>
      <c r="L169" s="8" t="inlineStr">
        <is>
          <t>2 mitrailleuses MG 13 de 7,92 mm</t>
        </is>
      </c>
      <c r="M169" s="8" t="inlineStr">
        <is>
          <t>1–2 mitrailleuses selon état; tourelle/affûts distincts</t>
        </is>
      </c>
      <c r="N169" s="8" t="inlineStr">
        <is>
          <t>Élevé</t>
        </is>
      </c>
      <c r="O169" s="8" t="inlineStr">
        <is>
          <t>Non — contenu ultérieur</t>
        </is>
      </c>
      <c r="P169" s="8" t="inlineStr">
        <is>
          <t>À intégrer après validation du prototype</t>
        </is>
      </c>
      <c r="Q169" t="inlineStr">
        <is>
          <t>Jagdpanzer IV : véhicule de catégorie « Chasseurs de chars et canons automoteurs », d'origine Allemagne. Motorisation recensée : V12 essence Maybach HL120 TRM. Fiche de catalogue à compléter avec le rôle tactique et les caractéristiques de jeu.</t>
        </is>
      </c>
    </row>
    <row r="170" ht="42" customHeight="1">
      <c r="A170" s="8" t="inlineStr">
        <is>
          <t>Chasseurs de chars et canons automoteurs</t>
        </is>
      </c>
      <c r="B170" s="8" t="inlineStr">
        <is>
          <t>Elefant / Ferdinand</t>
        </is>
      </c>
      <c r="C170" s="8" t="inlineStr">
        <is>
          <t>Allemagne</t>
        </is>
      </c>
      <c r="D170" s="8" t="inlineStr">
        <is>
          <t>Chasseurs de chars et canons automoteurs</t>
        </is>
      </c>
      <c r="E170" s="8" t="n"/>
      <c r="F170" s="8" t="inlineStr">
        <is>
          <t>2 moteurs V12 essence Maybach HL120 entraînant une transmission électrique</t>
        </is>
      </c>
      <c r="G170" s="8" t="inlineStr">
        <is>
          <t>À normaliser après vérification</t>
        </is>
      </c>
      <c r="H170" s="8" t="inlineStr">
        <is>
          <t>À définir séparément des compatibilités historiques</t>
        </is>
      </c>
      <c r="I170" s="8" t="inlineStr">
        <is>
          <t>Documenté</t>
        </is>
      </c>
      <c r="J170" s="8" t="inlineStr">
        <is>
          <t>Exemple majeur de groupe multimoteur et transmission électrique.</t>
        </is>
      </c>
      <c r="K170" s="8" t="inlineStr">
        <is>
          <t>https://tanks-encyclopedia.com/ww2/germany/ferdinand-elefant/</t>
        </is>
      </c>
      <c r="L170" s="8" t="inlineStr">
        <is>
          <t>Canon antichar de 88 mm Pak 43/2 L/71; MG de caisse ajoutée sur Elefant</t>
        </is>
      </c>
      <c r="M170" s="8" t="inlineStr">
        <is>
          <t>Canon très lourd; MG selon état/modernisation</t>
        </is>
      </c>
      <c r="N170" s="8" t="inlineStr">
        <is>
          <t>Élevé</t>
        </is>
      </c>
      <c r="O170" s="8" t="inlineStr">
        <is>
          <t>Non — contenu ultérieur</t>
        </is>
      </c>
      <c r="P170" s="8" t="inlineStr">
        <is>
          <t>À intégrer après validation du prototype</t>
        </is>
      </c>
      <c r="Q170" t="inlineStr">
        <is>
          <t>Elefant / Ferdinand : véhicule de catégorie « Chasseurs de chars et canons automoteurs », d'origine Allemagne. Motorisation recensée : 2 moteurs V12 essence Maybach HL120 entraînant une transmission électrique. Fiche de catalogue à compléter avec le rôle tactique et les caractéristiques de jeu.</t>
        </is>
      </c>
    </row>
    <row r="171" ht="42" customHeight="1">
      <c r="A171" s="8" t="inlineStr">
        <is>
          <t>Chasseurs de chars et canons automoteurs</t>
        </is>
      </c>
      <c r="B171" s="8" t="inlineStr">
        <is>
          <t>Sturmtiger</t>
        </is>
      </c>
      <c r="C171" s="8" t="inlineStr">
        <is>
          <t>Allemagne</t>
        </is>
      </c>
      <c r="D171" s="8" t="inlineStr">
        <is>
          <t>Chasseurs de chars et canons automoteurs</t>
        </is>
      </c>
      <c r="E171" s="8" t="n"/>
      <c r="F171" s="8" t="inlineStr">
        <is>
          <t>V12 essence Maybach HL230</t>
        </is>
      </c>
      <c r="G171" s="8" t="inlineStr">
        <is>
          <t>À normaliser après vérification</t>
        </is>
      </c>
      <c r="H171" s="8" t="inlineStr">
        <is>
          <t>À définir séparément des compatibilités historiques</t>
        </is>
      </c>
      <c r="I171" s="8" t="inlineStr">
        <is>
          <t>Documenté</t>
        </is>
      </c>
      <c r="J171" s="8" t="inlineStr">
        <is>
          <t>Châssis Tiger I modifié.</t>
        </is>
      </c>
      <c r="K171" s="8" t="inlineStr">
        <is>
          <t>https://tanks-encyclopedia.com/ww2/germany/sturmtiger/</t>
        </is>
      </c>
      <c r="L171" s="8" t="inlineStr">
        <is>
          <t>Mortier-roquette de 380 mm RW 61; MG 34 de caisse</t>
        </is>
      </c>
      <c r="M171" s="8" t="inlineStr">
        <is>
          <t>Arme principale très spécifique; rare et difficile à remettre en état</t>
        </is>
      </c>
      <c r="N171" s="8" t="inlineStr">
        <is>
          <t>Élevé</t>
        </is>
      </c>
      <c r="O171" s="8" t="inlineStr">
        <is>
          <t>Non — contenu ultérieur</t>
        </is>
      </c>
      <c r="P171" s="8" t="inlineStr">
        <is>
          <t>À intégrer après validation du prototype</t>
        </is>
      </c>
      <c r="Q171" t="inlineStr">
        <is>
          <t>Sturmtiger : véhicule de catégorie « Chasseurs de chars et canons automoteurs », d'origine Allemagne. Motorisation recensée : V12 essence Maybach HL230. Fiche de catalogue à compléter avec le rôle tactique et les caractéristiques de jeu.</t>
        </is>
      </c>
    </row>
    <row r="172" ht="42" customHeight="1">
      <c r="A172" s="8" t="inlineStr">
        <is>
          <t>Chasseurs de chars et canons automoteurs</t>
        </is>
      </c>
      <c r="B172" s="8" t="inlineStr">
        <is>
          <t>Brummbär / Sturmpanzer IV</t>
        </is>
      </c>
      <c r="C172" s="8" t="inlineStr">
        <is>
          <t>Allemagne</t>
        </is>
      </c>
      <c r="D172" s="8" t="inlineStr">
        <is>
          <t>Chasseurs de chars et canons automoteurs</t>
        </is>
      </c>
      <c r="E172" s="8" t="n"/>
      <c r="F172" s="8" t="inlineStr">
        <is>
          <t>V12 essence Maybach HL120 TRM</t>
        </is>
      </c>
      <c r="G172" s="8" t="inlineStr">
        <is>
          <t>À normaliser après vérification</t>
        </is>
      </c>
      <c r="H172" s="8" t="inlineStr">
        <is>
          <t>À définir séparément des compatibilités historiques</t>
        </is>
      </c>
      <c r="I172" s="8" t="inlineStr">
        <is>
          <t>Documenté</t>
        </is>
      </c>
      <c r="J172" s="8" t="inlineStr">
        <is>
          <t>Dérivé Panzer IV.</t>
        </is>
      </c>
      <c r="K172" s="8" t="inlineStr">
        <is>
          <t>https://tanks-encyclopedia.com/ww2/germany/sturmpanzer-iv/</t>
        </is>
      </c>
      <c r="L172" s="8" t="inlineStr">
        <is>
          <t>2 mitrailleuses MG 13 de 7,92 mm</t>
        </is>
      </c>
      <c r="M172" s="8" t="inlineStr">
        <is>
          <t>1–2 mitrailleuses selon état; tourelle/affûts distincts</t>
        </is>
      </c>
      <c r="N172" s="8" t="inlineStr">
        <is>
          <t>Élevé</t>
        </is>
      </c>
      <c r="O172" s="8" t="inlineStr">
        <is>
          <t>Non — contenu ultérieur</t>
        </is>
      </c>
      <c r="P172" s="8" t="inlineStr">
        <is>
          <t>À intégrer après validation du prototype</t>
        </is>
      </c>
      <c r="Q172" t="inlineStr">
        <is>
          <t>Brummbär / Sturmpanzer IV : véhicule de catégorie « Chasseurs de chars et canons automoteurs », d'origine Allemagne. Motorisation recensée : V12 essence Maybach HL120 TRM. Fiche de catalogue à compléter avec le rôle tactique et les caractéristiques de jeu.</t>
        </is>
      </c>
    </row>
    <row r="173" ht="42" customHeight="1">
      <c r="A173" s="8" t="inlineStr">
        <is>
          <t>Chasseurs de chars et canons automoteurs</t>
        </is>
      </c>
      <c r="B173" s="8" t="inlineStr">
        <is>
          <t>Wespe</t>
        </is>
      </c>
      <c r="C173" s="8" t="inlineStr">
        <is>
          <t>Allemagne</t>
        </is>
      </c>
      <c r="D173" s="8" t="inlineStr">
        <is>
          <t>Chasseurs de chars et canons automoteurs</t>
        </is>
      </c>
      <c r="E173" s="8" t="n"/>
      <c r="F173" s="8" t="inlineStr">
        <is>
          <t>6 cylindres essence Maybach HL62 TR</t>
        </is>
      </c>
      <c r="G173" s="8" t="inlineStr">
        <is>
          <t>À normaliser après vérification</t>
        </is>
      </c>
      <c r="H173" s="8" t="inlineStr">
        <is>
          <t>À définir séparément des compatibilités historiques</t>
        </is>
      </c>
      <c r="I173" s="8" t="inlineStr">
        <is>
          <t>À vérifier</t>
        </is>
      </c>
      <c r="J173" s="8" t="inlineStr">
        <is>
          <t>Dérivé du Panzer II ; moteur à confirmer par variante.</t>
        </is>
      </c>
      <c r="K173" s="8" t="inlineStr">
        <is>
          <t>https://tanks-encyclopedia.com/ww2/germany/wespe/</t>
        </is>
      </c>
      <c r="L173" s="8" t="inlineStr">
        <is>
          <t>Obusier de 105 mm leFH 18/2; MG d'autodéfense éventuellement embarquée, pas toujours montée</t>
        </is>
      </c>
      <c r="M173" s="8" t="inlineStr">
        <is>
          <t>Obusier récupérable; ne pas présumer une MG montée</t>
        </is>
      </c>
      <c r="N173" s="8" t="inlineStr">
        <is>
          <t>Partiel</t>
        </is>
      </c>
      <c r="O173" s="8" t="inlineStr">
        <is>
          <t>Non — contenu ultérieur</t>
        </is>
      </c>
      <c r="P173" s="8" t="inlineStr">
        <is>
          <t>À intégrer après validation du prototype</t>
        </is>
      </c>
      <c r="Q173" t="inlineStr">
        <is>
          <t>Wespe : véhicule de catégorie « Chasseurs de chars et canons automoteurs », d'origine Allemagne. Motorisation recensée : 6 cylindres essence Maybach HL62 TR. Variante historique à vérifier avant validation définitive.</t>
        </is>
      </c>
    </row>
    <row r="174" ht="42" customHeight="1">
      <c r="A174" s="8" t="inlineStr">
        <is>
          <t>Chasseurs de chars et canons automoteurs</t>
        </is>
      </c>
      <c r="B174" s="8" t="inlineStr">
        <is>
          <t>Hummel</t>
        </is>
      </c>
      <c r="C174" s="8" t="inlineStr">
        <is>
          <t>Allemagne</t>
        </is>
      </c>
      <c r="D174" s="8" t="inlineStr">
        <is>
          <t>Chasseurs de chars et canons automoteurs</t>
        </is>
      </c>
      <c r="E174" s="8" t="n"/>
      <c r="F174" s="8" t="inlineStr">
        <is>
          <t>V12 essence Maybach HL120 TRM</t>
        </is>
      </c>
      <c r="G174" s="8" t="inlineStr">
        <is>
          <t>À normaliser après vérification</t>
        </is>
      </c>
      <c r="H174" s="8" t="inlineStr">
        <is>
          <t>À définir séparément des compatibilités historiques</t>
        </is>
      </c>
      <c r="I174" s="8" t="inlineStr">
        <is>
          <t>À vérifier</t>
        </is>
      </c>
      <c r="J174" s="8" t="inlineStr">
        <is>
          <t>Châssis combinant éléments de Panzer III/IV ; motorisation à vérifier.</t>
        </is>
      </c>
      <c r="K174" s="8" t="inlineStr">
        <is>
          <t>https://tanks-encyclopedia.com/ww2/germany/hummel/</t>
        </is>
      </c>
      <c r="L174" s="8" t="inlineStr">
        <is>
          <t>Obusier de 150 mm sFH 18; MG d'autodéfense éventuellement embarquée</t>
        </is>
      </c>
      <c r="M174" s="8" t="inlineStr">
        <is>
          <t>Obusier lourd; MG non garantie</t>
        </is>
      </c>
      <c r="N174" s="8" t="inlineStr">
        <is>
          <t>Partiel</t>
        </is>
      </c>
      <c r="O174" s="8" t="inlineStr">
        <is>
          <t>Non — contenu ultérieur</t>
        </is>
      </c>
      <c r="P174" s="8" t="inlineStr">
        <is>
          <t>À intégrer après validation du prototype</t>
        </is>
      </c>
      <c r="Q174" t="inlineStr">
        <is>
          <t>Hummel : véhicule de catégorie « Chasseurs de chars et canons automoteurs », d'origine Allemagne. Motorisation recensée : V12 essence Maybach HL120 TRM. Variante historique à vérifier avant validation définitive.</t>
        </is>
      </c>
    </row>
    <row r="175" ht="42" customHeight="1">
      <c r="A175" s="8" t="inlineStr">
        <is>
          <t>Chasseurs de chars et canons automoteurs</t>
        </is>
      </c>
      <c r="B175" s="8" t="inlineStr">
        <is>
          <t>Marder II</t>
        </is>
      </c>
      <c r="C175" s="8" t="inlineStr">
        <is>
          <t>Allemagne</t>
        </is>
      </c>
      <c r="D175" s="8" t="inlineStr">
        <is>
          <t>Chasseurs de chars et canons automoteurs</t>
        </is>
      </c>
      <c r="E175" s="8" t="n"/>
      <c r="F175" s="8" t="inlineStr">
        <is>
          <t>6 cylindres essence Maybach HL62 TRM</t>
        </is>
      </c>
      <c r="G175" s="8" t="inlineStr">
        <is>
          <t>À normaliser après vérification</t>
        </is>
      </c>
      <c r="H175" s="8" t="inlineStr">
        <is>
          <t>À définir séparément des compatibilités historiques</t>
        </is>
      </c>
      <c r="I175" s="8" t="inlineStr">
        <is>
          <t>À vérifier</t>
        </is>
      </c>
      <c r="J175" s="8" t="inlineStr">
        <is>
          <t>Plusieurs variantes sur châssis Panzer II.</t>
        </is>
      </c>
      <c r="K175" s="8" t="inlineStr">
        <is>
          <t>https://tanks-encyclopedia.com/ww2/germany/marder-ii/</t>
        </is>
      </c>
      <c r="L175" s="8" t="inlineStr">
        <is>
          <t>Canon antichar de 75 mm PaK 40 ou 76,2 mm soviétique selon version</t>
        </is>
      </c>
      <c r="M175" s="8" t="inlineStr">
        <is>
          <t>Canon antichar; armement varie selon châssis/version</t>
        </is>
      </c>
      <c r="N175" s="8" t="inlineStr">
        <is>
          <t>Partiel</t>
        </is>
      </c>
      <c r="O175" s="8" t="inlineStr">
        <is>
          <t>Non — contenu ultérieur</t>
        </is>
      </c>
      <c r="P175" s="8" t="inlineStr">
        <is>
          <t>À intégrer après validation du prototype</t>
        </is>
      </c>
      <c r="Q175" t="inlineStr">
        <is>
          <t>Marder II : véhicule de catégorie « Chasseurs de chars et canons automoteurs », d'origine Allemagne. Motorisation recensée : 6 cylindres essence Maybach HL62 TRM. Variante historique à vérifier avant validation définitive.</t>
        </is>
      </c>
    </row>
    <row r="176" ht="42" customHeight="1">
      <c r="A176" s="8" t="inlineStr">
        <is>
          <t>Chasseurs de chars et canons automoteurs</t>
        </is>
      </c>
      <c r="B176" s="8" t="inlineStr">
        <is>
          <t>Marder III</t>
        </is>
      </c>
      <c r="C176" s="8" t="inlineStr">
        <is>
          <t>Allemagne</t>
        </is>
      </c>
      <c r="D176" s="8" t="inlineStr">
        <is>
          <t>Chasseurs de chars et canons automoteurs</t>
        </is>
      </c>
      <c r="E176" s="8" t="n"/>
      <c r="F176" s="8" t="inlineStr">
        <is>
          <t>6 cylindres essence Praga EPA</t>
        </is>
      </c>
      <c r="G176" s="8" t="inlineStr">
        <is>
          <t>À normaliser après vérification</t>
        </is>
      </c>
      <c r="H176" s="8" t="inlineStr">
        <is>
          <t>À définir séparément des compatibilités historiques</t>
        </is>
      </c>
      <c r="I176" s="8" t="inlineStr">
        <is>
          <t>À vérifier</t>
        </is>
      </c>
      <c r="J176" s="8" t="inlineStr">
        <is>
          <t>Châssis tchèque ; famille moteur Praga.</t>
        </is>
      </c>
      <c r="K176" s="8" t="inlineStr">
        <is>
          <t>https://tanks-encyclopedia.com/ww2/germany/marder-iii/</t>
        </is>
      </c>
      <c r="L176" s="8" t="inlineStr">
        <is>
          <t>Canon antichar de 75 mm PaK 40 ou 76,2 mm soviétique selon version</t>
        </is>
      </c>
      <c r="M176" s="8" t="inlineStr">
        <is>
          <t>Canon antichar; armement varie selon châssis/version</t>
        </is>
      </c>
      <c r="N176" s="8" t="inlineStr">
        <is>
          <t>Partiel</t>
        </is>
      </c>
      <c r="O176" s="8" t="inlineStr">
        <is>
          <t>Non — contenu ultérieur</t>
        </is>
      </c>
      <c r="P176" s="8" t="inlineStr">
        <is>
          <t>À intégrer après validation du prototype</t>
        </is>
      </c>
      <c r="Q176" t="inlineStr">
        <is>
          <t>Marder III : véhicule de catégorie « Chasseurs de chars et canons automoteurs », d'origine Allemagne. Motorisation recensée : 6 cylindres essence Praga EPA. Variante historique à vérifier avant validation définitive.</t>
        </is>
      </c>
    </row>
    <row r="177" ht="42" customHeight="1">
      <c r="A177" s="8" t="inlineStr">
        <is>
          <t>Chasseurs de chars et canons automoteurs</t>
        </is>
      </c>
      <c r="B177" s="8" t="inlineStr">
        <is>
          <t>Nashorn / Hornisse</t>
        </is>
      </c>
      <c r="C177" s="8" t="inlineStr">
        <is>
          <t>Allemagne</t>
        </is>
      </c>
      <c r="D177" s="8" t="inlineStr">
        <is>
          <t>Chasseurs de chars et canons automoteurs</t>
        </is>
      </c>
      <c r="E177" s="8" t="n"/>
      <c r="F177" s="8" t="inlineStr">
        <is>
          <t>V12 essence Maybach HL120 TRM</t>
        </is>
      </c>
      <c r="G177" s="8" t="inlineStr">
        <is>
          <t>À normaliser après vérification</t>
        </is>
      </c>
      <c r="H177" s="8" t="inlineStr">
        <is>
          <t>À définir séparément des compatibilités historiques</t>
        </is>
      </c>
      <c r="I177" s="8" t="inlineStr">
        <is>
          <t>À vérifier</t>
        </is>
      </c>
      <c r="J177" s="8" t="inlineStr">
        <is>
          <t>Châssis hybride Panzer III/IV.</t>
        </is>
      </c>
      <c r="K177" s="8" t="inlineStr">
        <is>
          <t>https://tanks-encyclopedia.com/ww2/germany/nashorn/</t>
        </is>
      </c>
      <c r="L177" s="8" t="inlineStr">
        <is>
          <t>Canon antichar de 88 mm PaK 43/1 L/71</t>
        </is>
      </c>
      <c r="M177" s="8" t="inlineStr">
        <is>
          <t>Canon lourd; pas de mitrailleuse fixe standard</t>
        </is>
      </c>
      <c r="N177" s="8" t="inlineStr">
        <is>
          <t>Élevé</t>
        </is>
      </c>
      <c r="O177" s="8" t="inlineStr">
        <is>
          <t>Non — contenu ultérieur</t>
        </is>
      </c>
      <c r="P177" s="8" t="inlineStr">
        <is>
          <t>À intégrer après validation du prototype</t>
        </is>
      </c>
      <c r="Q177" t="inlineStr">
        <is>
          <t>Nashorn / Hornisse : véhicule de catégorie « Chasseurs de chars et canons automoteurs », d'origine Allemagne. Motorisation recensée : V12 essence Maybach HL120 TRM. Variante historique à vérifier avant validation définitive.</t>
        </is>
      </c>
    </row>
    <row r="178" ht="42" customHeight="1">
      <c r="A178" s="8" t="inlineStr">
        <is>
          <t>Chasseurs de chars et canons automoteurs</t>
        </is>
      </c>
      <c r="B178" s="8" t="inlineStr">
        <is>
          <t>Sturmpanzer I Bison</t>
        </is>
      </c>
      <c r="C178" s="8" t="inlineStr">
        <is>
          <t>Allemagne</t>
        </is>
      </c>
      <c r="D178" s="8" t="inlineStr">
        <is>
          <t>Chasseurs de chars et canons automoteurs</t>
        </is>
      </c>
      <c r="E178" s="8" t="n"/>
      <c r="F178" s="8" t="inlineStr">
        <is>
          <t>6 cylindres essence Maybach (type à vérifier)</t>
        </is>
      </c>
      <c r="G178" s="8" t="inlineStr">
        <is>
          <t>À normaliser après vérification</t>
        </is>
      </c>
      <c r="H178" s="8" t="inlineStr">
        <is>
          <t>À définir séparément des compatibilités historiques</t>
        </is>
      </c>
      <c r="I178" s="8" t="inlineStr">
        <is>
          <t>À vérifier</t>
        </is>
      </c>
      <c r="J178" s="8" t="inlineStr">
        <is>
          <t>Canon automoteur sur châssis Panzer I.</t>
        </is>
      </c>
      <c r="K178" s="8" t="inlineStr">
        <is>
          <t>https://tanks-encyclopedia.com/ww2/germany/sturmpanzer-i-bison/</t>
        </is>
      </c>
      <c r="L178" s="8" t="inlineStr">
        <is>
          <t>2 mitrailleuses MG 13 de 7,92 mm</t>
        </is>
      </c>
      <c r="M178" s="8" t="inlineStr">
        <is>
          <t>1–2 mitrailleuses selon état; tourelle/affûts distincts</t>
        </is>
      </c>
      <c r="N178" s="8" t="inlineStr">
        <is>
          <t>Élevé</t>
        </is>
      </c>
      <c r="O178" s="8" t="inlineStr">
        <is>
          <t>Non — contenu ultérieur</t>
        </is>
      </c>
      <c r="P178" s="8" t="inlineStr">
        <is>
          <t>À intégrer après validation du prototype</t>
        </is>
      </c>
      <c r="Q178" t="inlineStr">
        <is>
          <t>Sturmpanzer I Bison : véhicule de catégorie « Chasseurs de chars et canons automoteurs », d'origine Allemagne. Motorisation recensée : 6 cylindres essence Maybach (type à vérifier). Variante historique à vérifier avant validation définitive.</t>
        </is>
      </c>
    </row>
    <row r="179" ht="42" customHeight="1">
      <c r="A179" s="8" t="inlineStr">
        <is>
          <t>Chars légers et chars anciens</t>
        </is>
      </c>
      <c r="B179" s="8" t="inlineStr">
        <is>
          <t>A11 Matilda I</t>
        </is>
      </c>
      <c r="C179" s="8" t="inlineStr">
        <is>
          <t>Royaume-Uni</t>
        </is>
      </c>
      <c r="D179" s="8" t="inlineStr">
        <is>
          <t>Chars légers et chars anciens</t>
        </is>
      </c>
      <c r="E179" s="8" t="n"/>
      <c r="F179" s="8" t="inlineStr">
        <is>
          <t>V8 essence Ford Model 79</t>
        </is>
      </c>
      <c r="G179" s="8" t="inlineStr">
        <is>
          <t>À normaliser après vérification</t>
        </is>
      </c>
      <c r="H179" s="8" t="inlineStr">
        <is>
          <t>À définir séparément des compatibilités historiques</t>
        </is>
      </c>
      <c r="I179" s="8" t="inlineStr">
        <is>
          <t>À vérifier</t>
        </is>
      </c>
      <c r="J179" s="8" t="inlineStr">
        <is>
          <t>Très lent ; moteur de voiture adapté à un char léger.</t>
        </is>
      </c>
      <c r="K179" s="8" t="inlineStr">
        <is>
          <t>https://tankmuseum.org/tank-nuts/tank-collection/matilda-i</t>
        </is>
      </c>
      <c r="L179" s="8" t="inlineStr">
        <is>
          <t>Une mitrailleuse Vickers .303 ou un fusil antichar Boys selon véhicule</t>
        </is>
      </c>
      <c r="M179" s="8" t="inlineStr">
        <is>
          <t>Arme individuelle montée selon version</t>
        </is>
      </c>
      <c r="N179" s="8" t="inlineStr">
        <is>
          <t>Partiel</t>
        </is>
      </c>
      <c r="O179" s="8" t="inlineStr">
        <is>
          <t>Non — contenu ultérieur</t>
        </is>
      </c>
      <c r="P179" s="8" t="inlineStr">
        <is>
          <t>À intégrer après validation du prototype</t>
        </is>
      </c>
      <c r="Q179" t="inlineStr">
        <is>
          <t>A11 Matilda I : véhicule de catégorie « Chars légers et chars anciens », d'origine Royaume-Uni. Motorisation recensée : V8 essence Ford Model 79. Variante historique à vérifier avant validation définitive.</t>
        </is>
      </c>
    </row>
    <row r="180" ht="42" customHeight="1">
      <c r="A180" s="8" t="inlineStr">
        <is>
          <t>Chars d'infanterie</t>
        </is>
      </c>
      <c r="B180" s="8" t="inlineStr">
        <is>
          <t>A12 Matilda II</t>
        </is>
      </c>
      <c r="C180" s="8" t="inlineStr">
        <is>
          <t>Royaume-Uni</t>
        </is>
      </c>
      <c r="D180" s="8" t="inlineStr">
        <is>
          <t>Chars d'infanterie</t>
        </is>
      </c>
      <c r="E180" s="8" t="n"/>
      <c r="F180" s="8" t="inlineStr">
        <is>
          <t>2 moteurs 6 cylindres essence AEC (famille à confirmer selon marque)</t>
        </is>
      </c>
      <c r="G180" s="8" t="inlineStr">
        <is>
          <t>À normaliser après vérification</t>
        </is>
      </c>
      <c r="H180" s="8" t="inlineStr">
        <is>
          <t>À définir séparément des compatibilités historiques</t>
        </is>
      </c>
      <c r="I180" s="8" t="inlineStr">
        <is>
          <t>À vérifier</t>
        </is>
      </c>
      <c r="J180" s="8" t="inlineStr">
        <is>
          <t>Architecture multimoteur ; moteurs jumelés.</t>
        </is>
      </c>
      <c r="K180" s="8" t="inlineStr">
        <is>
          <t>https://tankmuseum.org/tank-nuts/tank-collection/matilda-ii</t>
        </is>
      </c>
      <c r="L180" s="8" t="inlineStr">
        <is>
          <t>Canon de 2-pdr (40 mm); mitrailleuse Besa 7,92 mm; parfois lance-fumigènes</t>
        </is>
      </c>
      <c r="M180" s="8" t="inlineStr">
        <is>
          <t>Canon et Besa; confirmer variante</t>
        </is>
      </c>
      <c r="N180" s="8" t="inlineStr">
        <is>
          <t>Élevé</t>
        </is>
      </c>
      <c r="O180" s="8" t="inlineStr">
        <is>
          <t>Non — contenu ultérieur</t>
        </is>
      </c>
      <c r="P180" s="8" t="inlineStr">
        <is>
          <t>À intégrer après validation du prototype</t>
        </is>
      </c>
      <c r="Q180" t="inlineStr">
        <is>
          <t>A12 Matilda II : véhicule de catégorie « Chars d'infanterie », d'origine Royaume-Uni. Motorisation recensée : 2 moteurs 6 cylindres essence AEC (famille à confirmer selon marque). Variante historique à vérifier avant validation définitive.</t>
        </is>
      </c>
    </row>
    <row r="181" ht="42" customHeight="1">
      <c r="A181" s="8" t="inlineStr">
        <is>
          <t>Chars de croisière</t>
        </is>
      </c>
      <c r="B181" s="8" t="inlineStr">
        <is>
          <t>A9 Cruiser Mk I</t>
        </is>
      </c>
      <c r="C181" s="8" t="inlineStr">
        <is>
          <t>Royaume-Uni</t>
        </is>
      </c>
      <c r="D181" s="8" t="inlineStr">
        <is>
          <t>Chars de croisière</t>
        </is>
      </c>
      <c r="E181" s="8" t="n"/>
      <c r="F181" s="8" t="inlineStr">
        <is>
          <t>6 cylindres essence AEC</t>
        </is>
      </c>
      <c r="G181" s="8" t="inlineStr">
        <is>
          <t>À normaliser après vérification</t>
        </is>
      </c>
      <c r="H181" s="8" t="inlineStr">
        <is>
          <t>À définir séparément des compatibilités historiques</t>
        </is>
      </c>
      <c r="I181" s="8" t="inlineStr">
        <is>
          <t>À vérifier</t>
        </is>
      </c>
      <c r="J181" s="8" t="inlineStr">
        <is>
          <t>Char de croisière précoce.</t>
        </is>
      </c>
      <c r="K181" s="8" t="inlineStr">
        <is>
          <t>https://tanks-encyclopedia.com/ww2/gb/a9-cruiser-tank/</t>
        </is>
      </c>
      <c r="L181" s="8" t="inlineStr">
        <is>
          <t>Armement historique à déterminer précisément pour ce modèle/sa variante</t>
        </is>
      </c>
      <c r="M181" s="8" t="inlineStr">
        <is>
          <t>Ne récupérer une arme que si elle est présente, identifiable et démontable; vérifier le calibre</t>
        </is>
      </c>
      <c r="N181" s="8" t="inlineStr">
        <is>
          <t>À vérifier</t>
        </is>
      </c>
      <c r="O181" s="8" t="inlineStr">
        <is>
          <t>Non — contenu ultérieur</t>
        </is>
      </c>
      <c r="P181" s="8" t="inlineStr">
        <is>
          <t>À intégrer après validation du prototype</t>
        </is>
      </c>
      <c r="Q181" t="inlineStr">
        <is>
          <t>A9 Cruiser Mk I : véhicule de catégorie « Chars de croisière », d'origine Royaume-Uni. Motorisation recensée : 6 cylindres essence AEC. Variante historique à vérifier avant validation définitive.</t>
        </is>
      </c>
    </row>
    <row r="182" ht="42" customHeight="1">
      <c r="A182" s="8" t="inlineStr">
        <is>
          <t>Chars de croisière</t>
        </is>
      </c>
      <c r="B182" s="8" t="inlineStr">
        <is>
          <t>A10 Cruiser Mk II</t>
        </is>
      </c>
      <c r="C182" s="8" t="inlineStr">
        <is>
          <t>Royaume-Uni</t>
        </is>
      </c>
      <c r="D182" s="8" t="inlineStr">
        <is>
          <t>Chars de croisière</t>
        </is>
      </c>
      <c r="E182" s="8" t="n"/>
      <c r="F182" s="8" t="inlineStr">
        <is>
          <t>6 cylindres essence AEC</t>
        </is>
      </c>
      <c r="G182" s="8" t="inlineStr">
        <is>
          <t>À normaliser après vérification</t>
        </is>
      </c>
      <c r="H182" s="8" t="inlineStr">
        <is>
          <t>À définir séparément des compatibilités historiques</t>
        </is>
      </c>
      <c r="I182" s="8" t="inlineStr">
        <is>
          <t>À vérifier</t>
        </is>
      </c>
      <c r="J182" s="8" t="inlineStr">
        <is>
          <t>Dérivé du A9, moteur de famille proche.</t>
        </is>
      </c>
      <c r="K182" s="8" t="inlineStr">
        <is>
          <t>https://tanks-encyclopedia.com/ww2/gb/a10-cruiser-tank/</t>
        </is>
      </c>
      <c r="L182" s="8" t="inlineStr">
        <is>
          <t>Armement historique à déterminer précisément pour ce modèle/sa variante</t>
        </is>
      </c>
      <c r="M182" s="8" t="inlineStr">
        <is>
          <t>Ne récupérer une arme que si elle est présente, identifiable et démontable; vérifier le calibre</t>
        </is>
      </c>
      <c r="N182" s="8" t="inlineStr">
        <is>
          <t>À vérifier</t>
        </is>
      </c>
      <c r="O182" s="8" t="inlineStr">
        <is>
          <t>Non — contenu ultérieur</t>
        </is>
      </c>
      <c r="P182" s="8" t="inlineStr">
        <is>
          <t>À intégrer après validation du prototype</t>
        </is>
      </c>
      <c r="Q182" t="inlineStr">
        <is>
          <t>A10 Cruiser Mk II : véhicule de catégorie « Chars de croisière », d'origine Royaume-Uni. Motorisation recensée : 6 cylindres essence AEC. Variante historique à vérifier avant validation définitive.</t>
        </is>
      </c>
    </row>
    <row r="183" ht="42" customHeight="1">
      <c r="A183" s="8" t="inlineStr">
        <is>
          <t>Chars de croisière</t>
        </is>
      </c>
      <c r="B183" s="8" t="inlineStr">
        <is>
          <t>A13 Cruiser Mk III</t>
        </is>
      </c>
      <c r="C183" s="8" t="inlineStr">
        <is>
          <t>Royaume-Uni</t>
        </is>
      </c>
      <c r="D183" s="8" t="inlineStr">
        <is>
          <t>Chars de croisière</t>
        </is>
      </c>
      <c r="E183" s="8" t="n"/>
      <c r="F183" s="8" t="inlineStr">
        <is>
          <t>12 cylindres essence Liberty (famille américaine)</t>
        </is>
      </c>
      <c r="G183" s="8" t="inlineStr">
        <is>
          <t>À normaliser après vérification</t>
        </is>
      </c>
      <c r="H183" s="8" t="inlineStr">
        <is>
          <t>À définir séparément des compatibilités historiques</t>
        </is>
      </c>
      <c r="I183" s="8" t="inlineStr">
        <is>
          <t>À vérifier</t>
        </is>
      </c>
      <c r="J183" s="8" t="inlineStr">
        <is>
          <t>Exemple de moteur aéronautique adapté à un véhicule terrestre.</t>
        </is>
      </c>
      <c r="K183" s="8" t="inlineStr">
        <is>
          <t>https://tanks-encyclopedia.com/ww2/gb/a13-cruiser-tank-mk-iii/</t>
        </is>
      </c>
      <c r="L183" s="8" t="inlineStr">
        <is>
          <t>Armement historique à déterminer précisément pour ce modèle/sa variante</t>
        </is>
      </c>
      <c r="M183" s="8" t="inlineStr">
        <is>
          <t>Ne récupérer une arme que si elle est présente, identifiable et démontable; vérifier le calibre</t>
        </is>
      </c>
      <c r="N183" s="8" t="inlineStr">
        <is>
          <t>À vérifier</t>
        </is>
      </c>
      <c r="O183" s="8" t="inlineStr">
        <is>
          <t>Non — contenu ultérieur</t>
        </is>
      </c>
      <c r="P183" s="8" t="inlineStr">
        <is>
          <t>À intégrer après validation du prototype</t>
        </is>
      </c>
      <c r="Q183" t="inlineStr">
        <is>
          <t>A13 Cruiser Mk III : véhicule de catégorie « Chars de croisière », d'origine Royaume-Uni. Motorisation recensée : 12 cylindres essence Liberty (famille américaine). Variante historique à vérifier avant validation définitive.</t>
        </is>
      </c>
    </row>
    <row r="184" ht="42" customHeight="1">
      <c r="A184" s="8" t="inlineStr">
        <is>
          <t>Chars de croisière</t>
        </is>
      </c>
      <c r="B184" s="8" t="inlineStr">
        <is>
          <t>A13 Cruiser Mk IV</t>
        </is>
      </c>
      <c r="C184" s="8" t="inlineStr">
        <is>
          <t>Royaume-Uni</t>
        </is>
      </c>
      <c r="D184" s="8" t="inlineStr">
        <is>
          <t>Chars de croisière</t>
        </is>
      </c>
      <c r="E184" s="8" t="n"/>
      <c r="F184" s="8" t="inlineStr">
        <is>
          <t>12 cylindres essence Liberty</t>
        </is>
      </c>
      <c r="G184" s="8" t="inlineStr">
        <is>
          <t>À normaliser après vérification</t>
        </is>
      </c>
      <c r="H184" s="8" t="inlineStr">
        <is>
          <t>À définir séparément des compatibilités historiques</t>
        </is>
      </c>
      <c r="I184" s="8" t="inlineStr">
        <is>
          <t>À vérifier</t>
        </is>
      </c>
      <c r="J184" s="8" t="inlineStr">
        <is>
          <t>Évolution du Cruiser Mk III.</t>
        </is>
      </c>
      <c r="K184" s="8" t="inlineStr">
        <is>
          <t>https://tanks-encyclopedia.com/ww2/gb/a13-cruiser-tank-mk-iv/</t>
        </is>
      </c>
      <c r="L184" s="8" t="inlineStr">
        <is>
          <t>Armement historique à déterminer précisément pour ce modèle/sa variante</t>
        </is>
      </c>
      <c r="M184" s="8" t="inlineStr">
        <is>
          <t>Ne récupérer une arme que si elle est présente, identifiable et démontable; vérifier le calibre</t>
        </is>
      </c>
      <c r="N184" s="8" t="inlineStr">
        <is>
          <t>À vérifier</t>
        </is>
      </c>
      <c r="O184" s="8" t="inlineStr">
        <is>
          <t>Non — contenu ultérieur</t>
        </is>
      </c>
      <c r="P184" s="8" t="inlineStr">
        <is>
          <t>À intégrer après validation du prototype</t>
        </is>
      </c>
      <c r="Q184" t="inlineStr">
        <is>
          <t>A13 Cruiser Mk IV : véhicule de catégorie « Chars de croisière », d'origine Royaume-Uni. Motorisation recensée : 12 cylindres essence Liberty. Variante historique à vérifier avant validation définitive.</t>
        </is>
      </c>
    </row>
    <row r="185" ht="42" customHeight="1">
      <c r="A185" s="8" t="inlineStr">
        <is>
          <t>Chars de croisière</t>
        </is>
      </c>
      <c r="B185" s="8" t="inlineStr">
        <is>
          <t>Covenanter A13 Mk III</t>
        </is>
      </c>
      <c r="C185" s="8" t="inlineStr">
        <is>
          <t>Royaume-Uni</t>
        </is>
      </c>
      <c r="D185" s="8" t="inlineStr">
        <is>
          <t>Chars de croisière</t>
        </is>
      </c>
      <c r="E185" s="8" t="n"/>
      <c r="F185" s="8" t="inlineStr">
        <is>
          <t>12 cylindres essence Meadows DAV</t>
        </is>
      </c>
      <c r="G185" s="8" t="inlineStr">
        <is>
          <t>À normaliser après vérification</t>
        </is>
      </c>
      <c r="H185" s="8" t="inlineStr">
        <is>
          <t>À définir séparément des compatibilités historiques</t>
        </is>
      </c>
      <c r="I185" s="8" t="inlineStr">
        <is>
          <t>Documenté</t>
        </is>
      </c>
      <c r="J185" s="8" t="inlineStr">
        <is>
          <t>Moteur à refroidissement liquide ; compartiment moteur problématique.</t>
        </is>
      </c>
      <c r="K185" s="8" t="inlineStr">
        <is>
          <t>https://tanks-encyclopedia.com/ww2/gb/covenanter-cruiser-tank/</t>
        </is>
      </c>
      <c r="L185" s="8" t="inlineStr">
        <is>
          <t>Armement historique à déterminer précisément pour ce modèle/sa variante</t>
        </is>
      </c>
      <c r="M185" s="8" t="inlineStr">
        <is>
          <t>Ne récupérer une arme que si elle est présente, identifiable et démontable; vérifier le calibre</t>
        </is>
      </c>
      <c r="N185" s="8" t="inlineStr">
        <is>
          <t>À vérifier</t>
        </is>
      </c>
      <c r="O185" s="8" t="inlineStr">
        <is>
          <t>Non — contenu ultérieur</t>
        </is>
      </c>
      <c r="P185" s="8" t="inlineStr">
        <is>
          <t>À intégrer après validation du prototype</t>
        </is>
      </c>
      <c r="Q185" t="inlineStr">
        <is>
          <t>Covenanter A13 Mk III : véhicule de catégorie « Chars de croisière », d'origine Royaume-Uni. Motorisation recensée : 12 cylindres essence Meadows DAV. Fiche de catalogue à compléter avec le rôle tactique et les caractéristiques de jeu.</t>
        </is>
      </c>
    </row>
    <row r="186" ht="42" customHeight="1">
      <c r="A186" s="8" t="inlineStr">
        <is>
          <t>Chars de croisière</t>
        </is>
      </c>
      <c r="B186" s="8" t="inlineStr">
        <is>
          <t>Crusader I/II</t>
        </is>
      </c>
      <c r="C186" s="8" t="inlineStr">
        <is>
          <t>Royaume-Uni</t>
        </is>
      </c>
      <c r="D186" s="8" t="inlineStr">
        <is>
          <t>Chars de croisière</t>
        </is>
      </c>
      <c r="E186" s="8" t="n"/>
      <c r="F186" s="8" t="inlineStr">
        <is>
          <t>12 cylindres essence Liberty</t>
        </is>
      </c>
      <c r="G186" s="8" t="inlineStr">
        <is>
          <t>À normaliser après vérification</t>
        </is>
      </c>
      <c r="H186" s="8" t="inlineStr">
        <is>
          <t>À définir séparément des compatibilités historiques</t>
        </is>
      </c>
      <c r="I186" s="8" t="inlineStr">
        <is>
          <t>Documenté</t>
        </is>
      </c>
      <c r="J186" s="8" t="inlineStr">
        <is>
          <t>Famille de moteur partagée avec plusieurs chars de croisière britanniques.</t>
        </is>
      </c>
      <c r="K186" s="8" t="inlineStr">
        <is>
          <t>https://tanks-encyclopedia.com/ww2/gb/crusader-tank/</t>
        </is>
      </c>
      <c r="L186" s="8" t="inlineStr">
        <is>
          <t>Canon de 2-pdr ou 6-pdr selon version; mitrailleuse Besa 7,92 mm</t>
        </is>
      </c>
      <c r="M186" s="8" t="inlineStr">
        <is>
          <t>Canon et Besa selon variante</t>
        </is>
      </c>
      <c r="N186" s="8" t="inlineStr">
        <is>
          <t>Partiel</t>
        </is>
      </c>
      <c r="O186" s="8" t="inlineStr">
        <is>
          <t>Non — contenu ultérieur</t>
        </is>
      </c>
      <c r="P186" s="8" t="inlineStr">
        <is>
          <t>À intégrer après validation du prototype</t>
        </is>
      </c>
      <c r="Q186" t="inlineStr">
        <is>
          <t>Crusader I/II : véhicule de catégorie « Chars de croisière », d'origine Royaume-Uni. Motorisation recensée : 12 cylindres essence Liberty. Fiche de catalogue à compléter avec le rôle tactique et les caractéristiques de jeu.</t>
        </is>
      </c>
    </row>
    <row r="187" ht="42" customHeight="1">
      <c r="A187" s="8" t="inlineStr">
        <is>
          <t>Chars de croisière</t>
        </is>
      </c>
      <c r="B187" s="8" t="inlineStr">
        <is>
          <t>Crusader III</t>
        </is>
      </c>
      <c r="C187" s="8" t="inlineStr">
        <is>
          <t>Royaume-Uni</t>
        </is>
      </c>
      <c r="D187" s="8" t="inlineStr">
        <is>
          <t>Chars de croisière</t>
        </is>
      </c>
      <c r="E187" s="8" t="n"/>
      <c r="F187" s="8" t="inlineStr">
        <is>
          <t>12 cylindres essence Liberty</t>
        </is>
      </c>
      <c r="G187" s="8" t="inlineStr">
        <is>
          <t>À normaliser après vérification</t>
        </is>
      </c>
      <c r="H187" s="8" t="inlineStr">
        <is>
          <t>À définir séparément des compatibilités historiques</t>
        </is>
      </c>
      <c r="I187" s="8" t="inlineStr">
        <is>
          <t>Documenté</t>
        </is>
      </c>
      <c r="J187" s="8" t="inlineStr">
        <is>
          <t>Version tardive armée plus lourdement.</t>
        </is>
      </c>
      <c r="K187" s="8" t="inlineStr">
        <is>
          <t>https://tanks-encyclopedia.com/ww2/gb/crusader-tank/</t>
        </is>
      </c>
      <c r="L187" s="8" t="inlineStr">
        <is>
          <t>Canon de 2-pdr ou 6-pdr selon version; mitrailleuse Besa 7,92 mm</t>
        </is>
      </c>
      <c r="M187" s="8" t="inlineStr">
        <is>
          <t>Canon et Besa selon variante</t>
        </is>
      </c>
      <c r="N187" s="8" t="inlineStr">
        <is>
          <t>Partiel</t>
        </is>
      </c>
      <c r="O187" s="8" t="inlineStr">
        <is>
          <t>Non — contenu ultérieur</t>
        </is>
      </c>
      <c r="P187" s="8" t="inlineStr">
        <is>
          <t>À intégrer après validation du prototype</t>
        </is>
      </c>
      <c r="Q187" t="inlineStr">
        <is>
          <t>Crusader III : véhicule de catégorie « Chars de croisière », d'origine Royaume-Uni. Motorisation recensée : 12 cylindres essence Liberty. Fiche de catalogue à compléter avec le rôle tactique et les caractéristiques de jeu.</t>
        </is>
      </c>
    </row>
    <row r="188" ht="42" customHeight="1">
      <c r="A188" s="8" t="inlineStr">
        <is>
          <t>Chars d'infanterie</t>
        </is>
      </c>
      <c r="B188" s="8" t="inlineStr">
        <is>
          <t>Churchill Mk I–III</t>
        </is>
      </c>
      <c r="C188" s="8" t="inlineStr">
        <is>
          <t>Royaume-Uni</t>
        </is>
      </c>
      <c r="D188" s="8" t="inlineStr">
        <is>
          <t>Chars d'infanterie</t>
        </is>
      </c>
      <c r="E188" s="8" t="n"/>
      <c r="F188" s="8" t="inlineStr">
        <is>
          <t>12 cylindres essence Bedford flat-12</t>
        </is>
      </c>
      <c r="G188" s="8" t="inlineStr">
        <is>
          <t>À normaliser après vérification</t>
        </is>
      </c>
      <c r="H188" s="8" t="inlineStr">
        <is>
          <t>À définir séparément des compatibilités historiques</t>
        </is>
      </c>
      <c r="I188" s="8" t="inlineStr">
        <is>
          <t>Documenté</t>
        </is>
      </c>
      <c r="J188" s="8" t="inlineStr">
        <is>
          <t>Moteur à plat 12 cylindres, architecture inhabituelle.</t>
        </is>
      </c>
      <c r="K188" s="8" t="inlineStr">
        <is>
          <t>https://tankmuseum.org/tank-nuts/tank-collection/churchill</t>
        </is>
      </c>
      <c r="L188" s="8" t="inlineStr">
        <is>
          <t>Canon de 2-pdr, 6-pdr ou 75 mm selon version; mitrailleuse Besa 7,92 mm; parfois obusier de 3 pouces</t>
        </is>
      </c>
      <c r="M188" s="8" t="inlineStr">
        <is>
          <t>Canon/obusier et Besa selon variante</t>
        </is>
      </c>
      <c r="N188" s="8" t="inlineStr">
        <is>
          <t>Partiel</t>
        </is>
      </c>
      <c r="O188" s="8" t="inlineStr">
        <is>
          <t>Non — contenu ultérieur</t>
        </is>
      </c>
      <c r="P188" s="8" t="inlineStr">
        <is>
          <t>À intégrer après validation du prototype</t>
        </is>
      </c>
      <c r="Q188" t="inlineStr">
        <is>
          <t>Churchill Mk I–III : véhicule de catégorie « Chars d'infanterie », d'origine Royaume-Uni. Motorisation recensée : 12 cylindres essence Bedford flat-12. Fiche de catalogue à compléter avec le rôle tactique et les caractéristiques de jeu.</t>
        </is>
      </c>
    </row>
    <row r="189" ht="42" customHeight="1">
      <c r="A189" s="8" t="inlineStr">
        <is>
          <t>Chars d'infanterie</t>
        </is>
      </c>
      <c r="B189" s="8" t="inlineStr">
        <is>
          <t>Churchill Mk IV–VII</t>
        </is>
      </c>
      <c r="C189" s="8" t="inlineStr">
        <is>
          <t>Royaume-Uni</t>
        </is>
      </c>
      <c r="D189" s="8" t="inlineStr">
        <is>
          <t>Chars d'infanterie</t>
        </is>
      </c>
      <c r="E189" s="8" t="n"/>
      <c r="F189" s="8" t="inlineStr">
        <is>
          <t>12 cylindres essence Bedford flat-12</t>
        </is>
      </c>
      <c r="G189" s="8" t="inlineStr">
        <is>
          <t>À normaliser après vérification</t>
        </is>
      </c>
      <c r="H189" s="8" t="inlineStr">
        <is>
          <t>À définir séparément des compatibilités historiques</t>
        </is>
      </c>
      <c r="I189" s="8" t="inlineStr">
        <is>
          <t>Documenté</t>
        </is>
      </c>
      <c r="J189" s="8" t="inlineStr">
        <is>
          <t>Famille Bedford flat-12 avec variantes d'amélioration.</t>
        </is>
      </c>
      <c r="K189" s="8" t="inlineStr">
        <is>
          <t>https://tankmuseum.org/tank-nuts/tank-collection/churchill</t>
        </is>
      </c>
      <c r="L189" s="8" t="inlineStr">
        <is>
          <t>Canon de 2-pdr, 6-pdr ou 75 mm selon version; mitrailleuse Besa 7,92 mm; parfois obusier de 3 pouces</t>
        </is>
      </c>
      <c r="M189" s="8" t="inlineStr">
        <is>
          <t>Canon/obusier et Besa selon variante</t>
        </is>
      </c>
      <c r="N189" s="8" t="inlineStr">
        <is>
          <t>Partiel</t>
        </is>
      </c>
      <c r="O189" s="8" t="inlineStr">
        <is>
          <t>Non — contenu ultérieur</t>
        </is>
      </c>
      <c r="P189" s="8" t="inlineStr">
        <is>
          <t>À intégrer après validation du prototype</t>
        </is>
      </c>
      <c r="Q189" t="inlineStr">
        <is>
          <t>Churchill Mk IV–VII : véhicule de catégorie « Chars d'infanterie », d'origine Royaume-Uni. Motorisation recensée : 12 cylindres essence Bedford flat-12. Fiche de catalogue à compléter avec le rôle tactique et les caractéristiques de jeu.</t>
        </is>
      </c>
    </row>
    <row r="190" ht="42" customHeight="1">
      <c r="A190" s="8" t="inlineStr">
        <is>
          <t>Chars de croisière</t>
        </is>
      </c>
      <c r="B190" s="8" t="inlineStr">
        <is>
          <t>Cromwell IV</t>
        </is>
      </c>
      <c r="C190" s="8" t="inlineStr">
        <is>
          <t>Royaume-Uni</t>
        </is>
      </c>
      <c r="D190" s="8" t="inlineStr">
        <is>
          <t>Chars de croisière</t>
        </is>
      </c>
      <c r="E190" s="8" t="n"/>
      <c r="F190" s="8" t="inlineStr">
        <is>
          <t>V12 essence Rolls-Royce Meteor</t>
        </is>
      </c>
      <c r="G190" s="8" t="inlineStr">
        <is>
          <t>À normaliser après vérification</t>
        </is>
      </c>
      <c r="H190" s="8" t="inlineStr">
        <is>
          <t>À définir séparément des compatibilités historiques</t>
        </is>
      </c>
      <c r="I190" s="8" t="inlineStr">
        <is>
          <t>Documenté</t>
        </is>
      </c>
      <c r="J190" s="8" t="inlineStr">
        <is>
          <t>Dérivé du moteur aéronautique Merlin ; excellent moteur de jeu hautes performances.</t>
        </is>
      </c>
      <c r="K190" s="8" t="inlineStr">
        <is>
          <t>https://tankmuseum.org/tank-nuts/tank-collection/cromwell</t>
        </is>
      </c>
      <c r="L190" s="8" t="inlineStr">
        <is>
          <t>Canon de 6-pdr ou 75 mm selon version; mitrailleuses Besa 7,92 mm</t>
        </is>
      </c>
      <c r="M190" s="8" t="inlineStr">
        <is>
          <t>Canon et Besa selon variante</t>
        </is>
      </c>
      <c r="N190" s="8" t="inlineStr">
        <is>
          <t>Partiel</t>
        </is>
      </c>
      <c r="O190" s="8" t="inlineStr">
        <is>
          <t>Non — contenu ultérieur</t>
        </is>
      </c>
      <c r="P190" s="8" t="inlineStr">
        <is>
          <t>À intégrer après validation du prototype</t>
        </is>
      </c>
      <c r="Q190" t="inlineStr">
        <is>
          <t>Cromwell IV : véhicule de catégorie « Chars de croisière », d'origine Royaume-Uni. Motorisation recensée : V12 essence Rolls-Royce Meteor. Fiche de catalogue à compléter avec le rôle tactique et les caractéristiques de jeu.</t>
        </is>
      </c>
    </row>
    <row r="191" ht="42" customHeight="1">
      <c r="A191" s="8" t="inlineStr">
        <is>
          <t>Chars de croisière</t>
        </is>
      </c>
      <c r="B191" s="8" t="inlineStr">
        <is>
          <t>Centaur IV</t>
        </is>
      </c>
      <c r="C191" s="8" t="inlineStr">
        <is>
          <t>Royaume-Uni</t>
        </is>
      </c>
      <c r="D191" s="8" t="inlineStr">
        <is>
          <t>Chars de croisière</t>
        </is>
      </c>
      <c r="E191" s="8" t="n"/>
      <c r="F191" s="8" t="inlineStr">
        <is>
          <t>V12 essence Liberty (Centaur)</t>
        </is>
      </c>
      <c r="G191" s="8" t="inlineStr">
        <is>
          <t>À normaliser après vérification</t>
        </is>
      </c>
      <c r="H191" s="8" t="inlineStr">
        <is>
          <t>À définir séparément des compatibilités historiques</t>
        </is>
      </c>
      <c r="I191" s="8" t="inlineStr">
        <is>
          <t>À vérifier</t>
        </is>
      </c>
      <c r="J191" s="8" t="inlineStr">
        <is>
          <t>À distinguer du Cromwell équipé du Meteor.</t>
        </is>
      </c>
      <c r="K191" s="8" t="inlineStr">
        <is>
          <t>https://tankmuseum.org/tank-nuts/tank-collection/centaur</t>
        </is>
      </c>
      <c r="L191" s="8" t="inlineStr">
        <is>
          <t>Armement historique à déterminer précisément pour ce modèle/sa variante</t>
        </is>
      </c>
      <c r="M191" s="8" t="inlineStr">
        <is>
          <t>Ne récupérer une arme que si elle est présente, identifiable et démontable; vérifier le calibre</t>
        </is>
      </c>
      <c r="N191" s="8" t="inlineStr">
        <is>
          <t>À vérifier</t>
        </is>
      </c>
      <c r="O191" s="8" t="inlineStr">
        <is>
          <t>Non — contenu ultérieur</t>
        </is>
      </c>
      <c r="P191" s="8" t="inlineStr">
        <is>
          <t>À intégrer après validation du prototype</t>
        </is>
      </c>
      <c r="Q191" t="inlineStr">
        <is>
          <t>Centaur IV : véhicule de catégorie « Chars de croisière », d'origine Royaume-Uni. Motorisation recensée : V12 essence Liberty (Centaur). Variante historique à vérifier avant validation définitive.</t>
        </is>
      </c>
    </row>
    <row r="192" ht="42" customHeight="1">
      <c r="A192" s="8" t="inlineStr">
        <is>
          <t>Chars de croisière</t>
        </is>
      </c>
      <c r="B192" s="8" t="inlineStr">
        <is>
          <t>Comet A34</t>
        </is>
      </c>
      <c r="C192" s="8" t="inlineStr">
        <is>
          <t>Royaume-Uni</t>
        </is>
      </c>
      <c r="D192" s="8" t="inlineStr">
        <is>
          <t>Chars de croisière</t>
        </is>
      </c>
      <c r="E192" s="8" t="n"/>
      <c r="F192" s="8" t="inlineStr">
        <is>
          <t>V12 essence Rolls-Royce Meteor</t>
        </is>
      </c>
      <c r="G192" s="8" t="inlineStr">
        <is>
          <t>À normaliser après vérification</t>
        </is>
      </c>
      <c r="H192" s="8" t="inlineStr">
        <is>
          <t>À définir séparément des compatibilités historiques</t>
        </is>
      </c>
      <c r="I192" s="8" t="inlineStr">
        <is>
          <t>Documenté</t>
        </is>
      </c>
      <c r="J192" s="8" t="inlineStr">
        <is>
          <t>Famille Meteor, conception antérieure à 1945.</t>
        </is>
      </c>
      <c r="K192" s="8" t="inlineStr">
        <is>
          <t>https://tankmuseum.org/tank-nuts/tank-collection/comet</t>
        </is>
      </c>
      <c r="L192" s="8" t="inlineStr">
        <is>
          <t>Armement historique à déterminer précisément pour ce modèle/sa variante</t>
        </is>
      </c>
      <c r="M192" s="8" t="inlineStr">
        <is>
          <t>Ne récupérer une arme que si elle est présente, identifiable et démontable; vérifier le calibre</t>
        </is>
      </c>
      <c r="N192" s="8" t="inlineStr">
        <is>
          <t>À vérifier</t>
        </is>
      </c>
      <c r="O192" s="8" t="inlineStr">
        <is>
          <t>Non — contenu ultérieur</t>
        </is>
      </c>
      <c r="P192" s="8" t="inlineStr">
        <is>
          <t>À intégrer après validation du prototype</t>
        </is>
      </c>
      <c r="Q192" t="inlineStr">
        <is>
          <t>Comet A34 : véhicule de catégorie « Chars de croisière », d'origine Royaume-Uni. Motorisation recensée : V12 essence Rolls-Royce Meteor. Fiche de catalogue à compléter avec le rôle tactique et les caractéristiques de jeu.</t>
        </is>
      </c>
    </row>
    <row r="193" ht="42" customHeight="1">
      <c r="A193" s="8" t="inlineStr">
        <is>
          <t>Chars légers et chars anciens</t>
        </is>
      </c>
      <c r="B193" s="8" t="inlineStr">
        <is>
          <t>Tetrarch</t>
        </is>
      </c>
      <c r="C193" s="8" t="inlineStr">
        <is>
          <t>Royaume-Uni</t>
        </is>
      </c>
      <c r="D193" s="8" t="inlineStr">
        <is>
          <t>Chars légers et chars anciens</t>
        </is>
      </c>
      <c r="E193" s="8" t="n"/>
      <c r="F193" s="8" t="inlineStr">
        <is>
          <t>12 cylindres essence Meadows</t>
        </is>
      </c>
      <c r="G193" s="8" t="inlineStr">
        <is>
          <t>À normaliser après vérification</t>
        </is>
      </c>
      <c r="H193" s="8" t="inlineStr">
        <is>
          <t>À définir séparément des compatibilités historiques</t>
        </is>
      </c>
      <c r="I193" s="8" t="inlineStr">
        <is>
          <t>À vérifier</t>
        </is>
      </c>
      <c r="J193" s="8" t="inlineStr">
        <is>
          <t>Char léger aéroportable.</t>
        </is>
      </c>
      <c r="K193" s="8" t="inlineStr">
        <is>
          <t>https://tankmuseum.org/tank-nuts/tank-collection/tetrarch</t>
        </is>
      </c>
      <c r="L193" s="8" t="inlineStr">
        <is>
          <t>Armement historique à déterminer précisément pour ce modèle/sa variante</t>
        </is>
      </c>
      <c r="M193" s="8" t="inlineStr">
        <is>
          <t>Ne récupérer une arme que si elle est présente, identifiable et démontable; vérifier le calibre</t>
        </is>
      </c>
      <c r="N193" s="8" t="inlineStr">
        <is>
          <t>À vérifier</t>
        </is>
      </c>
      <c r="O193" s="8" t="inlineStr">
        <is>
          <t>Non — contenu ultérieur</t>
        </is>
      </c>
      <c r="P193" s="8" t="inlineStr">
        <is>
          <t>À intégrer après validation du prototype</t>
        </is>
      </c>
      <c r="Q193" t="inlineStr">
        <is>
          <t>Tetrarch : véhicule de catégorie « Chars légers et chars anciens », d'origine Royaume-Uni. Motorisation recensée : 12 cylindres essence Meadows. Variante historique à vérifier avant validation définitive.</t>
        </is>
      </c>
    </row>
    <row r="194" ht="42" customHeight="1">
      <c r="A194" s="8" t="inlineStr">
        <is>
          <t>Chasseurs de chars et canons automoteurs</t>
        </is>
      </c>
      <c r="B194" s="8" t="inlineStr">
        <is>
          <t>Archer</t>
        </is>
      </c>
      <c r="C194" s="8" t="inlineStr">
        <is>
          <t>Royaume-Uni</t>
        </is>
      </c>
      <c r="D194" s="8" t="inlineStr">
        <is>
          <t>Chasseurs de chars et canons automoteurs</t>
        </is>
      </c>
      <c r="E194" s="8" t="n"/>
      <c r="F194" s="8" t="inlineStr">
        <is>
          <t>6 cylindres diesel GMC (famille à confirmer)</t>
        </is>
      </c>
      <c r="G194" s="8" t="inlineStr">
        <is>
          <t>À normaliser après vérification</t>
        </is>
      </c>
      <c r="H194" s="8" t="inlineStr">
        <is>
          <t>À définir séparément des compatibilités historiques</t>
        </is>
      </c>
      <c r="I194" s="8" t="inlineStr">
        <is>
          <t>À vérifier</t>
        </is>
      </c>
      <c r="J194" s="8" t="inlineStr">
        <is>
          <t>Canon automoteur à canon orienté vers l'arrière.</t>
        </is>
      </c>
      <c r="K194" s="8" t="inlineStr">
        <is>
          <t>https://tankmuseum.org/tank-nuts/tank-collection/archer</t>
        </is>
      </c>
      <c r="L194" s="8" t="inlineStr">
        <is>
          <t>Armement historique à déterminer précisément pour ce modèle/sa variante</t>
        </is>
      </c>
      <c r="M194" s="8" t="inlineStr">
        <is>
          <t>Ne récupérer une arme que si elle est présente, identifiable et démontable; vérifier le calibre</t>
        </is>
      </c>
      <c r="N194" s="8" t="inlineStr">
        <is>
          <t>À vérifier</t>
        </is>
      </c>
      <c r="O194" s="8" t="inlineStr">
        <is>
          <t>Non — contenu ultérieur</t>
        </is>
      </c>
      <c r="P194" s="8" t="inlineStr">
        <is>
          <t>À intégrer après validation du prototype</t>
        </is>
      </c>
      <c r="Q194" t="inlineStr">
        <is>
          <t>Archer : véhicule de catégorie « Chasseurs de chars et canons automoteurs », d'origine Royaume-Uni. Motorisation recensée : 6 cylindres diesel GMC (famille à confirmer). Variante historique à vérifier avant validation définitive.</t>
        </is>
      </c>
    </row>
    <row r="195" ht="42" customHeight="1">
      <c r="A195" s="8" t="inlineStr">
        <is>
          <t>Chasseurs de chars et canons automoteurs</t>
        </is>
      </c>
      <c r="B195" s="8" t="inlineStr">
        <is>
          <t>Bishop</t>
        </is>
      </c>
      <c r="C195" s="8" t="inlineStr">
        <is>
          <t>Royaume-Uni</t>
        </is>
      </c>
      <c r="D195" s="8" t="inlineStr">
        <is>
          <t>Chasseurs de chars et canons automoteurs</t>
        </is>
      </c>
      <c r="E195" s="8" t="n"/>
      <c r="F195" s="8" t="inlineStr">
        <is>
          <t>V12 essence Bedford flat-12</t>
        </is>
      </c>
      <c r="G195" s="8" t="inlineStr">
        <is>
          <t>À normaliser après vérification</t>
        </is>
      </c>
      <c r="H195" s="8" t="inlineStr">
        <is>
          <t>À définir séparément des compatibilités historiques</t>
        </is>
      </c>
      <c r="I195" s="8" t="inlineStr">
        <is>
          <t>À vérifier</t>
        </is>
      </c>
      <c r="J195" s="8" t="inlineStr">
        <is>
          <t>Canon automoteur sur châssis Valentine.</t>
        </is>
      </c>
      <c r="K195" s="8" t="inlineStr">
        <is>
          <t>https://tanks-encyclopedia.com/ww2/gb/bishop/</t>
        </is>
      </c>
      <c r="L195" s="8" t="inlineStr">
        <is>
          <t>Armement historique à déterminer précisément pour ce modèle/sa variante</t>
        </is>
      </c>
      <c r="M195" s="8" t="inlineStr">
        <is>
          <t>Ne récupérer une arme que si elle est présente, identifiable et démontable; vérifier le calibre</t>
        </is>
      </c>
      <c r="N195" s="8" t="inlineStr">
        <is>
          <t>À vérifier</t>
        </is>
      </c>
      <c r="O195" s="8" t="inlineStr">
        <is>
          <t>Non — contenu ultérieur</t>
        </is>
      </c>
      <c r="P195" s="8" t="inlineStr">
        <is>
          <t>À intégrer après validation du prototype</t>
        </is>
      </c>
      <c r="Q195" t="inlineStr">
        <is>
          <t>Bishop : véhicule de catégorie « Chasseurs de chars et canons automoteurs », d'origine Royaume-Uni. Motorisation recensée : V12 essence Bedford flat-12. Variante historique à vérifier avant validation définitive.</t>
        </is>
      </c>
    </row>
    <row r="196" ht="42" customHeight="1">
      <c r="A196" s="8" t="inlineStr">
        <is>
          <t>Chasseurs de chars et canons automoteurs</t>
        </is>
      </c>
      <c r="B196" s="8" t="inlineStr">
        <is>
          <t>Sexton</t>
        </is>
      </c>
      <c r="C196" s="8" t="inlineStr">
        <is>
          <t>Canada/Royaume-Uni</t>
        </is>
      </c>
      <c r="D196" s="8" t="inlineStr">
        <is>
          <t>Chasseurs de chars et canons automoteurs</t>
        </is>
      </c>
      <c r="E196" s="8" t="n"/>
      <c r="F196" s="8" t="inlineStr">
        <is>
          <t>2 moteurs 6 cylindres essence GMC 6046 sur variantes canadiennes (à confirmer)</t>
        </is>
      </c>
      <c r="G196" s="8" t="inlineStr">
        <is>
          <t>À normaliser après vérification</t>
        </is>
      </c>
      <c r="H196" s="8" t="inlineStr">
        <is>
          <t>À définir séparément des compatibilités historiques</t>
        </is>
      </c>
      <c r="I196" s="8" t="inlineStr">
        <is>
          <t>À vérifier</t>
        </is>
      </c>
      <c r="J196" s="8" t="inlineStr">
        <is>
          <t>Châssis Ram ; distinguer variantes et groupe moteur.</t>
        </is>
      </c>
      <c r="K196" s="8" t="inlineStr">
        <is>
          <t>https://tanks-encyclopedia.com/ww2/canada/ram-sexton/</t>
        </is>
      </c>
      <c r="L196" s="8" t="inlineStr">
        <is>
          <t>Armement historique à déterminer précisément pour ce modèle/sa variante</t>
        </is>
      </c>
      <c r="M196" s="8" t="inlineStr">
        <is>
          <t>Ne récupérer une arme que si elle est présente, identifiable et démontable; vérifier le calibre</t>
        </is>
      </c>
      <c r="N196" s="8" t="inlineStr">
        <is>
          <t>À vérifier</t>
        </is>
      </c>
      <c r="O196" s="8" t="inlineStr">
        <is>
          <t>Non — contenu ultérieur</t>
        </is>
      </c>
      <c r="P196" s="8" t="inlineStr">
        <is>
          <t>À intégrer après validation du prototype</t>
        </is>
      </c>
      <c r="Q196" t="inlineStr">
        <is>
          <t>Sexton : véhicule de catégorie « Chasseurs de chars et canons automoteurs », d'origine Canada/Royaume-Uni. Motorisation recensée : 2 moteurs 6 cylindres essence GMC 6046 sur variantes canadiennes (à confirmer). Variante historique à vérifier avant validation définitive.</t>
        </is>
      </c>
    </row>
    <row r="197" ht="42" customHeight="1">
      <c r="A197" s="8" t="inlineStr">
        <is>
          <t>Chars légers et chars anciens</t>
        </is>
      </c>
      <c r="B197" s="8" t="inlineStr">
        <is>
          <t>M2 Light Tank</t>
        </is>
      </c>
      <c r="C197" s="8" t="inlineStr">
        <is>
          <t>États-Unis</t>
        </is>
      </c>
      <c r="D197" s="8" t="inlineStr">
        <is>
          <t>Chars légers et chars anciens</t>
        </is>
      </c>
      <c r="E197" s="8" t="n"/>
      <c r="F197" s="8" t="inlineStr">
        <is>
          <t>7 cylindres en étoile essence Continental W-670</t>
        </is>
      </c>
      <c r="G197" s="8" t="inlineStr">
        <is>
          <t>À normaliser après vérification</t>
        </is>
      </c>
      <c r="H197" s="8" t="inlineStr">
        <is>
          <t>À définir séparément des compatibilités historiques</t>
        </is>
      </c>
      <c r="I197" s="8" t="inlineStr">
        <is>
          <t>Documenté</t>
        </is>
      </c>
      <c r="J197" s="8" t="inlineStr">
        <is>
          <t>Moteur radial ; famille intéressante et visuellement distinctive.</t>
        </is>
      </c>
      <c r="K197" s="8" t="inlineStr">
        <is>
          <t>https://tanks-encyclopedia.com/ww2/us/m2-light-tank/</t>
        </is>
      </c>
      <c r="L197" s="8" t="inlineStr">
        <is>
          <t>Mitrailleuses Browning .30; armement variable selon variante</t>
        </is>
      </c>
      <c r="M197" s="8" t="inlineStr">
        <is>
          <t>Mitrailleuses et affûts</t>
        </is>
      </c>
      <c r="N197" s="8" t="inlineStr">
        <is>
          <t>Partiel</t>
        </is>
      </c>
      <c r="O197" s="8" t="inlineStr">
        <is>
          <t>Non — contenu ultérieur</t>
        </is>
      </c>
      <c r="P197" s="8" t="inlineStr">
        <is>
          <t>À intégrer après validation du prototype</t>
        </is>
      </c>
      <c r="Q197" t="inlineStr">
        <is>
          <t>M2 Light Tank : véhicule de catégorie « Chars légers et chars anciens », d'origine États-Unis. Motorisation recensée : 7 cylindres en étoile essence Continental W-670. Fiche de catalogue à compléter avec le rôle tactique et les caractéristiques de jeu.</t>
        </is>
      </c>
    </row>
    <row r="198" ht="42" customHeight="1">
      <c r="A198" s="8" t="inlineStr">
        <is>
          <t>Chars moyens</t>
        </is>
      </c>
      <c r="B198" s="8" t="inlineStr">
        <is>
          <t>M2 Medium Tank</t>
        </is>
      </c>
      <c r="C198" s="8" t="inlineStr">
        <is>
          <t>États-Unis</t>
        </is>
      </c>
      <c r="D198" s="8" t="inlineStr">
        <is>
          <t>Chars moyens</t>
        </is>
      </c>
      <c r="E198" s="8" t="n"/>
      <c r="F198" s="8" t="inlineStr">
        <is>
          <t>9 cylindres en étoile essence Wright R-975</t>
        </is>
      </c>
      <c r="G198" s="8" t="inlineStr">
        <is>
          <t>À normaliser après vérification</t>
        </is>
      </c>
      <c r="H198" s="8" t="inlineStr">
        <is>
          <t>À définir séparément des compatibilités historiques</t>
        </is>
      </c>
      <c r="I198" s="8" t="inlineStr">
        <is>
          <t>Documenté</t>
        </is>
      </c>
      <c r="J198" s="8" t="inlineStr">
        <is>
          <t>Moteur radial réutilisé sur plusieurs véhicules américains.</t>
        </is>
      </c>
      <c r="K198" s="8" t="inlineStr">
        <is>
          <t>https://tanks-encyclopedia.com/ww2/us/m2-medium-tank/</t>
        </is>
      </c>
      <c r="L198" s="8" t="inlineStr">
        <is>
          <t>Armement historique à déterminer précisément pour ce modèle/sa variante</t>
        </is>
      </c>
      <c r="M198" s="8" t="inlineStr">
        <is>
          <t>Ne récupérer une arme que si elle est présente, identifiable et démontable; vérifier le calibre</t>
        </is>
      </c>
      <c r="N198" s="8" t="inlineStr">
        <is>
          <t>À vérifier</t>
        </is>
      </c>
      <c r="O198" s="8" t="inlineStr">
        <is>
          <t>Non — contenu ultérieur</t>
        </is>
      </c>
      <c r="P198" s="8" t="inlineStr">
        <is>
          <t>À intégrer après validation du prototype</t>
        </is>
      </c>
      <c r="Q198" t="inlineStr">
        <is>
          <t>M2 Medium Tank : véhicule de catégorie « Chars moyens », d'origine États-Unis. Motorisation recensée : 9 cylindres en étoile essence Wright R-975. Fiche de catalogue à compléter avec le rôle tactique et les caractéristiques de jeu.</t>
        </is>
      </c>
    </row>
    <row r="199" ht="42" customHeight="1">
      <c r="A199" s="14" t="inlineStr">
        <is>
          <t>Chars moyens</t>
        </is>
      </c>
      <c r="B199" s="11" t="inlineStr">
        <is>
          <t>M4 Sherman M4/M4A1</t>
        </is>
      </c>
      <c r="C199" s="14" t="inlineStr">
        <is>
          <t>États-Unis</t>
        </is>
      </c>
      <c r="D199" s="14" t="inlineStr">
        <is>
          <t>Chars moyens</t>
        </is>
      </c>
      <c r="E199" s="14" t="n"/>
      <c r="F199" s="14" t="inlineStr">
        <is>
          <t>9 cylindres en étoile Continental R-975</t>
        </is>
      </c>
      <c r="G199" s="14" t="inlineStr">
        <is>
          <t>À normaliser après vérification</t>
        </is>
      </c>
      <c r="H199" s="14" t="inlineStr">
        <is>
          <t>À définir séparément des compatibilités historiques</t>
        </is>
      </c>
      <c r="I199" s="14" t="inlineStr">
        <is>
          <t>Documenté</t>
        </is>
      </c>
      <c r="J199" s="14" t="inlineStr">
        <is>
          <t>Moteur radial essence sur versions précoces et M4A1.</t>
        </is>
      </c>
      <c r="K199" s="14" t="inlineStr">
        <is>
          <t>https://www.nationalww2museum.org/visit/museum-campus-guide/us-freedom-pavilion/vehicles-war/m4-sherman-tank</t>
        </is>
      </c>
      <c r="L199" s="14" t="inlineStr">
        <is>
          <t>Canon de 75 mm M3, 76 mm M1 ou obusier de 105 mm selon version; mitrailleuses Browning .30 et souvent .50</t>
        </is>
      </c>
      <c r="M199" s="14" t="inlineStr">
        <is>
          <t>Canon et mitrailleuses; identifier la tourelle/variante avant attribution</t>
        </is>
      </c>
      <c r="N199" s="14" t="inlineStr">
        <is>
          <t>Partiel</t>
        </is>
      </c>
      <c r="O199" s="11" t="inlineStr">
        <is>
          <t>OUI — PROTOTYPE</t>
        </is>
      </c>
      <c r="P199" s="14" t="inlineStr">
        <is>
          <t>Char de combat polyvalent</t>
        </is>
      </c>
      <c r="Q199" t="inlineStr">
        <is>
          <t>M4 Sherman M4/M4A1 : véhicule de catégorie « Chars moyens », d'origine États-Unis. Motorisation recensée : 9 cylindres en étoile Continental R-975. Fiche de catalogue à compléter avec le rôle tactique et les caractéristiques de jeu.</t>
        </is>
      </c>
    </row>
    <row r="200" ht="42" customHeight="1">
      <c r="A200" s="14" t="inlineStr">
        <is>
          <t>Chars moyens</t>
        </is>
      </c>
      <c r="B200" s="11" t="inlineStr">
        <is>
          <t>M4 Sherman M4A2</t>
        </is>
      </c>
      <c r="C200" s="14" t="inlineStr">
        <is>
          <t>États-Unis</t>
        </is>
      </c>
      <c r="D200" s="14" t="inlineStr">
        <is>
          <t>Chars moyens</t>
        </is>
      </c>
      <c r="E200" s="14" t="n"/>
      <c r="F200" s="14" t="inlineStr">
        <is>
          <t>2 moteurs diesel 6 cylindres en ligne GM 6-71 couplés</t>
        </is>
      </c>
      <c r="G200" s="14" t="inlineStr">
        <is>
          <t>À normaliser après vérification</t>
        </is>
      </c>
      <c r="H200" s="14" t="inlineStr">
        <is>
          <t>À définir séparément des compatibilités historiques</t>
        </is>
      </c>
      <c r="I200" s="14" t="inlineStr">
        <is>
          <t>Documenté</t>
        </is>
      </c>
      <c r="J200" s="14" t="inlineStr">
        <is>
          <t>Deux diesels en tandem : exemple central pour le système multimoteur.</t>
        </is>
      </c>
      <c r="K200" s="14" t="inlineStr">
        <is>
          <t>https://tanks-encyclopedia.com/ww2/us/m4-sherman/</t>
        </is>
      </c>
      <c r="L200" s="14" t="inlineStr">
        <is>
          <t>Canon de 75 mm M3, 76 mm M1 ou obusier de 105 mm selon version; mitrailleuses Browning .30 et souvent .50</t>
        </is>
      </c>
      <c r="M200" s="14" t="inlineStr">
        <is>
          <t>Canon et mitrailleuses; identifier la tourelle/variante avant attribution</t>
        </is>
      </c>
      <c r="N200" s="14" t="inlineStr">
        <is>
          <t>Partiel</t>
        </is>
      </c>
      <c r="O200" s="11" t="inlineStr">
        <is>
          <t>OUI — PROTOTYPE</t>
        </is>
      </c>
      <c r="P200" s="14" t="inlineStr">
        <is>
          <t>Char de combat polyvalent</t>
        </is>
      </c>
      <c r="Q200" t="inlineStr">
        <is>
          <t>M4 Sherman M4A2 : véhicule de catégorie « Chars moyens », d'origine États-Unis. Motorisation recensée : 2 moteurs diesel 6 cylindres en ligne GM 6-71 couplés. Fiche de catalogue à compléter avec le rôle tactique et les caractéristiques de jeu.</t>
        </is>
      </c>
    </row>
    <row r="201" ht="42" customHeight="1">
      <c r="A201" s="14" t="inlineStr">
        <is>
          <t>Chars moyens</t>
        </is>
      </c>
      <c r="B201" s="11" t="inlineStr">
        <is>
          <t>M4 Sherman M4A3</t>
        </is>
      </c>
      <c r="C201" s="14" t="inlineStr">
        <is>
          <t>États-Unis</t>
        </is>
      </c>
      <c r="D201" s="14" t="inlineStr">
        <is>
          <t>Chars moyens</t>
        </is>
      </c>
      <c r="E201" s="14" t="n"/>
      <c r="F201" s="14" t="inlineStr">
        <is>
          <t>V8 essence Ford GAA</t>
        </is>
      </c>
      <c r="G201" s="14" t="inlineStr">
        <is>
          <t>À normaliser après vérification</t>
        </is>
      </c>
      <c r="H201" s="14" t="inlineStr">
        <is>
          <t>À définir séparément des compatibilités historiques</t>
        </is>
      </c>
      <c r="I201" s="14" t="inlineStr">
        <is>
          <t>Documenté</t>
        </is>
      </c>
      <c r="J201" s="14" t="inlineStr">
        <is>
          <t>V8 Ford GAA, puissant, différent des moteurs radiaux.</t>
        </is>
      </c>
      <c r="K201" s="14" t="inlineStr">
        <is>
          <t>https://www.nationalww2museum.org/visit/museum-campus-guide/us-freedom-pavilion/vehicles-war/m4-sherman-tank</t>
        </is>
      </c>
      <c r="L201" s="14" t="inlineStr">
        <is>
          <t>Canon de 75 mm M3, 76 mm M1 ou obusier de 105 mm selon version; mitrailleuses Browning .30 et souvent .50</t>
        </is>
      </c>
      <c r="M201" s="14" t="inlineStr">
        <is>
          <t>Canon et mitrailleuses; identifier la tourelle/variante avant attribution</t>
        </is>
      </c>
      <c r="N201" s="14" t="inlineStr">
        <is>
          <t>Partiel</t>
        </is>
      </c>
      <c r="O201" s="11" t="inlineStr">
        <is>
          <t>OUI — PROTOTYPE</t>
        </is>
      </c>
      <c r="P201" s="14" t="inlineStr">
        <is>
          <t>Char de combat polyvalent</t>
        </is>
      </c>
      <c r="Q201" t="inlineStr">
        <is>
          <t>M4 Sherman M4A3 : véhicule de catégorie « Chars moyens », d'origine États-Unis. Motorisation recensée : V8 essence Ford GAA. Fiche de catalogue à compléter avec le rôle tactique et les caractéristiques de jeu.</t>
        </is>
      </c>
    </row>
    <row r="202" ht="42" customHeight="1">
      <c r="A202" s="14" t="inlineStr">
        <is>
          <t>Chars moyens</t>
        </is>
      </c>
      <c r="B202" s="11" t="inlineStr">
        <is>
          <t>M4 Sherman M4A4</t>
        </is>
      </c>
      <c r="C202" s="14" t="inlineStr">
        <is>
          <t>États-Unis</t>
        </is>
      </c>
      <c r="D202" s="14" t="inlineStr">
        <is>
          <t>Chars moyens</t>
        </is>
      </c>
      <c r="E202" s="14" t="n"/>
      <c r="F202" s="14" t="inlineStr">
        <is>
          <t>5 moteurs 6 cylindres en ligne Chrysler A57 Multibank assemblés</t>
        </is>
      </c>
      <c r="G202" s="14" t="inlineStr">
        <is>
          <t>À normaliser après vérification</t>
        </is>
      </c>
      <c r="H202" s="14" t="inlineStr">
        <is>
          <t>À définir séparément des compatibilités historiques</t>
        </is>
      </c>
      <c r="I202" s="14" t="inlineStr">
        <is>
          <t>Documenté</t>
        </is>
      </c>
      <c r="J202" s="14" t="inlineStr">
        <is>
          <t>Configuration multibloc spectaculaire : cinq blocs I6 assemblés.</t>
        </is>
      </c>
      <c r="K202" s="14" t="inlineStr">
        <is>
          <t>https://tanks-encyclopedia.com/ww2/us/m4-sherman/</t>
        </is>
      </c>
      <c r="L202" s="14" t="inlineStr">
        <is>
          <t>Canon de 75 mm M3, 76 mm M1 ou obusier de 105 mm selon version; mitrailleuses Browning .30 et souvent .50</t>
        </is>
      </c>
      <c r="M202" s="14" t="inlineStr">
        <is>
          <t>Canon et mitrailleuses; identifier la tourelle/variante avant attribution</t>
        </is>
      </c>
      <c r="N202" s="14" t="inlineStr">
        <is>
          <t>Partiel</t>
        </is>
      </c>
      <c r="O202" s="11" t="inlineStr">
        <is>
          <t>OUI — PROTOTYPE</t>
        </is>
      </c>
      <c r="P202" s="14" t="inlineStr">
        <is>
          <t>Char de combat polyvalent</t>
        </is>
      </c>
      <c r="Q202" t="inlineStr">
        <is>
          <t>M4 Sherman M4A4 : véhicule de catégorie « Chars moyens », d'origine États-Unis. Motorisation recensée : 5 moteurs 6 cylindres en ligne Chrysler A57 Multibank assemblés. Fiche de catalogue à compléter avec le rôle tactique et les caractéristiques de jeu.</t>
        </is>
      </c>
    </row>
    <row r="203" ht="42" customHeight="1">
      <c r="A203" s="8" t="inlineStr">
        <is>
          <t>Chars lourds et prototypes</t>
        </is>
      </c>
      <c r="B203" s="8" t="inlineStr">
        <is>
          <t>M6 Heavy Tank</t>
        </is>
      </c>
      <c r="C203" s="8" t="inlineStr">
        <is>
          <t>États-Unis</t>
        </is>
      </c>
      <c r="D203" s="8" t="inlineStr">
        <is>
          <t>Chars lourds et prototypes</t>
        </is>
      </c>
      <c r="E203" s="8" t="n"/>
      <c r="F203" s="8" t="inlineStr">
        <is>
          <t>V8 essence Wright G-200 (famille à confirmer)</t>
        </is>
      </c>
      <c r="G203" s="8" t="inlineStr">
        <is>
          <t>À normaliser après vérification</t>
        </is>
      </c>
      <c r="H203" s="8" t="inlineStr">
        <is>
          <t>À définir séparément des compatibilités historiques</t>
        </is>
      </c>
      <c r="I203" s="8" t="inlineStr">
        <is>
          <t>À vérifier</t>
        </is>
      </c>
      <c r="J203" s="8" t="inlineStr">
        <is>
          <t>Char lourd produit en faible nombre.</t>
        </is>
      </c>
      <c r="K203" s="8" t="inlineStr">
        <is>
          <t>https://tanks-encyclopedia.com/ww2/us/m6-heavy-tank/</t>
        </is>
      </c>
      <c r="L203" s="8" t="inlineStr">
        <is>
          <t>Armement historique à déterminer précisément pour ce modèle/sa variante</t>
        </is>
      </c>
      <c r="M203" s="8" t="inlineStr">
        <is>
          <t>Ne récupérer une arme que si elle est présente, identifiable et démontable; vérifier le calibre</t>
        </is>
      </c>
      <c r="N203" s="8" t="inlineStr">
        <is>
          <t>À vérifier</t>
        </is>
      </c>
      <c r="O203" s="8" t="inlineStr">
        <is>
          <t>Non — contenu ultérieur</t>
        </is>
      </c>
      <c r="P203" s="8" t="inlineStr">
        <is>
          <t>À intégrer après validation du prototype</t>
        </is>
      </c>
      <c r="Q203" t="inlineStr">
        <is>
          <t>M6 Heavy Tank : véhicule de catégorie « Chars lourds et prototypes », d'origine États-Unis. Motorisation recensée : V8 essence Wright G-200 (famille à confirmer). Variante historique à vérifier avant validation définitive.</t>
        </is>
      </c>
    </row>
    <row r="204" ht="42" customHeight="1">
      <c r="A204" s="8" t="inlineStr">
        <is>
          <t>Chars lourds et prototypes</t>
        </is>
      </c>
      <c r="B204" s="8" t="inlineStr">
        <is>
          <t>M26 Pershing</t>
        </is>
      </c>
      <c r="C204" s="8" t="inlineStr">
        <is>
          <t>États-Unis</t>
        </is>
      </c>
      <c r="D204" s="8" t="inlineStr">
        <is>
          <t>Chars lourds et prototypes</t>
        </is>
      </c>
      <c r="E204" s="8" t="n"/>
      <c r="F204" s="8" t="inlineStr">
        <is>
          <t>V8 essence Ford GAF</t>
        </is>
      </c>
      <c r="G204" s="8" t="inlineStr">
        <is>
          <t>À normaliser après vérification</t>
        </is>
      </c>
      <c r="H204" s="8" t="inlineStr">
        <is>
          <t>À définir séparément des compatibilités historiques</t>
        </is>
      </c>
      <c r="I204" s="8" t="inlineStr">
        <is>
          <t>Documenté</t>
        </is>
      </c>
      <c r="J204" s="8" t="inlineStr">
        <is>
          <t>Conçu pendant la guerre ; service limité en 1945.</t>
        </is>
      </c>
      <c r="K204" s="8" t="inlineStr">
        <is>
          <t>https://tanks-encyclopedia.com/ww2/us/m26-pershing/</t>
        </is>
      </c>
      <c r="L204" s="8" t="inlineStr">
        <is>
          <t>Armement historique à déterminer précisément pour ce modèle/sa variante</t>
        </is>
      </c>
      <c r="M204" s="8" t="inlineStr">
        <is>
          <t>Ne récupérer une arme que si elle est présente, identifiable et démontable; vérifier le calibre</t>
        </is>
      </c>
      <c r="N204" s="8" t="inlineStr">
        <is>
          <t>À vérifier</t>
        </is>
      </c>
      <c r="O204" s="8" t="inlineStr">
        <is>
          <t>Non — contenu ultérieur</t>
        </is>
      </c>
      <c r="P204" s="8" t="inlineStr">
        <is>
          <t>À intégrer après validation du prototype</t>
        </is>
      </c>
      <c r="Q204" t="inlineStr">
        <is>
          <t>M26 Pershing : véhicule de catégorie « Chars lourds et prototypes », d'origine États-Unis. Motorisation recensée : V8 essence Ford GAF. Fiche de catalogue à compléter avec le rôle tactique et les caractéristiques de jeu.</t>
        </is>
      </c>
    </row>
    <row r="205" ht="42" customHeight="1">
      <c r="A205" s="8" t="inlineStr">
        <is>
          <t>Chasseurs de chars et canons automoteurs</t>
        </is>
      </c>
      <c r="B205" s="8" t="inlineStr">
        <is>
          <t>M7 Priest</t>
        </is>
      </c>
      <c r="C205" s="8" t="inlineStr">
        <is>
          <t>États-Unis</t>
        </is>
      </c>
      <c r="D205" s="8" t="inlineStr">
        <is>
          <t>Chasseurs de chars et canons automoteurs</t>
        </is>
      </c>
      <c r="E205" s="8" t="n"/>
      <c r="F205" s="8" t="inlineStr">
        <is>
          <t>9 cylindres en étoile Continental R-975</t>
        </is>
      </c>
      <c r="G205" s="8" t="inlineStr">
        <is>
          <t>À normaliser après vérification</t>
        </is>
      </c>
      <c r="H205" s="8" t="inlineStr">
        <is>
          <t>À définir séparément des compatibilités historiques</t>
        </is>
      </c>
      <c r="I205" s="8" t="inlineStr">
        <is>
          <t>À vérifier</t>
        </is>
      </c>
      <c r="J205" s="8" t="inlineStr">
        <is>
          <t>Canon automoteur sur châssis M3/M4.</t>
        </is>
      </c>
      <c r="K205" s="8" t="inlineStr">
        <is>
          <t>https://tanks-encyclopedia.com/ww2/us/m7-priest/</t>
        </is>
      </c>
      <c r="L205" s="8" t="inlineStr">
        <is>
          <t>Armement historique à déterminer précisément pour ce modèle/sa variante</t>
        </is>
      </c>
      <c r="M205" s="8" t="inlineStr">
        <is>
          <t>Ne récupérer une arme que si elle est présente, identifiable et démontable; vérifier le calibre</t>
        </is>
      </c>
      <c r="N205" s="8" t="inlineStr">
        <is>
          <t>À vérifier</t>
        </is>
      </c>
      <c r="O205" s="8" t="inlineStr">
        <is>
          <t>Non — contenu ultérieur</t>
        </is>
      </c>
      <c r="P205" s="8" t="inlineStr">
        <is>
          <t>À intégrer après validation du prototype</t>
        </is>
      </c>
      <c r="Q205" t="inlineStr">
        <is>
          <t>M7 Priest : véhicule de catégorie « Chasseurs de chars et canons automoteurs », d'origine États-Unis. Motorisation recensée : 9 cylindres en étoile Continental R-975. Variante historique à vérifier avant validation définitive.</t>
        </is>
      </c>
    </row>
    <row r="206" ht="42" customHeight="1">
      <c r="A206" s="8" t="inlineStr">
        <is>
          <t>Chasseurs de chars et canons automoteurs</t>
        </is>
      </c>
      <c r="B206" s="8" t="inlineStr">
        <is>
          <t>M8 Scott</t>
        </is>
      </c>
      <c r="C206" s="8" t="inlineStr">
        <is>
          <t>États-Unis</t>
        </is>
      </c>
      <c r="D206" s="8" t="inlineStr">
        <is>
          <t>Chasseurs de chars et canons automoteurs</t>
        </is>
      </c>
      <c r="E206" s="8" t="n"/>
      <c r="F206" s="8" t="inlineStr">
        <is>
          <t>9 cylindres en étoile Continental R-975</t>
        </is>
      </c>
      <c r="G206" s="8" t="inlineStr">
        <is>
          <t>À normaliser après vérification</t>
        </is>
      </c>
      <c r="H206" s="8" t="inlineStr">
        <is>
          <t>À définir séparément des compatibilités historiques</t>
        </is>
      </c>
      <c r="I206" s="8" t="inlineStr">
        <is>
          <t>À vérifier</t>
        </is>
      </c>
      <c r="J206" s="8" t="inlineStr">
        <is>
          <t>Canon automoteur léger.</t>
        </is>
      </c>
      <c r="K206" s="8" t="inlineStr">
        <is>
          <t>https://tanks-encyclopedia.com/ww2/us/m8-scott/</t>
        </is>
      </c>
      <c r="L206" s="8" t="inlineStr">
        <is>
          <t>Armement historique à déterminer précisément pour ce modèle/sa variante</t>
        </is>
      </c>
      <c r="M206" s="8" t="inlineStr">
        <is>
          <t>Ne récupérer une arme que si elle est présente, identifiable et démontable; vérifier le calibre</t>
        </is>
      </c>
      <c r="N206" s="8" t="inlineStr">
        <is>
          <t>À vérifier</t>
        </is>
      </c>
      <c r="O206" s="8" t="inlineStr">
        <is>
          <t>Non — contenu ultérieur</t>
        </is>
      </c>
      <c r="P206" s="8" t="inlineStr">
        <is>
          <t>À intégrer après validation du prototype</t>
        </is>
      </c>
      <c r="Q206" t="inlineStr">
        <is>
          <t>M8 Scott : véhicule de catégorie « Chasseurs de chars et canons automoteurs », d'origine États-Unis. Motorisation recensée : 9 cylindres en étoile Continental R-975. Variante historique à vérifier avant validation définitive.</t>
        </is>
      </c>
    </row>
    <row r="207" ht="42" customHeight="1">
      <c r="A207" s="8" t="inlineStr">
        <is>
          <t>Chars lourds et prototypes</t>
        </is>
      </c>
      <c r="B207" s="8" t="inlineStr">
        <is>
          <t>T28 / T95 Super Heavy Tank</t>
        </is>
      </c>
      <c r="C207" s="8" t="inlineStr">
        <is>
          <t>États-Unis</t>
        </is>
      </c>
      <c r="D207" s="8" t="inlineStr">
        <is>
          <t>Chars lourds et prototypes</t>
        </is>
      </c>
      <c r="E207" s="8" t="n"/>
      <c r="F207" s="8" t="inlineStr">
        <is>
          <t>V8 essence Ford GAF</t>
        </is>
      </c>
      <c r="G207" s="8" t="inlineStr">
        <is>
          <t>À normaliser après vérification</t>
        </is>
      </c>
      <c r="H207" s="8" t="inlineStr">
        <is>
          <t>À définir séparément des compatibilités historiques</t>
        </is>
      </c>
      <c r="I207" s="8" t="inlineStr">
        <is>
          <t>Prototype</t>
        </is>
      </c>
      <c r="J207" s="8" t="inlineStr">
        <is>
          <t>Projet développé avant 1945 ; quatre chenilles et architecture de propulsion complexe.</t>
        </is>
      </c>
      <c r="K207" s="8" t="inlineStr">
        <is>
          <t>https://tanks-encyclopedia.com/ww2/us/t28-super-heavy-tank/</t>
        </is>
      </c>
      <c r="L207" s="8" t="inlineStr">
        <is>
          <t>Armement historique à déterminer précisément pour ce modèle/sa variante</t>
        </is>
      </c>
      <c r="M207" s="8" t="inlineStr">
        <is>
          <t>Ne récupérer une arme que si elle est présente, identifiable et démontable; vérifier le calibre</t>
        </is>
      </c>
      <c r="N207" s="8" t="inlineStr">
        <is>
          <t>À vérifier</t>
        </is>
      </c>
      <c r="O207" s="8" t="inlineStr">
        <is>
          <t>Non — contenu ultérieur</t>
        </is>
      </c>
      <c r="P207" s="8" t="inlineStr">
        <is>
          <t>À intégrer après validation du prototype</t>
        </is>
      </c>
      <c r="Q207" t="inlineStr">
        <is>
          <t>T28 / T95 Super Heavy Tank : véhicule de catégorie « Chars lourds et prototypes », d'origine États-Unis. Motorisation recensée : V8 essence Ford GAF. Variante historique à vérifier avant validation définitive.</t>
        </is>
      </c>
    </row>
    <row r="208" ht="42" customHeight="1">
      <c r="A208" s="8" t="inlineStr">
        <is>
          <t>Chars légers et chars anciens</t>
        </is>
      </c>
      <c r="B208" s="8" t="inlineStr">
        <is>
          <t>BT-2</t>
        </is>
      </c>
      <c r="C208" s="8" t="inlineStr">
        <is>
          <t>URSS</t>
        </is>
      </c>
      <c r="D208" s="8" t="inlineStr">
        <is>
          <t>Chars légers et chars anciens</t>
        </is>
      </c>
      <c r="E208" s="8" t="n"/>
      <c r="F208" s="8" t="inlineStr">
        <is>
          <t>12 cylindres en V essence Liberty L-12</t>
        </is>
      </c>
      <c r="G208" s="8" t="inlineStr">
        <is>
          <t>À normaliser après vérification</t>
        </is>
      </c>
      <c r="H208" s="8" t="inlineStr">
        <is>
          <t>À définir séparément des compatibilités historiques</t>
        </is>
      </c>
      <c r="I208" s="8" t="inlineStr">
        <is>
          <t>Documenté</t>
        </is>
      </c>
      <c r="J208" s="8" t="inlineStr">
        <is>
          <t>Moteur d'origine aéronautique ; variantes moteur à suivre.</t>
        </is>
      </c>
      <c r="K208" s="8" t="inlineStr">
        <is>
          <t>https://tanks-encyclopedia.com/ww2/soviet/bt-2/</t>
        </is>
      </c>
      <c r="L208" s="8" t="inlineStr">
        <is>
          <t>Armement historique à déterminer précisément pour ce modèle/sa variante</t>
        </is>
      </c>
      <c r="M208" s="8" t="inlineStr">
        <is>
          <t>Ne récupérer une arme que si elle est présente, identifiable et démontable; vérifier le calibre</t>
        </is>
      </c>
      <c r="N208" s="8" t="inlineStr">
        <is>
          <t>À vérifier</t>
        </is>
      </c>
      <c r="O208" s="8" t="inlineStr">
        <is>
          <t>Non — contenu ultérieur</t>
        </is>
      </c>
      <c r="P208" s="8" t="inlineStr">
        <is>
          <t>À intégrer après validation du prototype</t>
        </is>
      </c>
      <c r="Q208" t="inlineStr">
        <is>
          <t>BT-2 : véhicule de catégorie « Chars légers et chars anciens », d'origine URSS. Motorisation recensée : 12 cylindres en V essence Liberty L-12. Fiche de catalogue à compléter avec le rôle tactique et les caractéristiques de jeu.</t>
        </is>
      </c>
    </row>
    <row r="209" ht="42" customHeight="1">
      <c r="A209" s="8" t="inlineStr">
        <is>
          <t>Chars légers et chars anciens</t>
        </is>
      </c>
      <c r="B209" s="8" t="inlineStr">
        <is>
          <t>BT-5</t>
        </is>
      </c>
      <c r="C209" s="8" t="inlineStr">
        <is>
          <t>URSS</t>
        </is>
      </c>
      <c r="D209" s="8" t="inlineStr">
        <is>
          <t>Chars légers et chars anciens</t>
        </is>
      </c>
      <c r="E209" s="8" t="n"/>
      <c r="F209" s="8" t="inlineStr">
        <is>
          <t>12 cylindres en V essence M-5 (famille Liberty)</t>
        </is>
      </c>
      <c r="G209" s="8" t="inlineStr">
        <is>
          <t>À normaliser après vérification</t>
        </is>
      </c>
      <c r="H209" s="8" t="inlineStr">
        <is>
          <t>À définir séparément des compatibilités historiques</t>
        </is>
      </c>
      <c r="I209" s="8" t="inlineStr">
        <is>
          <t>Documenté</t>
        </is>
      </c>
      <c r="J209" s="8" t="inlineStr">
        <is>
          <t>Proche du BT-2, mais les détails de moteur et montage varient.</t>
        </is>
      </c>
      <c r="K209" s="8" t="inlineStr">
        <is>
          <t>https://tanks-encyclopedia.com/ww2/soviet/bt-5/</t>
        </is>
      </c>
      <c r="L209" s="8" t="inlineStr">
        <is>
          <t>Canon de 45 mm 20-K; mitrailleuse DT de 7,62 mm</t>
        </is>
      </c>
      <c r="M209" s="8" t="inlineStr">
        <is>
          <t>Canon et MG</t>
        </is>
      </c>
      <c r="N209" s="8" t="inlineStr">
        <is>
          <t>Élevé</t>
        </is>
      </c>
      <c r="O209" s="8" t="inlineStr">
        <is>
          <t>Non — contenu ultérieur</t>
        </is>
      </c>
      <c r="P209" s="8" t="inlineStr">
        <is>
          <t>À intégrer après validation du prototype</t>
        </is>
      </c>
      <c r="Q209" t="inlineStr">
        <is>
          <t>BT-5 : véhicule de catégorie « Chars légers et chars anciens », d'origine URSS. Motorisation recensée : 12 cylindres en V essence M-5 (famille Liberty). Fiche de catalogue à compléter avec le rôle tactique et les caractéristiques de jeu.</t>
        </is>
      </c>
    </row>
    <row r="210" ht="42" customHeight="1">
      <c r="A210" s="8" t="inlineStr">
        <is>
          <t>Chars légers et chars anciens</t>
        </is>
      </c>
      <c r="B210" s="8" t="inlineStr">
        <is>
          <t>BT-7</t>
        </is>
      </c>
      <c r="C210" s="8" t="inlineStr">
        <is>
          <t>URSS</t>
        </is>
      </c>
      <c r="D210" s="8" t="inlineStr">
        <is>
          <t>Chars légers et chars anciens</t>
        </is>
      </c>
      <c r="E210" s="8" t="n"/>
      <c r="F210" s="8" t="inlineStr">
        <is>
          <t>12 cylindres en V essence M-17T sur premières versions ; diesel sur BT-7M</t>
        </is>
      </c>
      <c r="G210" s="8" t="inlineStr">
        <is>
          <t>À normaliser après vérification</t>
        </is>
      </c>
      <c r="H210" s="8" t="inlineStr">
        <is>
          <t>À définir séparément des compatibilités historiques</t>
        </is>
      </c>
      <c r="I210" s="8" t="inlineStr">
        <is>
          <t>Documenté — variantes</t>
        </is>
      </c>
      <c r="J210" s="8" t="inlineStr">
        <is>
          <t>Important de séparer essence V12 et diesel.</t>
        </is>
      </c>
      <c r="K210" s="8" t="inlineStr">
        <is>
          <t>https://tanks-encyclopedia.com/ww2/soviet/bt-7/</t>
        </is>
      </c>
      <c r="L210" s="8" t="inlineStr">
        <is>
          <t>Canon de 45 mm 20-K; mitrailleuse DT de 7,62 mm</t>
        </is>
      </c>
      <c r="M210" s="8" t="inlineStr">
        <is>
          <t>Canon et MG</t>
        </is>
      </c>
      <c r="N210" s="8" t="inlineStr">
        <is>
          <t>Élevé</t>
        </is>
      </c>
      <c r="O210" s="8" t="inlineStr">
        <is>
          <t>Non — contenu ultérieur</t>
        </is>
      </c>
      <c r="P210" s="8" t="inlineStr">
        <is>
          <t>À intégrer après validation du prototype</t>
        </is>
      </c>
      <c r="Q210" t="inlineStr">
        <is>
          <t>BT-7 : véhicule de catégorie « Chars légers et chars anciens », d'origine URSS. Motorisation recensée : 12 cylindres en V essence M-17T sur premières versions. Fiche de catalogue à compléter avec le rôle tactique et les caractéristiques de jeu.</t>
        </is>
      </c>
    </row>
    <row r="211" ht="42" customHeight="1">
      <c r="A211" s="8" t="inlineStr">
        <is>
          <t>Chars moyens</t>
        </is>
      </c>
      <c r="B211" s="8" t="inlineStr">
        <is>
          <t>T-28</t>
        </is>
      </c>
      <c r="C211" s="8" t="inlineStr">
        <is>
          <t>URSS</t>
        </is>
      </c>
      <c r="D211" s="8" t="inlineStr">
        <is>
          <t>Chars moyens</t>
        </is>
      </c>
      <c r="E211" s="8" t="n"/>
      <c r="F211" s="8" t="inlineStr">
        <is>
          <t>12 cylindres en V essence M-17</t>
        </is>
      </c>
      <c r="G211" s="8" t="inlineStr">
        <is>
          <t>À normaliser après vérification</t>
        </is>
      </c>
      <c r="H211" s="8" t="inlineStr">
        <is>
          <t>À définir séparément des compatibilités historiques</t>
        </is>
      </c>
      <c r="I211" s="8" t="inlineStr">
        <is>
          <t>Documenté</t>
        </is>
      </c>
      <c r="J211" s="8" t="inlineStr">
        <is>
          <t>Char moyen multi-tourelles.</t>
        </is>
      </c>
      <c r="K211" s="8" t="inlineStr">
        <is>
          <t>https://tanks-encyclopedia.com/ww2/soviet/t-28/</t>
        </is>
      </c>
      <c r="L211" s="8" t="inlineStr">
        <is>
          <t>Canon de 76,2 mm KT-28 ou L-10 selon version; mitrailleuses DT</t>
        </is>
      </c>
      <c r="M211" s="8" t="inlineStr">
        <is>
          <t>Canon et MG; plusieurs tourelles</t>
        </is>
      </c>
      <c r="N211" s="8" t="inlineStr">
        <is>
          <t>Partiel</t>
        </is>
      </c>
      <c r="O211" s="8" t="inlineStr">
        <is>
          <t>Non — contenu ultérieur</t>
        </is>
      </c>
      <c r="P211" s="8" t="inlineStr">
        <is>
          <t>À intégrer après validation du prototype</t>
        </is>
      </c>
      <c r="Q211" t="inlineStr">
        <is>
          <t>T-28 : véhicule de catégorie « Chars moyens », d'origine URSS. Motorisation recensée : 12 cylindres en V essence M-17. Fiche de catalogue à compléter avec le rôle tactique et les caractéristiques de jeu.</t>
        </is>
      </c>
    </row>
    <row r="212" ht="42" customHeight="1">
      <c r="A212" s="8" t="inlineStr">
        <is>
          <t>Chars lourds et prototypes</t>
        </is>
      </c>
      <c r="B212" s="8" t="inlineStr">
        <is>
          <t>T-35</t>
        </is>
      </c>
      <c r="C212" s="8" t="inlineStr">
        <is>
          <t>URSS</t>
        </is>
      </c>
      <c r="D212" s="8" t="inlineStr">
        <is>
          <t>Chars lourds et prototypes</t>
        </is>
      </c>
      <c r="E212" s="8" t="n"/>
      <c r="F212" s="8" t="inlineStr">
        <is>
          <t>12 cylindres en V essence M-17</t>
        </is>
      </c>
      <c r="G212" s="8" t="inlineStr">
        <is>
          <t>À normaliser après vérification</t>
        </is>
      </c>
      <c r="H212" s="8" t="inlineStr">
        <is>
          <t>À définir séparément des compatibilités historiques</t>
        </is>
      </c>
      <c r="I212" s="8" t="inlineStr">
        <is>
          <t>Documenté</t>
        </is>
      </c>
      <c r="J212" s="8" t="inlineStr">
        <is>
          <t>Char lourd multi-tourelles, grand encombrement.</t>
        </is>
      </c>
      <c r="K212" s="8" t="inlineStr">
        <is>
          <t>https://tanks-encyclopedia.com/ww2/soviet/t-35/</t>
        </is>
      </c>
      <c r="L212" s="8" t="inlineStr">
        <is>
          <t>Canon de 76,2 mm + canons de 45 mm et mitrailleuses DT selon disposition multi-tourelles</t>
        </is>
      </c>
      <c r="M212" s="8" t="inlineStr">
        <is>
          <t>Armes multiples; démontage complexe</t>
        </is>
      </c>
      <c r="N212" s="8" t="inlineStr">
        <is>
          <t>Partiel</t>
        </is>
      </c>
      <c r="O212" s="8" t="inlineStr">
        <is>
          <t>Non — contenu ultérieur</t>
        </is>
      </c>
      <c r="P212" s="8" t="inlineStr">
        <is>
          <t>À intégrer après validation du prototype</t>
        </is>
      </c>
      <c r="Q212" t="inlineStr">
        <is>
          <t>T-35 : véhicule de catégorie « Chars lourds et prototypes », d'origine URSS. Motorisation recensée : 12 cylindres en V essence M-17. Fiche de catalogue à compléter avec le rôle tactique et les caractéristiques de jeu.</t>
        </is>
      </c>
    </row>
    <row r="213" ht="42" customHeight="1">
      <c r="A213" s="8" t="inlineStr">
        <is>
          <t>Chars amphibies et spécialisés</t>
        </is>
      </c>
      <c r="B213" s="8" t="inlineStr">
        <is>
          <t>T-37A</t>
        </is>
      </c>
      <c r="C213" s="8" t="inlineStr">
        <is>
          <t>URSS</t>
        </is>
      </c>
      <c r="D213" s="8" t="inlineStr">
        <is>
          <t>Chars amphibies et spécialisés</t>
        </is>
      </c>
      <c r="E213" s="8" t="n"/>
      <c r="F213" s="8" t="inlineStr">
        <is>
          <t>4 cylindres essence GAZ-AA adapté</t>
        </is>
      </c>
      <c r="G213" s="8" t="inlineStr">
        <is>
          <t>À normaliser après vérification</t>
        </is>
      </c>
      <c r="H213" s="8" t="inlineStr">
        <is>
          <t>À définir séparément des compatibilités historiques</t>
        </is>
      </c>
      <c r="I213" s="8" t="inlineStr">
        <is>
          <t>À vérifier</t>
        </is>
      </c>
      <c r="J213" s="8" t="inlineStr">
        <is>
          <t>Char amphibie léger.</t>
        </is>
      </c>
      <c r="K213" s="8" t="inlineStr">
        <is>
          <t>https://tanks-encyclopedia.com/ww2/soviet/t-37/</t>
        </is>
      </c>
      <c r="L213" s="8" t="inlineStr">
        <is>
          <t>Armement historique à déterminer précisément pour ce modèle/sa variante</t>
        </is>
      </c>
      <c r="M213" s="8" t="inlineStr">
        <is>
          <t>Ne récupérer une arme que si elle est présente, identifiable et démontable; vérifier le calibre</t>
        </is>
      </c>
      <c r="N213" s="8" t="inlineStr">
        <is>
          <t>À vérifier</t>
        </is>
      </c>
      <c r="O213" s="8" t="inlineStr">
        <is>
          <t>Non — contenu ultérieur</t>
        </is>
      </c>
      <c r="P213" s="8" t="inlineStr">
        <is>
          <t>À intégrer après validation du prototype</t>
        </is>
      </c>
      <c r="Q213" t="inlineStr">
        <is>
          <t>T-37A : véhicule de catégorie « Chars amphibies et spécialisés », d'origine URSS. Motorisation recensée : 4 cylindres essence GAZ-AA adapté. Variante historique à vérifier avant validation définitive.</t>
        </is>
      </c>
    </row>
    <row r="214" ht="42" customHeight="1">
      <c r="A214" s="8" t="inlineStr">
        <is>
          <t>Chars amphibies et spécialisés</t>
        </is>
      </c>
      <c r="B214" s="8" t="inlineStr">
        <is>
          <t>T-38</t>
        </is>
      </c>
      <c r="C214" s="8" t="inlineStr">
        <is>
          <t>URSS</t>
        </is>
      </c>
      <c r="D214" s="8" t="inlineStr">
        <is>
          <t>Chars amphibies et spécialisés</t>
        </is>
      </c>
      <c r="E214" s="8" t="n"/>
      <c r="F214" s="8" t="inlineStr">
        <is>
          <t>4 cylindres essence GAZ-AA adapté</t>
        </is>
      </c>
      <c r="G214" s="8" t="inlineStr">
        <is>
          <t>À normaliser après vérification</t>
        </is>
      </c>
      <c r="H214" s="8" t="inlineStr">
        <is>
          <t>À définir séparément des compatibilités historiques</t>
        </is>
      </c>
      <c r="I214" s="8" t="inlineStr">
        <is>
          <t>À vérifier</t>
        </is>
      </c>
      <c r="J214" s="8" t="inlineStr">
        <is>
          <t>Évolution du T-37.</t>
        </is>
      </c>
      <c r="K214" s="8" t="inlineStr">
        <is>
          <t>https://tanks-encyclopedia.com/ww2/soviet/t-38/</t>
        </is>
      </c>
      <c r="L214" s="8" t="inlineStr">
        <is>
          <t>Armement historique à déterminer précisément pour ce modèle/sa variante</t>
        </is>
      </c>
      <c r="M214" s="8" t="inlineStr">
        <is>
          <t>Ne récupérer une arme que si elle est présente, identifiable et démontable; vérifier le calibre</t>
        </is>
      </c>
      <c r="N214" s="8" t="inlineStr">
        <is>
          <t>À vérifier</t>
        </is>
      </c>
      <c r="O214" s="8" t="inlineStr">
        <is>
          <t>Non — contenu ultérieur</t>
        </is>
      </c>
      <c r="P214" s="8" t="inlineStr">
        <is>
          <t>À intégrer après validation du prototype</t>
        </is>
      </c>
      <c r="Q214" t="inlineStr">
        <is>
          <t>T-38 : véhicule de catégorie « Chars amphibies et spécialisés », d'origine URSS. Motorisation recensée : 4 cylindres essence GAZ-AA adapté. Variante historique à vérifier avant validation définitive.</t>
        </is>
      </c>
    </row>
    <row r="215" ht="42" customHeight="1">
      <c r="A215" s="8" t="inlineStr">
        <is>
          <t>Chars amphibies et spécialisés</t>
        </is>
      </c>
      <c r="B215" s="8" t="inlineStr">
        <is>
          <t>T-40</t>
        </is>
      </c>
      <c r="C215" s="8" t="inlineStr">
        <is>
          <t>URSS</t>
        </is>
      </c>
      <c r="D215" s="8" t="inlineStr">
        <is>
          <t>Chars amphibies et spécialisés</t>
        </is>
      </c>
      <c r="E215" s="8" t="n"/>
      <c r="F215" s="8" t="inlineStr">
        <is>
          <t>6 cylindres essence GAZ-11</t>
        </is>
      </c>
      <c r="G215" s="8" t="inlineStr">
        <is>
          <t>À normaliser après vérification</t>
        </is>
      </c>
      <c r="H215" s="8" t="inlineStr">
        <is>
          <t>À définir séparément des compatibilités historiques</t>
        </is>
      </c>
      <c r="I215" s="8" t="inlineStr">
        <is>
          <t>À vérifier</t>
        </is>
      </c>
      <c r="J215" s="8" t="inlineStr">
        <is>
          <t>Char amphibie ; moteur plus puissant.</t>
        </is>
      </c>
      <c r="K215" s="8" t="inlineStr">
        <is>
          <t>https://tanks-encyclopedia.com/ww2/soviet/t-40/</t>
        </is>
      </c>
      <c r="L215" s="8" t="inlineStr">
        <is>
          <t>Armement historique à déterminer précisément pour ce modèle/sa variante</t>
        </is>
      </c>
      <c r="M215" s="8" t="inlineStr">
        <is>
          <t>Ne récupérer une arme que si elle est présente, identifiable et démontable; vérifier le calibre</t>
        </is>
      </c>
      <c r="N215" s="8" t="inlineStr">
        <is>
          <t>À vérifier</t>
        </is>
      </c>
      <c r="O215" s="8" t="inlineStr">
        <is>
          <t>Non — contenu ultérieur</t>
        </is>
      </c>
      <c r="P215" s="8" t="inlineStr">
        <is>
          <t>À intégrer après validation du prototype</t>
        </is>
      </c>
      <c r="Q215" t="inlineStr">
        <is>
          <t>T-40 : véhicule de catégorie « Chars amphibies et spécialisés », d'origine URSS. Motorisation recensée : 6 cylindres essence GAZ-11. Variante historique à vérifier avant validation définitive.</t>
        </is>
      </c>
    </row>
    <row r="216" ht="42" customHeight="1">
      <c r="A216" s="8" t="inlineStr">
        <is>
          <t>Chars légers et chars anciens</t>
        </is>
      </c>
      <c r="B216" s="8" t="inlineStr">
        <is>
          <t>T-50</t>
        </is>
      </c>
      <c r="C216" s="8" t="inlineStr">
        <is>
          <t>URSS</t>
        </is>
      </c>
      <c r="D216" s="8" t="inlineStr">
        <is>
          <t>Chars légers et chars anciens</t>
        </is>
      </c>
      <c r="E216" s="8" t="n"/>
      <c r="F216" s="8" t="inlineStr">
        <is>
          <t>6 cylindres diesel V-4</t>
        </is>
      </c>
      <c r="G216" s="8" t="inlineStr">
        <is>
          <t>À normaliser après vérification</t>
        </is>
      </c>
      <c r="H216" s="8" t="inlineStr">
        <is>
          <t>À définir séparément des compatibilités historiques</t>
        </is>
      </c>
      <c r="I216" s="8" t="inlineStr">
        <is>
          <t>Documenté</t>
        </is>
      </c>
      <c r="J216" s="8" t="inlineStr">
        <is>
          <t>Diesel compact, famille différente du V-2.</t>
        </is>
      </c>
      <c r="K216" s="8" t="inlineStr">
        <is>
          <t>https://tanks-encyclopedia.com/ww2/soviet/t-50/</t>
        </is>
      </c>
      <c r="L216" s="8" t="inlineStr">
        <is>
          <t>Armement historique à déterminer précisément pour ce modèle/sa variante</t>
        </is>
      </c>
      <c r="M216" s="8" t="inlineStr">
        <is>
          <t>Ne récupérer une arme que si elle est présente, identifiable et démontable; vérifier le calibre</t>
        </is>
      </c>
      <c r="N216" s="8" t="inlineStr">
        <is>
          <t>À vérifier</t>
        </is>
      </c>
      <c r="O216" s="8" t="inlineStr">
        <is>
          <t>Non — contenu ultérieur</t>
        </is>
      </c>
      <c r="P216" s="8" t="inlineStr">
        <is>
          <t>À intégrer après validation du prototype</t>
        </is>
      </c>
      <c r="Q216" t="inlineStr">
        <is>
          <t>T-50 : véhicule de catégorie « Chars légers et chars anciens », d'origine URSS. Motorisation recensée : 6 cylindres diesel V-4. Fiche de catalogue à compléter avec le rôle tactique et les caractéristiques de jeu.</t>
        </is>
      </c>
    </row>
    <row r="217" ht="42" customHeight="1">
      <c r="A217" s="8" t="inlineStr">
        <is>
          <t>Chars légers et chars anciens</t>
        </is>
      </c>
      <c r="B217" s="8" t="inlineStr">
        <is>
          <t>T-80 light tank</t>
        </is>
      </c>
      <c r="C217" s="8" t="inlineStr">
        <is>
          <t>URSS</t>
        </is>
      </c>
      <c r="D217" s="8" t="inlineStr">
        <is>
          <t>Chars légers et chars anciens</t>
        </is>
      </c>
      <c r="E217" s="8" t="n"/>
      <c r="F217" s="8" t="inlineStr">
        <is>
          <t>6 cylindres essence GAZ-203, ensemble de deux moteurs</t>
        </is>
      </c>
      <c r="G217" s="8" t="inlineStr">
        <is>
          <t>À normaliser après vérification</t>
        </is>
      </c>
      <c r="H217" s="8" t="inlineStr">
        <is>
          <t>À définir séparément des compatibilités historiques</t>
        </is>
      </c>
      <c r="I217" s="8" t="inlineStr">
        <is>
          <t>À vérifier</t>
        </is>
      </c>
      <c r="J217" s="8" t="inlineStr">
        <is>
          <t>Variante tardive du T-70.</t>
        </is>
      </c>
      <c r="K217" s="8" t="inlineStr">
        <is>
          <t>https://tanks-encyclopedia.com/ww2/soviet/t-80/</t>
        </is>
      </c>
      <c r="L217" s="8" t="inlineStr">
        <is>
          <t>Armement historique à déterminer précisément pour ce modèle/sa variante</t>
        </is>
      </c>
      <c r="M217" s="8" t="inlineStr">
        <is>
          <t>Ne récupérer une arme que si elle est présente, identifiable et démontable; vérifier le calibre</t>
        </is>
      </c>
      <c r="N217" s="8" t="inlineStr">
        <is>
          <t>À vérifier</t>
        </is>
      </c>
      <c r="O217" s="8" t="inlineStr">
        <is>
          <t>Non — contenu ultérieur</t>
        </is>
      </c>
      <c r="P217" s="8" t="inlineStr">
        <is>
          <t>À intégrer après validation du prototype</t>
        </is>
      </c>
      <c r="Q217" t="inlineStr">
        <is>
          <t>T-80 light tank : véhicule de catégorie « Chars légers et chars anciens », d'origine URSS. Motorisation recensée : 6 cylindres essence GAZ-203, ensemble de deux moteurs. Variante historique à vérifier avant validation définitive.</t>
        </is>
      </c>
    </row>
    <row r="218" ht="42" customHeight="1">
      <c r="A218" s="8" t="inlineStr">
        <is>
          <t>Chars moyens</t>
        </is>
      </c>
      <c r="B218" s="8" t="inlineStr">
        <is>
          <t>T-34/76</t>
        </is>
      </c>
      <c r="C218" s="8" t="inlineStr">
        <is>
          <t>URSS</t>
        </is>
      </c>
      <c r="D218" s="8" t="inlineStr">
        <is>
          <t>Chars moyens</t>
        </is>
      </c>
      <c r="E218" s="8" t="n"/>
      <c r="F218" s="8" t="inlineStr">
        <is>
          <t>V12 diesel V-2</t>
        </is>
      </c>
      <c r="G218" s="8" t="inlineStr">
        <is>
          <t>À normaliser après vérification</t>
        </is>
      </c>
      <c r="H218" s="8" t="inlineStr">
        <is>
          <t>À définir séparément des compatibilités historiques</t>
        </is>
      </c>
      <c r="I218" s="8" t="inlineStr">
        <is>
          <t>Documenté</t>
        </is>
      </c>
      <c r="J218" s="8" t="inlineStr">
        <is>
          <t>Famille V12 diesel très importante pour le catalogue.</t>
        </is>
      </c>
      <c r="K218" s="8" t="inlineStr">
        <is>
          <t>https://tanks-encyclopedia.com/ww2/soviet/t-34/</t>
        </is>
      </c>
      <c r="L218" s="8" t="inlineStr">
        <is>
          <t>Canon de 76,2 mm L-11/F-34 selon modèle; 2 mitrailleuses DT de 7,62 mm</t>
        </is>
      </c>
      <c r="M218" s="8" t="inlineStr">
        <is>
          <t>Canon et MG; variante précise importante</t>
        </is>
      </c>
      <c r="N218" s="8" t="inlineStr">
        <is>
          <t>Élevé</t>
        </is>
      </c>
      <c r="O218" s="8" t="inlineStr">
        <is>
          <t>Non — contenu ultérieur</t>
        </is>
      </c>
      <c r="P218" s="8" t="inlineStr">
        <is>
          <t>À intégrer après validation du prototype</t>
        </is>
      </c>
      <c r="Q218" t="inlineStr">
        <is>
          <t>T-34/76 : véhicule de catégorie « Chars moyens », d'origine URSS. Motorisation recensée : V12 diesel V-2. Fiche de catalogue à compléter avec le rôle tactique et les caractéristiques de jeu.</t>
        </is>
      </c>
    </row>
    <row r="219" ht="42" customHeight="1">
      <c r="A219" s="8" t="inlineStr">
        <is>
          <t>Chars moyens</t>
        </is>
      </c>
      <c r="B219" s="8" t="inlineStr">
        <is>
          <t>T-34/85</t>
        </is>
      </c>
      <c r="C219" s="8" t="inlineStr">
        <is>
          <t>URSS</t>
        </is>
      </c>
      <c r="D219" s="8" t="inlineStr">
        <is>
          <t>Chars moyens</t>
        </is>
      </c>
      <c r="E219" s="8" t="n"/>
      <c r="F219" s="8" t="inlineStr">
        <is>
          <t>V12 diesel V-2-34</t>
        </is>
      </c>
      <c r="G219" s="8" t="inlineStr">
        <is>
          <t>À normaliser après vérification</t>
        </is>
      </c>
      <c r="H219" s="8" t="inlineStr">
        <is>
          <t>À définir séparément des compatibilités historiques</t>
        </is>
      </c>
      <c r="I219" s="8" t="inlineStr">
        <is>
          <t>Documenté</t>
        </is>
      </c>
      <c r="J219" s="8" t="inlineStr">
        <is>
          <t>Évolution tardive du T-34.</t>
        </is>
      </c>
      <c r="K219" s="8" t="inlineStr">
        <is>
          <t>https://tanks-encyclopedia.com/ww2/soviet/t-34-85/</t>
        </is>
      </c>
      <c r="L219" s="8" t="inlineStr">
        <is>
          <t>Canon de 76,2 mm L-11/F-34 selon modèle; 2 mitrailleuses DT de 7,62 mm</t>
        </is>
      </c>
      <c r="M219" s="8" t="inlineStr">
        <is>
          <t>Canon et MG; variante précise importante</t>
        </is>
      </c>
      <c r="N219" s="8" t="inlineStr">
        <is>
          <t>Élevé</t>
        </is>
      </c>
      <c r="O219" s="8" t="inlineStr">
        <is>
          <t>Non — contenu ultérieur</t>
        </is>
      </c>
      <c r="P219" s="8" t="inlineStr">
        <is>
          <t>À intégrer après validation du prototype</t>
        </is>
      </c>
      <c r="Q219" t="inlineStr">
        <is>
          <t>T-34/85 : véhicule de catégorie « Chars moyens », d'origine URSS. Motorisation recensée : V12 diesel V-2-34. Fiche de catalogue à compléter avec le rôle tactique et les caractéristiques de jeu.</t>
        </is>
      </c>
    </row>
    <row r="220" ht="42" customHeight="1">
      <c r="A220" s="8" t="inlineStr">
        <is>
          <t>Chars lourds et prototypes</t>
        </is>
      </c>
      <c r="B220" s="8" t="inlineStr">
        <is>
          <t>KV-1</t>
        </is>
      </c>
      <c r="C220" s="8" t="inlineStr">
        <is>
          <t>URSS</t>
        </is>
      </c>
      <c r="D220" s="8" t="inlineStr">
        <is>
          <t>Chars lourds et prototypes</t>
        </is>
      </c>
      <c r="E220" s="8" t="n"/>
      <c r="F220" s="8" t="inlineStr">
        <is>
          <t>V12 diesel V-2K</t>
        </is>
      </c>
      <c r="G220" s="8" t="inlineStr">
        <is>
          <t>À normaliser après vérification</t>
        </is>
      </c>
      <c r="H220" s="8" t="inlineStr">
        <is>
          <t>À définir séparément des compatibilités historiques</t>
        </is>
      </c>
      <c r="I220" s="8" t="inlineStr">
        <is>
          <t>Documenté</t>
        </is>
      </c>
      <c r="J220" s="8" t="inlineStr">
        <is>
          <t>Famille diesel apparentée au V-2 du T-34, réglage différent.</t>
        </is>
      </c>
      <c r="K220" s="8" t="inlineStr">
        <is>
          <t>https://tanks-encyclopedia.com/ww2/soviet/kv-1/</t>
        </is>
      </c>
      <c r="L220" s="8" t="inlineStr">
        <is>
          <t>Canon de 76,2 mm (L-11, F-32 ou F-34 selon version); mitrailleuses DT de 7,62 mm</t>
        </is>
      </c>
      <c r="M220" s="8" t="inlineStr">
        <is>
          <t>Canon et MG</t>
        </is>
      </c>
      <c r="N220" s="8" t="inlineStr">
        <is>
          <t>Partiel</t>
        </is>
      </c>
      <c r="O220" s="8" t="inlineStr">
        <is>
          <t>Non — contenu ultérieur</t>
        </is>
      </c>
      <c r="P220" s="8" t="inlineStr">
        <is>
          <t>À intégrer après validation du prototype</t>
        </is>
      </c>
      <c r="Q220" t="inlineStr">
        <is>
          <t>KV-1 : véhicule de catégorie « Chars lourds et prototypes », d'origine URSS. Motorisation recensée : V12 diesel V-2K. Fiche de catalogue à compléter avec le rôle tactique et les caractéristiques de jeu.</t>
        </is>
      </c>
    </row>
    <row r="221" ht="42" customHeight="1">
      <c r="A221" s="8" t="inlineStr">
        <is>
          <t>Chars lourds et prototypes</t>
        </is>
      </c>
      <c r="B221" s="8" t="inlineStr">
        <is>
          <t>KV-2</t>
        </is>
      </c>
      <c r="C221" s="8" t="inlineStr">
        <is>
          <t>URSS</t>
        </is>
      </c>
      <c r="D221" s="8" t="inlineStr">
        <is>
          <t>Chars lourds et prototypes</t>
        </is>
      </c>
      <c r="E221" s="8" t="n"/>
      <c r="F221" s="8" t="inlineStr">
        <is>
          <t>V12 diesel V-2K</t>
        </is>
      </c>
      <c r="G221" s="8" t="inlineStr">
        <is>
          <t>À normaliser après vérification</t>
        </is>
      </c>
      <c r="H221" s="8" t="inlineStr">
        <is>
          <t>À définir séparément des compatibilités historiques</t>
        </is>
      </c>
      <c r="I221" s="8" t="inlineStr">
        <is>
          <t>Documenté</t>
        </is>
      </c>
      <c r="J221" s="8" t="inlineStr">
        <is>
          <t>Châssis KV avec tourelle très lourde.</t>
        </is>
      </c>
      <c r="K221" s="8" t="inlineStr">
        <is>
          <t>https://tanks-encyclopedia.com/ww2/soviet/kv-2/</t>
        </is>
      </c>
      <c r="L221" s="8" t="inlineStr">
        <is>
          <t>Obusier de 152 mm M-10T; mitrailleuses DT de 7,62 mm</t>
        </is>
      </c>
      <c r="M221" s="8" t="inlineStr">
        <is>
          <t>Obusier très lourd et MG</t>
        </is>
      </c>
      <c r="N221" s="8" t="inlineStr">
        <is>
          <t>Élevé</t>
        </is>
      </c>
      <c r="O221" s="8" t="inlineStr">
        <is>
          <t>Non — contenu ultérieur</t>
        </is>
      </c>
      <c r="P221" s="8" t="inlineStr">
        <is>
          <t>À intégrer après validation du prototype</t>
        </is>
      </c>
      <c r="Q221" t="inlineStr">
        <is>
          <t>KV-2 : véhicule de catégorie « Chars lourds et prototypes », d'origine URSS. Motorisation recensée : V12 diesel V-2K. Fiche de catalogue à compléter avec le rôle tactique et les caractéristiques de jeu.</t>
        </is>
      </c>
    </row>
    <row r="222" ht="42" customHeight="1">
      <c r="A222" s="8" t="inlineStr">
        <is>
          <t>Chars lourds et prototypes</t>
        </is>
      </c>
      <c r="B222" s="8" t="inlineStr">
        <is>
          <t>KV-1S</t>
        </is>
      </c>
      <c r="C222" s="8" t="inlineStr">
        <is>
          <t>URSS</t>
        </is>
      </c>
      <c r="D222" s="8" t="inlineStr">
        <is>
          <t>Chars lourds et prototypes</t>
        </is>
      </c>
      <c r="E222" s="8" t="n"/>
      <c r="F222" s="8" t="inlineStr">
        <is>
          <t>V12 diesel V-2K</t>
        </is>
      </c>
      <c r="G222" s="8" t="inlineStr">
        <is>
          <t>À normaliser après vérification</t>
        </is>
      </c>
      <c r="H222" s="8" t="inlineStr">
        <is>
          <t>À définir séparément des compatibilités historiques</t>
        </is>
      </c>
      <c r="I222" s="8" t="inlineStr">
        <is>
          <t>Documenté</t>
        </is>
      </c>
      <c r="J222" s="8" t="inlineStr">
        <is>
          <t>Version allégée du KV-1.</t>
        </is>
      </c>
      <c r="K222" s="8" t="inlineStr">
        <is>
          <t>https://tanks-encyclopedia.com/ww2/soviet/kv-1s/</t>
        </is>
      </c>
      <c r="L222" s="8" t="inlineStr">
        <is>
          <t>Canon de 76,2 mm (L-11, F-32 ou F-34 selon version); mitrailleuses DT de 7,62 mm</t>
        </is>
      </c>
      <c r="M222" s="8" t="inlineStr">
        <is>
          <t>Canon et MG</t>
        </is>
      </c>
      <c r="N222" s="8" t="inlineStr">
        <is>
          <t>Partiel</t>
        </is>
      </c>
      <c r="O222" s="8" t="inlineStr">
        <is>
          <t>Non — contenu ultérieur</t>
        </is>
      </c>
      <c r="P222" s="8" t="inlineStr">
        <is>
          <t>À intégrer après validation du prototype</t>
        </is>
      </c>
      <c r="Q222" t="inlineStr">
        <is>
          <t>KV-1S : véhicule de catégorie « Chars lourds et prototypes », d'origine URSS. Motorisation recensée : V12 diesel V-2K. Fiche de catalogue à compléter avec le rôle tactique et les caractéristiques de jeu.</t>
        </is>
      </c>
    </row>
    <row r="223" ht="42" customHeight="1">
      <c r="A223" s="8" t="inlineStr">
        <is>
          <t>Chars lourds et prototypes</t>
        </is>
      </c>
      <c r="B223" s="8" t="inlineStr">
        <is>
          <t>KV-85</t>
        </is>
      </c>
      <c r="C223" s="8" t="inlineStr">
        <is>
          <t>URSS</t>
        </is>
      </c>
      <c r="D223" s="8" t="inlineStr">
        <is>
          <t>Chars lourds et prototypes</t>
        </is>
      </c>
      <c r="E223" s="8" t="n"/>
      <c r="F223" s="8" t="inlineStr">
        <is>
          <t>V12 diesel V-2K</t>
        </is>
      </c>
      <c r="G223" s="8" t="inlineStr">
        <is>
          <t>À normaliser après vérification</t>
        </is>
      </c>
      <c r="H223" s="8" t="inlineStr">
        <is>
          <t>À définir séparément des compatibilités historiques</t>
        </is>
      </c>
      <c r="I223" s="8" t="inlineStr">
        <is>
          <t>Documenté</t>
        </is>
      </c>
      <c r="J223" s="8" t="inlineStr">
        <is>
          <t>Modèle de transition vers la série IS.</t>
        </is>
      </c>
      <c r="K223" s="8" t="inlineStr">
        <is>
          <t>https://tanks-encyclopedia.com/ww2/soviet/kv-85/</t>
        </is>
      </c>
      <c r="L223" s="8" t="inlineStr">
        <is>
          <t>Armement historique à déterminer précisément pour ce modèle/sa variante</t>
        </is>
      </c>
      <c r="M223" s="8" t="inlineStr">
        <is>
          <t>Ne récupérer une arme que si elle est présente, identifiable et démontable; vérifier le calibre</t>
        </is>
      </c>
      <c r="N223" s="8" t="inlineStr">
        <is>
          <t>À vérifier</t>
        </is>
      </c>
      <c r="O223" s="8" t="inlineStr">
        <is>
          <t>Non — contenu ultérieur</t>
        </is>
      </c>
      <c r="P223" s="8" t="inlineStr">
        <is>
          <t>À intégrer après validation du prototype</t>
        </is>
      </c>
      <c r="Q223" t="inlineStr">
        <is>
          <t>KV-85 : véhicule de catégorie « Chars lourds et prototypes », d'origine URSS. Motorisation recensée : V12 diesel V-2K. Fiche de catalogue à compléter avec le rôle tactique et les caractéristiques de jeu.</t>
        </is>
      </c>
    </row>
    <row r="224" ht="42" customHeight="1">
      <c r="A224" s="8" t="inlineStr">
        <is>
          <t>Chars lourds et prototypes</t>
        </is>
      </c>
      <c r="B224" s="8" t="inlineStr">
        <is>
          <t>IS-1</t>
        </is>
      </c>
      <c r="C224" s="8" t="inlineStr">
        <is>
          <t>URSS</t>
        </is>
      </c>
      <c r="D224" s="8" t="inlineStr">
        <is>
          <t>Chars lourds et prototypes</t>
        </is>
      </c>
      <c r="E224" s="8" t="n"/>
      <c r="F224" s="8" t="inlineStr">
        <is>
          <t>V12 diesel V-2-IS</t>
        </is>
      </c>
      <c r="G224" s="8" t="inlineStr">
        <is>
          <t>À normaliser après vérification</t>
        </is>
      </c>
      <c r="H224" s="8" t="inlineStr">
        <is>
          <t>À définir séparément des compatibilités historiques</t>
        </is>
      </c>
      <c r="I224" s="8" t="inlineStr">
        <is>
          <t>À vérifier</t>
        </is>
      </c>
      <c r="J224" s="8" t="inlineStr">
        <is>
          <t>Char lourd de transition.</t>
        </is>
      </c>
      <c r="K224" s="8" t="inlineStr">
        <is>
          <t>https://tanks-encyclopedia.com/ww2/soviet/is-1/</t>
        </is>
      </c>
      <c r="L224" s="8" t="inlineStr">
        <is>
          <t>Armement historique à déterminer précisément pour ce modèle/sa variante</t>
        </is>
      </c>
      <c r="M224" s="8" t="inlineStr">
        <is>
          <t>Ne récupérer une arme que si elle est présente, identifiable et démontable; vérifier le calibre</t>
        </is>
      </c>
      <c r="N224" s="8" t="inlineStr">
        <is>
          <t>À vérifier</t>
        </is>
      </c>
      <c r="O224" s="8" t="inlineStr">
        <is>
          <t>Non — contenu ultérieur</t>
        </is>
      </c>
      <c r="P224" s="8" t="inlineStr">
        <is>
          <t>À intégrer après validation du prototype</t>
        </is>
      </c>
      <c r="Q224" t="inlineStr">
        <is>
          <t>IS-1 : véhicule de catégorie « Chars lourds et prototypes », d'origine URSS. Motorisation recensée : V12 diesel V-2-IS. Variante historique à vérifier avant validation définitive.</t>
        </is>
      </c>
    </row>
    <row r="225" ht="42" customHeight="1">
      <c r="A225" s="8" t="inlineStr">
        <is>
          <t>Chasseurs de chars et canons automoteurs</t>
        </is>
      </c>
      <c r="B225" s="8" t="inlineStr">
        <is>
          <t>SU-100</t>
        </is>
      </c>
      <c r="C225" s="8" t="inlineStr">
        <is>
          <t>URSS</t>
        </is>
      </c>
      <c r="D225" s="8" t="inlineStr">
        <is>
          <t>Chasseurs de chars et canons automoteurs</t>
        </is>
      </c>
      <c r="E225" s="8" t="n"/>
      <c r="F225" s="8" t="inlineStr">
        <is>
          <t>V12 diesel V-2-34</t>
        </is>
      </c>
      <c r="G225" s="8" t="inlineStr">
        <is>
          <t>À normaliser après vérification</t>
        </is>
      </c>
      <c r="H225" s="8" t="inlineStr">
        <is>
          <t>À définir séparément des compatibilités historiques</t>
        </is>
      </c>
      <c r="I225" s="8" t="inlineStr">
        <is>
          <t>Documenté</t>
        </is>
      </c>
      <c r="J225" s="8" t="inlineStr">
        <is>
          <t>Canon automoteur tardif ; conception antérieure à 1945.</t>
        </is>
      </c>
      <c r="K225" s="8" t="inlineStr">
        <is>
          <t>https://tanks-encyclopedia.com/ww2/soviet/su-100/</t>
        </is>
      </c>
      <c r="L225" s="8" t="inlineStr">
        <is>
          <t>Canon antichar de 100 mm D-10S</t>
        </is>
      </c>
      <c r="M225" s="8" t="inlineStr">
        <is>
          <t>Canon principal; pas de MG fixe standard</t>
        </is>
      </c>
      <c r="N225" s="8" t="inlineStr">
        <is>
          <t>Élevé</t>
        </is>
      </c>
      <c r="O225" s="8" t="inlineStr">
        <is>
          <t>Non — contenu ultérieur</t>
        </is>
      </c>
      <c r="P225" s="8" t="inlineStr">
        <is>
          <t>À intégrer après validation du prototype</t>
        </is>
      </c>
      <c r="Q225" t="inlineStr">
        <is>
          <t>SU-100 : véhicule de catégorie « Chasseurs de chars et canons automoteurs », d'origine URSS. Motorisation recensée : V12 diesel V-2-34. Fiche de catalogue à compléter avec le rôle tactique et les caractéristiques de jeu.</t>
        </is>
      </c>
    </row>
    <row r="226" ht="42" customHeight="1">
      <c r="A226" s="8" t="inlineStr">
        <is>
          <t>Chasseurs de chars et canons automoteurs</t>
        </is>
      </c>
      <c r="B226" s="8" t="inlineStr">
        <is>
          <t>SU-122</t>
        </is>
      </c>
      <c r="C226" s="8" t="inlineStr">
        <is>
          <t>URSS</t>
        </is>
      </c>
      <c r="D226" s="8" t="inlineStr">
        <is>
          <t>Chasseurs de chars et canons automoteurs</t>
        </is>
      </c>
      <c r="E226" s="8" t="n"/>
      <c r="F226" s="8" t="inlineStr">
        <is>
          <t>V12 diesel V-2</t>
        </is>
      </c>
      <c r="G226" s="8" t="inlineStr">
        <is>
          <t>À normaliser après vérification</t>
        </is>
      </c>
      <c r="H226" s="8" t="inlineStr">
        <is>
          <t>À définir séparément des compatibilités historiques</t>
        </is>
      </c>
      <c r="I226" s="8" t="inlineStr">
        <is>
          <t>Documenté</t>
        </is>
      </c>
      <c r="J226" s="8" t="inlineStr">
        <is>
          <t>Dérivé du T-34.</t>
        </is>
      </c>
      <c r="K226" s="8" t="inlineStr">
        <is>
          <t>https://tanks-encyclopedia.com/ww2/soviet/su-122/</t>
        </is>
      </c>
      <c r="L226" s="8" t="inlineStr">
        <is>
          <t>Armement historique à déterminer précisément pour ce modèle/sa variante</t>
        </is>
      </c>
      <c r="M226" s="8" t="inlineStr">
        <is>
          <t>Ne récupérer une arme que si elle est présente, identifiable et démontable; vérifier le calibre</t>
        </is>
      </c>
      <c r="N226" s="8" t="inlineStr">
        <is>
          <t>À vérifier</t>
        </is>
      </c>
      <c r="O226" s="8" t="inlineStr">
        <is>
          <t>Non — contenu ultérieur</t>
        </is>
      </c>
      <c r="P226" s="8" t="inlineStr">
        <is>
          <t>À intégrer après validation du prototype</t>
        </is>
      </c>
      <c r="Q226" t="inlineStr">
        <is>
          <t>SU-122 : véhicule de catégorie « Chasseurs de chars et canons automoteurs », d'origine URSS. Motorisation recensée : V12 diesel V-2. Fiche de catalogue à compléter avec le rôle tactique et les caractéristiques de jeu.</t>
        </is>
      </c>
    </row>
    <row r="227" ht="42" customHeight="1">
      <c r="A227" s="8" t="inlineStr">
        <is>
          <t>Chasseurs de chars et canons automoteurs</t>
        </is>
      </c>
      <c r="B227" s="8" t="inlineStr">
        <is>
          <t>SU-152</t>
        </is>
      </c>
      <c r="C227" s="8" t="inlineStr">
        <is>
          <t>URSS</t>
        </is>
      </c>
      <c r="D227" s="8" t="inlineStr">
        <is>
          <t>Chasseurs de chars et canons automoteurs</t>
        </is>
      </c>
      <c r="E227" s="8" t="n"/>
      <c r="F227" s="8" t="inlineStr">
        <is>
          <t>V12 diesel V-2K</t>
        </is>
      </c>
      <c r="G227" s="8" t="inlineStr">
        <is>
          <t>À normaliser après vérification</t>
        </is>
      </c>
      <c r="H227" s="8" t="inlineStr">
        <is>
          <t>À définir séparément des compatibilités historiques</t>
        </is>
      </c>
      <c r="I227" s="8" t="inlineStr">
        <is>
          <t>Documenté</t>
        </is>
      </c>
      <c r="J227" s="8" t="inlineStr">
        <is>
          <t>Dérivé du châssis KV.</t>
        </is>
      </c>
      <c r="K227" s="8" t="inlineStr">
        <is>
          <t>https://tanks-encyclopedia.com/ww2/soviet/su-152/</t>
        </is>
      </c>
      <c r="L227" s="8" t="inlineStr">
        <is>
          <t>Obusier-canon de 152 mm ML-20S</t>
        </is>
      </c>
      <c r="M227" s="8" t="inlineStr">
        <is>
          <t>Arme principale lourde</t>
        </is>
      </c>
      <c r="N227" s="8" t="inlineStr">
        <is>
          <t>Élevé</t>
        </is>
      </c>
      <c r="O227" s="8" t="inlineStr">
        <is>
          <t>Non — contenu ultérieur</t>
        </is>
      </c>
      <c r="P227" s="8" t="inlineStr">
        <is>
          <t>À intégrer après validation du prototype</t>
        </is>
      </c>
      <c r="Q227" t="inlineStr">
        <is>
          <t>SU-152 : véhicule de catégorie « Chasseurs de chars et canons automoteurs », d'origine URSS. Motorisation recensée : V12 diesel V-2K. Fiche de catalogue à compléter avec le rôle tactique et les caractéristiques de jeu.</t>
        </is>
      </c>
    </row>
    <row r="228" ht="42" customHeight="1">
      <c r="A228" s="8" t="inlineStr">
        <is>
          <t>Chasseurs de chars et canons automoteurs</t>
        </is>
      </c>
      <c r="B228" s="8" t="inlineStr">
        <is>
          <t>ISU-122</t>
        </is>
      </c>
      <c r="C228" s="8" t="inlineStr">
        <is>
          <t>URSS</t>
        </is>
      </c>
      <c r="D228" s="8" t="inlineStr">
        <is>
          <t>Chasseurs de chars et canons automoteurs</t>
        </is>
      </c>
      <c r="E228" s="8" t="n"/>
      <c r="F228" s="8" t="inlineStr">
        <is>
          <t>V12 diesel V-2-IS</t>
        </is>
      </c>
      <c r="G228" s="8" t="inlineStr">
        <is>
          <t>À normaliser après vérification</t>
        </is>
      </c>
      <c r="H228" s="8" t="inlineStr">
        <is>
          <t>À définir séparément des compatibilités historiques</t>
        </is>
      </c>
      <c r="I228" s="8" t="inlineStr">
        <is>
          <t>À vérifier</t>
        </is>
      </c>
      <c r="J228" s="8" t="inlineStr">
        <is>
          <t>Châssis IS, groupe moteur de la famille V-2.</t>
        </is>
      </c>
      <c r="K228" s="8" t="inlineStr">
        <is>
          <t>https://tanks-encyclopedia.com/ww2/soviet/isu-122/</t>
        </is>
      </c>
      <c r="L228" s="8" t="inlineStr">
        <is>
          <t>Canon de 122 mm A-19S ou D-25S selon version</t>
        </is>
      </c>
      <c r="M228" s="8" t="inlineStr">
        <is>
          <t>Canon principal lourd</t>
        </is>
      </c>
      <c r="N228" s="8" t="inlineStr">
        <is>
          <t>Partiel</t>
        </is>
      </c>
      <c r="O228" s="8" t="inlineStr">
        <is>
          <t>Non — contenu ultérieur</t>
        </is>
      </c>
      <c r="P228" s="8" t="inlineStr">
        <is>
          <t>À intégrer après validation du prototype</t>
        </is>
      </c>
      <c r="Q228" t="inlineStr">
        <is>
          <t>ISU-122 : véhicule de catégorie « Chasseurs de chars et canons automoteurs », d'origine URSS. Motorisation recensée : V12 diesel V-2-IS. Variante historique à vérifier avant validation définitive.</t>
        </is>
      </c>
    </row>
    <row r="229" ht="42" customHeight="1">
      <c r="A229" s="8" t="inlineStr">
        <is>
          <t>Chasseurs de chars et canons automoteurs</t>
        </is>
      </c>
      <c r="B229" s="8" t="inlineStr">
        <is>
          <t>ISU-152</t>
        </is>
      </c>
      <c r="C229" s="8" t="inlineStr">
        <is>
          <t>URSS</t>
        </is>
      </c>
      <c r="D229" s="8" t="inlineStr">
        <is>
          <t>Chasseurs de chars et canons automoteurs</t>
        </is>
      </c>
      <c r="E229" s="8" t="n"/>
      <c r="F229" s="8" t="inlineStr">
        <is>
          <t>V12 diesel V-2-IS</t>
        </is>
      </c>
      <c r="G229" s="8" t="inlineStr">
        <is>
          <t>À normaliser après vérification</t>
        </is>
      </c>
      <c r="H229" s="8" t="inlineStr">
        <is>
          <t>À définir séparément des compatibilités historiques</t>
        </is>
      </c>
      <c r="I229" s="8" t="inlineStr">
        <is>
          <t>Documenté</t>
        </is>
      </c>
      <c r="J229" s="8" t="inlineStr">
        <is>
          <t>Châssis IS lourd.</t>
        </is>
      </c>
      <c r="K229" s="8" t="inlineStr">
        <is>
          <t>https://tanks-encyclopedia.com/ww2/soviet/isu-152/</t>
        </is>
      </c>
      <c r="L229" s="8" t="inlineStr">
        <is>
          <t>Obusier-canon de 152 mm ML-20S</t>
        </is>
      </c>
      <c r="M229" s="8" t="inlineStr">
        <is>
          <t>Arme principale lourde</t>
        </is>
      </c>
      <c r="N229" s="8" t="inlineStr">
        <is>
          <t>Élevé</t>
        </is>
      </c>
      <c r="O229" s="8" t="inlineStr">
        <is>
          <t>Non — contenu ultérieur</t>
        </is>
      </c>
      <c r="P229" s="8" t="inlineStr">
        <is>
          <t>À intégrer après validation du prototype</t>
        </is>
      </c>
      <c r="Q229" t="inlineStr">
        <is>
          <t>ISU-152 : véhicule de catégorie « Chasseurs de chars et canons automoteurs », d'origine URSS. Motorisation recensée : V12 diesel V-2-IS. Fiche de catalogue à compléter avec le rôle tactique et les caractéristiques de jeu.</t>
        </is>
      </c>
    </row>
    <row r="230" ht="42" customHeight="1">
      <c r="A230" s="8" t="inlineStr">
        <is>
          <t>Chars légers et chars anciens</t>
        </is>
      </c>
      <c r="B230" s="8" t="inlineStr">
        <is>
          <t>Type 89 I-Go</t>
        </is>
      </c>
      <c r="C230" s="8" t="inlineStr">
        <is>
          <t>Japon</t>
        </is>
      </c>
      <c r="D230" s="8" t="inlineStr">
        <is>
          <t>Chars légers et chars anciens</t>
        </is>
      </c>
      <c r="E230" s="8" t="n"/>
      <c r="F230" s="8" t="inlineStr">
        <is>
          <t>6 cylindres essence / diesel selon variante (à préciser)</t>
        </is>
      </c>
      <c r="G230" s="8" t="inlineStr">
        <is>
          <t>À normaliser après vérification</t>
        </is>
      </c>
      <c r="H230" s="8" t="inlineStr">
        <is>
          <t>À définir séparément des compatibilités historiques</t>
        </is>
      </c>
      <c r="I230" s="8" t="inlineStr">
        <is>
          <t>À vérifier</t>
        </is>
      </c>
      <c r="J230" s="8" t="inlineStr">
        <is>
          <t>Ancien char moyen ; différencier Type 89A et 89B.</t>
        </is>
      </c>
      <c r="K230" s="8" t="inlineStr">
        <is>
          <t>https://onwar.com/wwii/tanks/japan/index.html</t>
        </is>
      </c>
      <c r="L230" s="8" t="inlineStr">
        <is>
          <t>Armement historique à déterminer précisément pour ce modèle/sa variante</t>
        </is>
      </c>
      <c r="M230" s="8" t="inlineStr">
        <is>
          <t>Ne récupérer une arme que si elle est présente, identifiable et démontable; vérifier le calibre</t>
        </is>
      </c>
      <c r="N230" s="8" t="inlineStr">
        <is>
          <t>À vérifier</t>
        </is>
      </c>
      <c r="O230" s="8" t="inlineStr">
        <is>
          <t>Non — contenu ultérieur</t>
        </is>
      </c>
      <c r="P230" s="8" t="inlineStr">
        <is>
          <t>À intégrer après validation du prototype</t>
        </is>
      </c>
      <c r="Q230" t="inlineStr">
        <is>
          <t>Type 89 I-Go : véhicule de catégorie « Chars légers et chars anciens », d'origine Japon. Motorisation recensée : 6 cylindres essence / diesel selon variante (à préciser). Variante historique à vérifier avant validation définitive.</t>
        </is>
      </c>
    </row>
    <row r="231" ht="42" customHeight="1">
      <c r="A231" s="8" t="inlineStr">
        <is>
          <t>Chars légers et chars anciens</t>
        </is>
      </c>
      <c r="B231" s="8" t="inlineStr">
        <is>
          <t>Type 92 Jyu-Sokosha</t>
        </is>
      </c>
      <c r="C231" s="8" t="inlineStr">
        <is>
          <t>Japon</t>
        </is>
      </c>
      <c r="D231" s="8" t="inlineStr">
        <is>
          <t>Chars légers et chars anciens</t>
        </is>
      </c>
      <c r="E231" s="8" t="n"/>
      <c r="F231" s="8" t="inlineStr">
        <is>
          <t>4 cylindres essence (à confirmer)</t>
        </is>
      </c>
      <c r="G231" s="8" t="inlineStr">
        <is>
          <t>À normaliser après vérification</t>
        </is>
      </c>
      <c r="H231" s="8" t="inlineStr">
        <is>
          <t>À définir séparément des compatibilités historiques</t>
        </is>
      </c>
      <c r="I231" s="8" t="inlineStr">
        <is>
          <t>À vérifier</t>
        </is>
      </c>
      <c r="J231" s="8" t="inlineStr">
        <is>
          <t>Tankette de cavalerie.</t>
        </is>
      </c>
      <c r="K231" s="8" t="inlineStr">
        <is>
          <t>https://onwar.com/wwii/tanks/japan/index.html</t>
        </is>
      </c>
      <c r="L231" s="8" t="inlineStr">
        <is>
          <t>Armement historique à déterminer précisément pour ce modèle/sa variante</t>
        </is>
      </c>
      <c r="M231" s="8" t="inlineStr">
        <is>
          <t>Ne récupérer une arme que si elle est présente, identifiable et démontable; vérifier le calibre</t>
        </is>
      </c>
      <c r="N231" s="8" t="inlineStr">
        <is>
          <t>À vérifier</t>
        </is>
      </c>
      <c r="O231" s="8" t="inlineStr">
        <is>
          <t>Non — contenu ultérieur</t>
        </is>
      </c>
      <c r="P231" s="8" t="inlineStr">
        <is>
          <t>À intégrer après validation du prototype</t>
        </is>
      </c>
      <c r="Q231" t="inlineStr">
        <is>
          <t>Type 92 Jyu-Sokosha : véhicule de catégorie « Chars légers et chars anciens », d'origine Japon. Motorisation recensée : 4 cylindres essence (à confirmer). Variante historique à vérifier avant validation définitive.</t>
        </is>
      </c>
    </row>
    <row r="232" ht="42" customHeight="1">
      <c r="A232" s="8" t="inlineStr">
        <is>
          <t>Chars légers et chars anciens</t>
        </is>
      </c>
      <c r="B232" s="8" t="inlineStr">
        <is>
          <t>Type 94 tankette</t>
        </is>
      </c>
      <c r="C232" s="8" t="inlineStr">
        <is>
          <t>Japon</t>
        </is>
      </c>
      <c r="D232" s="8" t="inlineStr">
        <is>
          <t>Chars légers et chars anciens</t>
        </is>
      </c>
      <c r="E232" s="8" t="n"/>
      <c r="F232" s="8" t="inlineStr">
        <is>
          <t>4 cylindres essence (à confirmer)</t>
        </is>
      </c>
      <c r="G232" s="8" t="inlineStr">
        <is>
          <t>À normaliser après vérification</t>
        </is>
      </c>
      <c r="H232" s="8" t="inlineStr">
        <is>
          <t>À définir séparément des compatibilités historiques</t>
        </is>
      </c>
      <c r="I232" s="8" t="inlineStr">
        <is>
          <t>À vérifier</t>
        </is>
      </c>
      <c r="J232" s="8" t="inlineStr">
        <is>
          <t>Très petit châssis de reconnaissance.</t>
        </is>
      </c>
      <c r="K232" s="8" t="inlineStr">
        <is>
          <t>https://onwar.com/wwii/tanks/japan/index.html</t>
        </is>
      </c>
      <c r="L232" s="8" t="inlineStr">
        <is>
          <t>Armement historique à déterminer précisément pour ce modèle/sa variante</t>
        </is>
      </c>
      <c r="M232" s="8" t="inlineStr">
        <is>
          <t>Ne récupérer une arme que si elle est présente, identifiable et démontable; vérifier le calibre</t>
        </is>
      </c>
      <c r="N232" s="8" t="inlineStr">
        <is>
          <t>À vérifier</t>
        </is>
      </c>
      <c r="O232" s="8" t="inlineStr">
        <is>
          <t>Non — contenu ultérieur</t>
        </is>
      </c>
      <c r="P232" s="8" t="inlineStr">
        <is>
          <t>À intégrer après validation du prototype</t>
        </is>
      </c>
      <c r="Q232" t="inlineStr">
        <is>
          <t>Type 94 tankette : véhicule de catégorie « Chars légers et chars anciens », d'origine Japon. Motorisation recensée : 4 cylindres essence (à confirmer). Variante historique à vérifier avant validation définitive.</t>
        </is>
      </c>
    </row>
    <row r="233" ht="42" customHeight="1">
      <c r="A233" s="8" t="inlineStr">
        <is>
          <t>Chars légers et chars anciens</t>
        </is>
      </c>
      <c r="B233" s="8" t="inlineStr">
        <is>
          <t>Type 95 Ha-Go</t>
        </is>
      </c>
      <c r="C233" s="8" t="inlineStr">
        <is>
          <t>Japon</t>
        </is>
      </c>
      <c r="D233" s="8" t="inlineStr">
        <is>
          <t>Chars légers et chars anciens</t>
        </is>
      </c>
      <c r="E233" s="8" t="n"/>
      <c r="F233" s="8" t="inlineStr">
        <is>
          <t>6 cylindres diesel Mitsubishi A6120VD</t>
        </is>
      </c>
      <c r="G233" s="8" t="inlineStr">
        <is>
          <t>À normaliser après vérification</t>
        </is>
      </c>
      <c r="H233" s="8" t="inlineStr">
        <is>
          <t>À définir séparément des compatibilités historiques</t>
        </is>
      </c>
      <c r="I233" s="8" t="inlineStr">
        <is>
          <t>Documenté</t>
        </is>
      </c>
      <c r="J233" s="8" t="inlineStr">
        <is>
          <t>Moteur diesel japonais, famille spécifique.</t>
        </is>
      </c>
      <c r="K233" s="8" t="inlineStr">
        <is>
          <t>https://worldoftanks.com/en/news/general-news/about-ha-go/</t>
        </is>
      </c>
      <c r="L233" s="8" t="inlineStr">
        <is>
          <t>Canon de 37 mm Type 94 ou 37 mm Type 98 selon version; mitrailleuses Type 97 de 7,7 mm</t>
        </is>
      </c>
      <c r="M233" s="8" t="inlineStr">
        <is>
          <t>Canon et mitrailleuses selon variante</t>
        </is>
      </c>
      <c r="N233" s="8" t="inlineStr">
        <is>
          <t>Partiel</t>
        </is>
      </c>
      <c r="O233" s="8" t="inlineStr">
        <is>
          <t>Non — contenu ultérieur</t>
        </is>
      </c>
      <c r="P233" s="8" t="inlineStr">
        <is>
          <t>À intégrer après validation du prototype</t>
        </is>
      </c>
      <c r="Q233" t="inlineStr">
        <is>
          <t>Type 95 Ha-Go : véhicule de catégorie « Chars légers et chars anciens », d'origine Japon. Motorisation recensée : 6 cylindres diesel Mitsubishi A6120VD. Fiche de catalogue à compléter avec le rôle tactique et les caractéristiques de jeu.</t>
        </is>
      </c>
    </row>
    <row r="234" ht="42" customHeight="1">
      <c r="A234" s="8" t="inlineStr">
        <is>
          <t>Chars moyens</t>
        </is>
      </c>
      <c r="B234" s="8" t="inlineStr">
        <is>
          <t>Type 97 Shinhoto Chi-Ha</t>
        </is>
      </c>
      <c r="C234" s="8" t="inlineStr">
        <is>
          <t>Japon</t>
        </is>
      </c>
      <c r="D234" s="8" t="inlineStr">
        <is>
          <t>Chars moyens</t>
        </is>
      </c>
      <c r="E234" s="8" t="n"/>
      <c r="F234" s="8" t="inlineStr">
        <is>
          <t>V12 diesel Mitsubishi (famille Chi-Ha, code à confirmer)</t>
        </is>
      </c>
      <c r="G234" s="8" t="inlineStr">
        <is>
          <t>À normaliser après vérification</t>
        </is>
      </c>
      <c r="H234" s="8" t="inlineStr">
        <is>
          <t>À définir séparément des compatibilités historiques</t>
        </is>
      </c>
      <c r="I234" s="8" t="inlineStr">
        <is>
          <t>À vérifier</t>
        </is>
      </c>
      <c r="J234" s="8" t="inlineStr">
        <is>
          <t>Variante tardive avec tourelle différente.</t>
        </is>
      </c>
      <c r="K234" s="8" t="inlineStr">
        <is>
          <t>https://onwar.com/wwii/tanks/japan/index.html</t>
        </is>
      </c>
      <c r="L234" s="8" t="inlineStr">
        <is>
          <t>Armement historique à déterminer précisément pour ce modèle/sa variante</t>
        </is>
      </c>
      <c r="M234" s="8" t="inlineStr">
        <is>
          <t>Ne récupérer une arme que si elle est présente, identifiable et démontable; vérifier le calibre</t>
        </is>
      </c>
      <c r="N234" s="8" t="inlineStr">
        <is>
          <t>À vérifier</t>
        </is>
      </c>
      <c r="O234" s="8" t="inlineStr">
        <is>
          <t>Non — contenu ultérieur</t>
        </is>
      </c>
      <c r="P234" s="8" t="inlineStr">
        <is>
          <t>À intégrer après validation du prototype</t>
        </is>
      </c>
      <c r="Q234" t="inlineStr">
        <is>
          <t>Type 97 Shinhoto Chi-Ha : véhicule de catégorie « Chars moyens », d'origine Japon. Motorisation recensée : V12 diesel Mitsubishi (famille Chi-Ha, code à confirmer). Variante historique à vérifier avant validation définitive.</t>
        </is>
      </c>
    </row>
    <row r="235" ht="42" customHeight="1">
      <c r="A235" s="8" t="inlineStr">
        <is>
          <t>Chars moyens</t>
        </is>
      </c>
      <c r="B235" s="8" t="inlineStr">
        <is>
          <t>Type 1 Chi-He</t>
        </is>
      </c>
      <c r="C235" s="8" t="inlineStr">
        <is>
          <t>Japon</t>
        </is>
      </c>
      <c r="D235" s="8" t="inlineStr">
        <is>
          <t>Chars moyens</t>
        </is>
      </c>
      <c r="E235" s="8" t="n"/>
      <c r="F235" s="8" t="inlineStr">
        <is>
          <t>V12 diesel Mitsubishi (famille à confirmer)</t>
        </is>
      </c>
      <c r="G235" s="8" t="inlineStr">
        <is>
          <t>À normaliser après vérification</t>
        </is>
      </c>
      <c r="H235" s="8" t="inlineStr">
        <is>
          <t>À définir séparément des compatibilités historiques</t>
        </is>
      </c>
      <c r="I235" s="8" t="inlineStr">
        <is>
          <t>À vérifier</t>
        </is>
      </c>
      <c r="J235" s="8" t="inlineStr">
        <is>
          <t>Évolution du Chi-Ha.</t>
        </is>
      </c>
      <c r="K235" s="8" t="inlineStr">
        <is>
          <t>https://onwar.com/wwii/tanks/japan/index.html</t>
        </is>
      </c>
      <c r="L235" s="8" t="inlineStr">
        <is>
          <t>Canon de 47 mm Type 1; mitrailleuses Type 97 de 7,7 mm</t>
        </is>
      </c>
      <c r="M235" s="8" t="inlineStr">
        <is>
          <t>Canon et MG</t>
        </is>
      </c>
      <c r="N235" s="8" t="inlineStr">
        <is>
          <t>Partiel</t>
        </is>
      </c>
      <c r="O235" s="8" t="inlineStr">
        <is>
          <t>Non — contenu ultérieur</t>
        </is>
      </c>
      <c r="P235" s="8" t="inlineStr">
        <is>
          <t>À intégrer après validation du prototype</t>
        </is>
      </c>
      <c r="Q235" t="inlineStr">
        <is>
          <t>Type 1 Chi-He : véhicule de catégorie « Chars moyens », d'origine Japon. Motorisation recensée : V12 diesel Mitsubishi (famille à confirmer). Variante historique à vérifier avant validation définitive.</t>
        </is>
      </c>
    </row>
    <row r="236" ht="42" customHeight="1">
      <c r="A236" s="8" t="inlineStr">
        <is>
          <t>Chasseurs de chars et canons automoteurs</t>
        </is>
      </c>
      <c r="B236" s="8" t="inlineStr">
        <is>
          <t>Type 2 Ho-I</t>
        </is>
      </c>
      <c r="C236" s="8" t="inlineStr">
        <is>
          <t>Japon</t>
        </is>
      </c>
      <c r="D236" s="8" t="inlineStr">
        <is>
          <t>Chasseurs de chars et canons automoteurs</t>
        </is>
      </c>
      <c r="E236" s="8" t="n"/>
      <c r="F236" s="8" t="inlineStr">
        <is>
          <t>V12 diesel Mitsubishi (à confirmer)</t>
        </is>
      </c>
      <c r="G236" s="8" t="inlineStr">
        <is>
          <t>À normaliser après vérification</t>
        </is>
      </c>
      <c r="H236" s="8" t="inlineStr">
        <is>
          <t>À définir séparément des compatibilités historiques</t>
        </is>
      </c>
      <c r="I236" s="8" t="inlineStr">
        <is>
          <t>Prototype / à vérifier</t>
        </is>
      </c>
      <c r="J236" s="8" t="inlineStr">
        <is>
          <t>Char d'appui rapproché, production très limitée.</t>
        </is>
      </c>
      <c r="K236" s="8" t="inlineStr">
        <is>
          <t>https://onwar.com/wwii/tanks/japan/index.html</t>
        </is>
      </c>
      <c r="L236" s="8" t="inlineStr">
        <is>
          <t>Armement historique à déterminer précisément pour ce modèle/sa variante</t>
        </is>
      </c>
      <c r="M236" s="8" t="inlineStr">
        <is>
          <t>Ne récupérer une arme que si elle est présente, identifiable et démontable; vérifier le calibre</t>
        </is>
      </c>
      <c r="N236" s="8" t="inlineStr">
        <is>
          <t>À vérifier</t>
        </is>
      </c>
      <c r="O236" s="8" t="inlineStr">
        <is>
          <t>Non — contenu ultérieur</t>
        </is>
      </c>
      <c r="P236" s="8" t="inlineStr">
        <is>
          <t>À intégrer après validation du prototype</t>
        </is>
      </c>
      <c r="Q236" t="inlineStr">
        <is>
          <t>Type 2 Ho-I : véhicule de catégorie « Chasseurs de chars et canons automoteurs », d'origine Japon. Motorisation recensée : V12 diesel Mitsubishi (à confirmer). Variante historique à vérifier avant validation définitive.</t>
        </is>
      </c>
    </row>
    <row r="237" ht="42" customHeight="1">
      <c r="A237" s="8" t="inlineStr">
        <is>
          <t>Chars moyens</t>
        </is>
      </c>
      <c r="B237" s="8" t="inlineStr">
        <is>
          <t>Type 3 Chi-Nu</t>
        </is>
      </c>
      <c r="C237" s="8" t="inlineStr">
        <is>
          <t>Japon</t>
        </is>
      </c>
      <c r="D237" s="8" t="inlineStr">
        <is>
          <t>Chars moyens</t>
        </is>
      </c>
      <c r="E237" s="8" t="n"/>
      <c r="F237" s="8" t="inlineStr">
        <is>
          <t>V12 diesel Mitsubishi (famille à confirmer)</t>
        </is>
      </c>
      <c r="G237" s="8" t="inlineStr">
        <is>
          <t>À normaliser après vérification</t>
        </is>
      </c>
      <c r="H237" s="8" t="inlineStr">
        <is>
          <t>À définir séparément des compatibilités historiques</t>
        </is>
      </c>
      <c r="I237" s="8" t="inlineStr">
        <is>
          <t>À vérifier</t>
        </is>
      </c>
      <c r="J237" s="8" t="inlineStr">
        <is>
          <t>Char moyen tardif.</t>
        </is>
      </c>
      <c r="K237" s="8" t="inlineStr">
        <is>
          <t>https://onwar.com/wwii/tanks/japan/index.html</t>
        </is>
      </c>
      <c r="L237" s="8" t="inlineStr">
        <is>
          <t>Canon de 75 mm Type 3; mitrailleuse Type 97 de 7,7 mm</t>
        </is>
      </c>
      <c r="M237" s="8" t="inlineStr">
        <is>
          <t>Canon et MG</t>
        </is>
      </c>
      <c r="N237" s="8" t="inlineStr">
        <is>
          <t>Partiel</t>
        </is>
      </c>
      <c r="O237" s="8" t="inlineStr">
        <is>
          <t>Non — contenu ultérieur</t>
        </is>
      </c>
      <c r="P237" s="8" t="inlineStr">
        <is>
          <t>À intégrer après validation du prototype</t>
        </is>
      </c>
      <c r="Q237" t="inlineStr">
        <is>
          <t>Type 3 Chi-Nu : véhicule de catégorie « Chars moyens », d'origine Japon. Motorisation recensée : V12 diesel Mitsubishi (famille à confirmer). Variante historique à vérifier avant validation définitive.</t>
        </is>
      </c>
    </row>
    <row r="238" ht="42" customHeight="1">
      <c r="A238" s="8" t="inlineStr">
        <is>
          <t>Chars moyens</t>
        </is>
      </c>
      <c r="B238" s="8" t="inlineStr">
        <is>
          <t>Type 4 Chi-To</t>
        </is>
      </c>
      <c r="C238" s="8" t="inlineStr">
        <is>
          <t>Japon</t>
        </is>
      </c>
      <c r="D238" s="8" t="inlineStr">
        <is>
          <t>Chars moyens</t>
        </is>
      </c>
      <c r="E238" s="8" t="n"/>
      <c r="F238" s="8" t="inlineStr">
        <is>
          <t>V12 diesel Mitsubishi (prototype, détails à confirmer)</t>
        </is>
      </c>
      <c r="G238" s="8" t="inlineStr">
        <is>
          <t>À normaliser après vérification</t>
        </is>
      </c>
      <c r="H238" s="8" t="inlineStr">
        <is>
          <t>À définir séparément des compatibilités historiques</t>
        </is>
      </c>
      <c r="I238" s="8" t="inlineStr">
        <is>
          <t>Prototype / à vérifier</t>
        </is>
      </c>
      <c r="J238" s="8" t="inlineStr">
        <is>
          <t>Prototype conçu pendant la guerre.</t>
        </is>
      </c>
      <c r="K238" s="8" t="inlineStr">
        <is>
          <t>https://onwar.com/wwii/tanks/japan/index.html</t>
        </is>
      </c>
      <c r="L238" s="8" t="inlineStr">
        <is>
          <t>Canon de 75 mm Type 5; mitrailleuse Type 97 de 7,7 mm prévue</t>
        </is>
      </c>
      <c r="M238" s="8" t="inlineStr">
        <is>
          <t>Prototype; armement prévu, montage réel variable</t>
        </is>
      </c>
      <c r="N238" s="8" t="inlineStr">
        <is>
          <t>Projet</t>
        </is>
      </c>
      <c r="O238" s="8" t="inlineStr">
        <is>
          <t>Non — contenu ultérieur</t>
        </is>
      </c>
      <c r="P238" s="8" t="inlineStr">
        <is>
          <t>À intégrer après validation du prototype</t>
        </is>
      </c>
      <c r="Q238" t="inlineStr">
        <is>
          <t>Type 4 Chi-To : véhicule de catégorie « Chars moyens », d'origine Japon. Motorisation recensée : V12 diesel Mitsubishi (prototype, détails à confirmer). Variante historique à vérifier avant validation définitive.</t>
        </is>
      </c>
    </row>
    <row r="239" ht="42" customHeight="1">
      <c r="A239" s="8" t="inlineStr">
        <is>
          <t>Chars lourds et prototypes</t>
        </is>
      </c>
      <c r="B239" s="8" t="inlineStr">
        <is>
          <t>Type 5 Chi-Ri</t>
        </is>
      </c>
      <c r="C239" s="8" t="inlineStr">
        <is>
          <t>Japon</t>
        </is>
      </c>
      <c r="D239" s="8" t="inlineStr">
        <is>
          <t>Chars lourds et prototypes</t>
        </is>
      </c>
      <c r="E239" s="8" t="n"/>
      <c r="F239" s="8" t="inlineStr">
        <is>
          <t>V12 essence BMW / Kawasaki prévu, motorisation exacte à vérifier</t>
        </is>
      </c>
      <c r="G239" s="8" t="inlineStr">
        <is>
          <t>À normaliser après vérification</t>
        </is>
      </c>
      <c r="H239" s="8" t="inlineStr">
        <is>
          <t>À définir séparément des compatibilités historiques</t>
        </is>
      </c>
      <c r="I239" s="8" t="inlineStr">
        <is>
          <t>Prototype / à vérifier</t>
        </is>
      </c>
      <c r="J239" s="8" t="inlineStr">
        <is>
          <t>Prototype inachevé ; distinguer moteur prévu et moteur opérationnel.</t>
        </is>
      </c>
      <c r="K239" s="8" t="inlineStr">
        <is>
          <t>https://onwar.com/wwii/tanks/japan/index.html</t>
        </is>
      </c>
      <c r="L239" s="8" t="inlineStr">
        <is>
          <t>Armement historique à déterminer précisément pour ce modèle/sa variante</t>
        </is>
      </c>
      <c r="M239" s="8" t="inlineStr">
        <is>
          <t>Ne récupérer une arme que si elle est présente, identifiable et démontable; vérifier le calibre</t>
        </is>
      </c>
      <c r="N239" s="8" t="inlineStr">
        <is>
          <t>À vérifier</t>
        </is>
      </c>
      <c r="O239" s="8" t="inlineStr">
        <is>
          <t>Non — contenu ultérieur</t>
        </is>
      </c>
      <c r="P239" s="8" t="inlineStr">
        <is>
          <t>À intégrer après validation du prototype</t>
        </is>
      </c>
      <c r="Q239" t="inlineStr">
        <is>
          <t>Type 5 Chi-Ri : véhicule de catégorie « Chars lourds et prototypes », d'origine Japon. Motorisation recensée : V12 essence BMW / Kawasaki prévu, motorisation exacte à vérifier. Variante historique à vérifier avant validation définitive.</t>
        </is>
      </c>
    </row>
    <row r="240" ht="42" customHeight="1">
      <c r="A240" s="8" t="inlineStr">
        <is>
          <t>Chars amphibies et spécialisés</t>
        </is>
      </c>
      <c r="B240" s="8" t="inlineStr">
        <is>
          <t>Type 2 Ka-Mi</t>
        </is>
      </c>
      <c r="C240" s="8" t="inlineStr">
        <is>
          <t>Japon</t>
        </is>
      </c>
      <c r="D240" s="8" t="inlineStr">
        <is>
          <t>Chars amphibies et spécialisés</t>
        </is>
      </c>
      <c r="E240" s="8" t="n"/>
      <c r="F240" s="8" t="inlineStr">
        <is>
          <t>V12 diesel Mitsubishi (famille à confirmer)</t>
        </is>
      </c>
      <c r="G240" s="8" t="inlineStr">
        <is>
          <t>À normaliser après vérification</t>
        </is>
      </c>
      <c r="H240" s="8" t="inlineStr">
        <is>
          <t>À définir séparément des compatibilités historiques</t>
        </is>
      </c>
      <c r="I240" s="8" t="inlineStr">
        <is>
          <t>À vérifier</t>
        </is>
      </c>
      <c r="J240" s="8" t="inlineStr">
        <is>
          <t>Char amphibie à flotteurs démontables.</t>
        </is>
      </c>
      <c r="K240" s="8" t="inlineStr">
        <is>
          <t>https://onwar.com/wwii/tanks/japan/index.html</t>
        </is>
      </c>
      <c r="L240" s="8" t="inlineStr">
        <is>
          <t>Armement historique à déterminer précisément pour ce modèle/sa variante</t>
        </is>
      </c>
      <c r="M240" s="8" t="inlineStr">
        <is>
          <t>Ne récupérer une arme que si elle est présente, identifiable et démontable; vérifier le calibre</t>
        </is>
      </c>
      <c r="N240" s="8" t="inlineStr">
        <is>
          <t>À vérifier</t>
        </is>
      </c>
      <c r="O240" s="8" t="inlineStr">
        <is>
          <t>Non — contenu ultérieur</t>
        </is>
      </c>
      <c r="P240" s="8" t="inlineStr">
        <is>
          <t>À intégrer après validation du prototype</t>
        </is>
      </c>
      <c r="Q240" t="inlineStr">
        <is>
          <t>Type 2 Ka-Mi : véhicule de catégorie « Chars amphibies et spécialisés », d'origine Japon. Motorisation recensée : V12 diesel Mitsubishi (famille à confirmer). Variante historique à vérifier avant validation définitive.</t>
        </is>
      </c>
    </row>
    <row r="241" ht="42" customHeight="1">
      <c r="A241" s="8" t="inlineStr">
        <is>
          <t>Chars amphibies et spécialisés</t>
        </is>
      </c>
      <c r="B241" s="8" t="inlineStr">
        <is>
          <t>Type 3 Ka-Chi</t>
        </is>
      </c>
      <c r="C241" s="8" t="inlineStr">
        <is>
          <t>Japon</t>
        </is>
      </c>
      <c r="D241" s="8" t="inlineStr">
        <is>
          <t>Chars amphibies et spécialisés</t>
        </is>
      </c>
      <c r="E241" s="8" t="n"/>
      <c r="F241" s="8" t="inlineStr">
        <is>
          <t>V12 diesel Mitsubishi (famille à confirmer)</t>
        </is>
      </c>
      <c r="G241" s="8" t="inlineStr">
        <is>
          <t>À normaliser après vérification</t>
        </is>
      </c>
      <c r="H241" s="8" t="inlineStr">
        <is>
          <t>À définir séparément des compatibilités historiques</t>
        </is>
      </c>
      <c r="I241" s="8" t="inlineStr">
        <is>
          <t>Prototype / à vérifier</t>
        </is>
      </c>
      <c r="J241" s="8" t="inlineStr">
        <is>
          <t>Char amphibie plus grand.</t>
        </is>
      </c>
      <c r="K241" s="8" t="inlineStr">
        <is>
          <t>https://onwar.com/wwii/tanks/japan/index.html</t>
        </is>
      </c>
      <c r="L241" s="8" t="inlineStr">
        <is>
          <t>Armement historique à déterminer précisément pour ce modèle/sa variante</t>
        </is>
      </c>
      <c r="M241" s="8" t="inlineStr">
        <is>
          <t>Ne récupérer une arme que si elle est présente, identifiable et démontable; vérifier le calibre</t>
        </is>
      </c>
      <c r="N241" s="8" t="inlineStr">
        <is>
          <t>À vérifier</t>
        </is>
      </c>
      <c r="O241" s="8" t="inlineStr">
        <is>
          <t>Non — contenu ultérieur</t>
        </is>
      </c>
      <c r="P241" s="8" t="inlineStr">
        <is>
          <t>À intégrer après validation du prototype</t>
        </is>
      </c>
      <c r="Q241" t="inlineStr">
        <is>
          <t>Type 3 Ka-Chi : véhicule de catégorie « Chars amphibies et spécialisés », d'origine Japon. Motorisation recensée : V12 diesel Mitsubishi (famille à confirmer). Variante historique à vérifier avant validation définitive.</t>
        </is>
      </c>
    </row>
    <row r="242" ht="42" customHeight="1">
      <c r="A242" s="8" t="inlineStr">
        <is>
          <t>Chasseurs de chars et canons automoteurs</t>
        </is>
      </c>
      <c r="B242" s="8" t="inlineStr">
        <is>
          <t>Ho-Ni I</t>
        </is>
      </c>
      <c r="C242" s="8" t="inlineStr">
        <is>
          <t>Japon</t>
        </is>
      </c>
      <c r="D242" s="8" t="inlineStr">
        <is>
          <t>Chasseurs de chars et canons automoteurs</t>
        </is>
      </c>
      <c r="E242" s="8" t="n"/>
      <c r="F242" s="8" t="inlineStr">
        <is>
          <t>V12 diesel Mitsubishi (famille Chi-Ha)</t>
        </is>
      </c>
      <c r="G242" s="8" t="inlineStr">
        <is>
          <t>À normaliser après vérification</t>
        </is>
      </c>
      <c r="H242" s="8" t="inlineStr">
        <is>
          <t>À définir séparément des compatibilités historiques</t>
        </is>
      </c>
      <c r="I242" s="8" t="inlineStr">
        <is>
          <t>À vérifier</t>
        </is>
      </c>
      <c r="J242" s="8" t="inlineStr">
        <is>
          <t>Canon automoteur sur châssis Chi-Ha.</t>
        </is>
      </c>
      <c r="K242" s="8" t="inlineStr">
        <is>
          <t>https://onwar.com/wwii/tanks/japan/index.html</t>
        </is>
      </c>
      <c r="L242" s="8" t="inlineStr">
        <is>
          <t>Armement historique à déterminer précisément pour ce modèle/sa variante</t>
        </is>
      </c>
      <c r="M242" s="8" t="inlineStr">
        <is>
          <t>Ne récupérer une arme que si elle est présente, identifiable et démontable; vérifier le calibre</t>
        </is>
      </c>
      <c r="N242" s="8" t="inlineStr">
        <is>
          <t>À vérifier</t>
        </is>
      </c>
      <c r="O242" s="8" t="inlineStr">
        <is>
          <t>Non — contenu ultérieur</t>
        </is>
      </c>
      <c r="P242" s="8" t="inlineStr">
        <is>
          <t>À intégrer après validation du prototype</t>
        </is>
      </c>
      <c r="Q242" t="inlineStr">
        <is>
          <t>Ho-Ni I : véhicule de catégorie « Chasseurs de chars et canons automoteurs », d'origine Japon. Motorisation recensée : V12 diesel Mitsubishi (famille Chi-Ha). Variante historique à vérifier avant validation définitive.</t>
        </is>
      </c>
    </row>
    <row r="243" ht="42" customHeight="1">
      <c r="A243" s="8" t="inlineStr">
        <is>
          <t>Chars légers et chars anciens</t>
        </is>
      </c>
      <c r="B243" s="8" t="inlineStr">
        <is>
          <t>L3/33</t>
        </is>
      </c>
      <c r="C243" s="8" t="inlineStr">
        <is>
          <t>Italie</t>
        </is>
      </c>
      <c r="D243" s="8" t="inlineStr">
        <is>
          <t>Chars légers et chars anciens</t>
        </is>
      </c>
      <c r="E243" s="8" t="n"/>
      <c r="F243" s="8" t="inlineStr">
        <is>
          <t>4 cylindres essence Fiat</t>
        </is>
      </c>
      <c r="G243" s="8" t="inlineStr">
        <is>
          <t>À normaliser après vérification</t>
        </is>
      </c>
      <c r="H243" s="8" t="inlineStr">
        <is>
          <t>À définir séparément des compatibilités historiques</t>
        </is>
      </c>
      <c r="I243" s="8" t="inlineStr">
        <is>
          <t>À vérifier</t>
        </is>
      </c>
      <c r="J243" s="8" t="inlineStr">
        <is>
          <t>Tankette légère.</t>
        </is>
      </c>
      <c r="K243" s="8" t="inlineStr">
        <is>
          <t>https://onwar.com/tanks/italy/index.htm</t>
        </is>
      </c>
      <c r="L243" s="8" t="inlineStr">
        <is>
          <t>Armement historique à déterminer précisément pour ce modèle/sa variante</t>
        </is>
      </c>
      <c r="M243" s="8" t="inlineStr">
        <is>
          <t>Ne récupérer une arme que si elle est présente, identifiable et démontable; vérifier le calibre</t>
        </is>
      </c>
      <c r="N243" s="8" t="inlineStr">
        <is>
          <t>À vérifier</t>
        </is>
      </c>
      <c r="O243" s="8" t="inlineStr">
        <is>
          <t>Non — contenu ultérieur</t>
        </is>
      </c>
      <c r="P243" s="8" t="inlineStr">
        <is>
          <t>À intégrer après validation du prototype</t>
        </is>
      </c>
      <c r="Q243" t="inlineStr">
        <is>
          <t>L3/33 : véhicule de catégorie « Chars légers et chars anciens », d'origine Italie. Motorisation recensée : 4 cylindres essence Fiat. Variante historique à vérifier avant validation définitive.</t>
        </is>
      </c>
    </row>
    <row r="244" ht="42" customHeight="1">
      <c r="A244" s="8" t="inlineStr">
        <is>
          <t>Chars légers et chars anciens</t>
        </is>
      </c>
      <c r="B244" s="8" t="inlineStr">
        <is>
          <t>L3/35</t>
        </is>
      </c>
      <c r="C244" s="8" t="inlineStr">
        <is>
          <t>Italie</t>
        </is>
      </c>
      <c r="D244" s="8" t="inlineStr">
        <is>
          <t>Chars légers et chars anciens</t>
        </is>
      </c>
      <c r="E244" s="8" t="n"/>
      <c r="F244" s="8" t="inlineStr">
        <is>
          <t>4 cylindres essence Fiat</t>
        </is>
      </c>
      <c r="G244" s="8" t="inlineStr">
        <is>
          <t>À normaliser après vérification</t>
        </is>
      </c>
      <c r="H244" s="8" t="inlineStr">
        <is>
          <t>À définir séparément des compatibilités historiques</t>
        </is>
      </c>
      <c r="I244" s="8" t="inlineStr">
        <is>
          <t>À vérifier</t>
        </is>
      </c>
      <c r="J244" s="8" t="inlineStr">
        <is>
          <t>Évolution du L3/33.</t>
        </is>
      </c>
      <c r="K244" s="8" t="inlineStr">
        <is>
          <t>https://onwar.com/tanks/italy/index.htm</t>
        </is>
      </c>
      <c r="L244" s="8" t="inlineStr">
        <is>
          <t>Armement historique à déterminer précisément pour ce modèle/sa variante</t>
        </is>
      </c>
      <c r="M244" s="8" t="inlineStr">
        <is>
          <t>Ne récupérer une arme que si elle est présente, identifiable et démontable; vérifier le calibre</t>
        </is>
      </c>
      <c r="N244" s="8" t="inlineStr">
        <is>
          <t>À vérifier</t>
        </is>
      </c>
      <c r="O244" s="8" t="inlineStr">
        <is>
          <t>Non — contenu ultérieur</t>
        </is>
      </c>
      <c r="P244" s="8" t="inlineStr">
        <is>
          <t>À intégrer après validation du prototype</t>
        </is>
      </c>
      <c r="Q244" t="inlineStr">
        <is>
          <t>L3/35 : véhicule de catégorie « Chars légers et chars anciens », d'origine Italie. Motorisation recensée : 4 cylindres essence Fiat. Variante historique à vérifier avant validation définitive.</t>
        </is>
      </c>
    </row>
    <row r="245" ht="42" customHeight="1">
      <c r="A245" s="8" t="inlineStr">
        <is>
          <t>Chars légers et chars anciens</t>
        </is>
      </c>
      <c r="B245" s="8" t="inlineStr">
        <is>
          <t>L6/40</t>
        </is>
      </c>
      <c r="C245" s="8" t="inlineStr">
        <is>
          <t>Italie</t>
        </is>
      </c>
      <c r="D245" s="8" t="inlineStr">
        <is>
          <t>Chars légers et chars anciens</t>
        </is>
      </c>
      <c r="E245" s="8" t="n"/>
      <c r="F245" s="8" t="inlineStr">
        <is>
          <t>4 cylindres diesel SPA 18T</t>
        </is>
      </c>
      <c r="G245" s="8" t="inlineStr">
        <is>
          <t>À normaliser après vérification</t>
        </is>
      </c>
      <c r="H245" s="8" t="inlineStr">
        <is>
          <t>À définir séparément des compatibilités historiques</t>
        </is>
      </c>
      <c r="I245" s="8" t="inlineStr">
        <is>
          <t>À vérifier</t>
        </is>
      </c>
      <c r="J245" s="8" t="inlineStr">
        <is>
          <t>Char léger à moteur diesel.</t>
        </is>
      </c>
      <c r="K245" s="8" t="inlineStr">
        <is>
          <t>https://onwar.com/tanks/italy/index.htm</t>
        </is>
      </c>
      <c r="L245" s="8" t="inlineStr">
        <is>
          <t>Armement historique à déterminer précisément pour ce modèle/sa variante</t>
        </is>
      </c>
      <c r="M245" s="8" t="inlineStr">
        <is>
          <t>Ne récupérer une arme que si elle est présente, identifiable et démontable; vérifier le calibre</t>
        </is>
      </c>
      <c r="N245" s="8" t="inlineStr">
        <is>
          <t>À vérifier</t>
        </is>
      </c>
      <c r="O245" s="8" t="inlineStr">
        <is>
          <t>Non — contenu ultérieur</t>
        </is>
      </c>
      <c r="P245" s="8" t="inlineStr">
        <is>
          <t>À intégrer après validation du prototype</t>
        </is>
      </c>
      <c r="Q245" t="inlineStr">
        <is>
          <t>L6/40 : véhicule de catégorie « Chars légers et chars anciens », d'origine Italie. Motorisation recensée : 4 cylindres diesel SPA 18T. Variante historique à vérifier avant validation définitive.</t>
        </is>
      </c>
    </row>
    <row r="246" ht="42" customHeight="1">
      <c r="A246" s="8" t="inlineStr">
        <is>
          <t>Chars moyens</t>
        </is>
      </c>
      <c r="B246" s="8" t="inlineStr">
        <is>
          <t>M11/39</t>
        </is>
      </c>
      <c r="C246" s="8" t="inlineStr">
        <is>
          <t>Italie</t>
        </is>
      </c>
      <c r="D246" s="8" t="inlineStr">
        <is>
          <t>Chars moyens</t>
        </is>
      </c>
      <c r="E246" s="8" t="n"/>
      <c r="F246" s="8" t="inlineStr">
        <is>
          <t>8 cylindres diesel SPA 8T</t>
        </is>
      </c>
      <c r="G246" s="8" t="inlineStr">
        <is>
          <t>À normaliser après vérification</t>
        </is>
      </c>
      <c r="H246" s="8" t="inlineStr">
        <is>
          <t>À définir séparément des compatibilités historiques</t>
        </is>
      </c>
      <c r="I246" s="8" t="inlineStr">
        <is>
          <t>À vérifier</t>
        </is>
      </c>
      <c r="J246" s="8" t="inlineStr">
        <is>
          <t>Char moyen initial.</t>
        </is>
      </c>
      <c r="K246" s="8" t="inlineStr">
        <is>
          <t>https://onwar.com/tanks/italy/index.htm</t>
        </is>
      </c>
      <c r="L246" s="8" t="inlineStr">
        <is>
          <t>Armement historique à déterminer précisément pour ce modèle/sa variante</t>
        </is>
      </c>
      <c r="M246" s="8" t="inlineStr">
        <is>
          <t>Ne récupérer une arme que si elle est présente, identifiable et démontable; vérifier le calibre</t>
        </is>
      </c>
      <c r="N246" s="8" t="inlineStr">
        <is>
          <t>À vérifier</t>
        </is>
      </c>
      <c r="O246" s="8" t="inlineStr">
        <is>
          <t>Non — contenu ultérieur</t>
        </is>
      </c>
      <c r="P246" s="8" t="inlineStr">
        <is>
          <t>À intégrer après validation du prototype</t>
        </is>
      </c>
      <c r="Q246" t="inlineStr">
        <is>
          <t>M11/39 : véhicule de catégorie « Chars moyens », d'origine Italie. Motorisation recensée : 8 cylindres diesel SPA 8T. Variante historique à vérifier avant validation définitive.</t>
        </is>
      </c>
    </row>
    <row r="247" ht="42" customHeight="1">
      <c r="A247" s="8" t="inlineStr">
        <is>
          <t>Chars moyens</t>
        </is>
      </c>
      <c r="B247" s="8" t="inlineStr">
        <is>
          <t>M14/41</t>
        </is>
      </c>
      <c r="C247" s="8" t="inlineStr">
        <is>
          <t>Italie</t>
        </is>
      </c>
      <c r="D247" s="8" t="inlineStr">
        <is>
          <t>Chars moyens</t>
        </is>
      </c>
      <c r="E247" s="8" t="n"/>
      <c r="F247" s="8" t="inlineStr">
        <is>
          <t>8 cylindres diesel SPA 15T</t>
        </is>
      </c>
      <c r="G247" s="8" t="inlineStr">
        <is>
          <t>À normaliser après vérification</t>
        </is>
      </c>
      <c r="H247" s="8" t="inlineStr">
        <is>
          <t>À définir séparément des compatibilités historiques</t>
        </is>
      </c>
      <c r="I247" s="8" t="inlineStr">
        <is>
          <t>À vérifier</t>
        </is>
      </c>
      <c r="J247" s="8" t="inlineStr">
        <is>
          <t>Évolution du M13/40.</t>
        </is>
      </c>
      <c r="K247" s="8" t="inlineStr">
        <is>
          <t>https://onwar.com/tanks/italy/index.htm</t>
        </is>
      </c>
      <c r="L247" s="8" t="inlineStr">
        <is>
          <t>Canon de 47/32 mm; mitrailleuses Breda 8 mm</t>
        </is>
      </c>
      <c r="M247" s="8" t="inlineStr">
        <is>
          <t>Canon et mitrailleuses selon version</t>
        </is>
      </c>
      <c r="N247" s="8" t="inlineStr">
        <is>
          <t>Partiel</t>
        </is>
      </c>
      <c r="O247" s="8" t="inlineStr">
        <is>
          <t>Non — contenu ultérieur</t>
        </is>
      </c>
      <c r="P247" s="8" t="inlineStr">
        <is>
          <t>À intégrer après validation du prototype</t>
        </is>
      </c>
      <c r="Q247" t="inlineStr">
        <is>
          <t>M14/41 : véhicule de catégorie « Chars moyens », d'origine Italie. Motorisation recensée : 8 cylindres diesel SPA 15T. Variante historique à vérifier avant validation définitive.</t>
        </is>
      </c>
    </row>
    <row r="248" ht="42" customHeight="1">
      <c r="A248" s="8" t="inlineStr">
        <is>
          <t>Chars lourds et prototypes</t>
        </is>
      </c>
      <c r="B248" s="8" t="inlineStr">
        <is>
          <t>P26/40</t>
        </is>
      </c>
      <c r="C248" s="8" t="inlineStr">
        <is>
          <t>Italie</t>
        </is>
      </c>
      <c r="D248" s="8" t="inlineStr">
        <is>
          <t>Chars lourds et prototypes</t>
        </is>
      </c>
      <c r="E248" s="8" t="n"/>
      <c r="F248" s="8" t="inlineStr">
        <is>
          <t>12 cylindres diesel SPA 342</t>
        </is>
      </c>
      <c r="G248" s="8" t="inlineStr">
        <is>
          <t>À normaliser après vérification</t>
        </is>
      </c>
      <c r="H248" s="8" t="inlineStr">
        <is>
          <t>À définir séparément des compatibilités historiques</t>
        </is>
      </c>
      <c r="I248" s="8" t="inlineStr">
        <is>
          <t>À vérifier</t>
        </is>
      </c>
      <c r="J248" s="8" t="inlineStr">
        <is>
          <t>Char lourd italien ; production très limitée.</t>
        </is>
      </c>
      <c r="K248" s="8" t="inlineStr">
        <is>
          <t>https://onwar.com/tanks/italy/index.htm</t>
        </is>
      </c>
      <c r="L248" s="8" t="inlineStr">
        <is>
          <t>Armement historique à déterminer précisément pour ce modèle/sa variante</t>
        </is>
      </c>
      <c r="M248" s="8" t="inlineStr">
        <is>
          <t>Ne récupérer une arme que si elle est présente, identifiable et démontable; vérifier le calibre</t>
        </is>
      </c>
      <c r="N248" s="8" t="inlineStr">
        <is>
          <t>À vérifier</t>
        </is>
      </c>
      <c r="O248" s="8" t="inlineStr">
        <is>
          <t>Non — contenu ultérieur</t>
        </is>
      </c>
      <c r="P248" s="8" t="inlineStr">
        <is>
          <t>À intégrer après validation du prototype</t>
        </is>
      </c>
      <c r="Q248" t="inlineStr">
        <is>
          <t>P26/40 : véhicule de catégorie « Chars lourds et prototypes », d'origine Italie. Motorisation recensée : 12 cylindres diesel SPA 342. Variante historique à vérifier avant validation définitive.</t>
        </is>
      </c>
    </row>
    <row r="249" ht="42" customHeight="1">
      <c r="A249" s="8" t="inlineStr">
        <is>
          <t>Chasseurs de chars et canons automoteurs</t>
        </is>
      </c>
      <c r="B249" s="8" t="inlineStr">
        <is>
          <t>Semovente L40 da 47/32</t>
        </is>
      </c>
      <c r="C249" s="8" t="inlineStr">
        <is>
          <t>Italie</t>
        </is>
      </c>
      <c r="D249" s="8" t="inlineStr">
        <is>
          <t>Chasseurs de chars et canons automoteurs</t>
        </is>
      </c>
      <c r="E249" s="8" t="n"/>
      <c r="F249" s="8" t="inlineStr">
        <is>
          <t>4 cylindres diesel SPA 18T</t>
        </is>
      </c>
      <c r="G249" s="8" t="inlineStr">
        <is>
          <t>À normaliser après vérification</t>
        </is>
      </c>
      <c r="H249" s="8" t="inlineStr">
        <is>
          <t>À définir séparément des compatibilités historiques</t>
        </is>
      </c>
      <c r="I249" s="8" t="inlineStr">
        <is>
          <t>À vérifier</t>
        </is>
      </c>
      <c r="J249" s="8" t="inlineStr">
        <is>
          <t>Châssis L6/40 adapté.</t>
        </is>
      </c>
      <c r="K249" s="8" t="inlineStr">
        <is>
          <t>https://onwar.com/tanks/italy/index.htm</t>
        </is>
      </c>
      <c r="L249" s="8" t="inlineStr">
        <is>
          <t>Armement historique à déterminer précisément pour ce modèle/sa variante</t>
        </is>
      </c>
      <c r="M249" s="8" t="inlineStr">
        <is>
          <t>Ne récupérer une arme que si elle est présente, identifiable et démontable; vérifier le calibre</t>
        </is>
      </c>
      <c r="N249" s="8" t="inlineStr">
        <is>
          <t>À vérifier</t>
        </is>
      </c>
      <c r="O249" s="8" t="inlineStr">
        <is>
          <t>Non — contenu ultérieur</t>
        </is>
      </c>
      <c r="P249" s="8" t="inlineStr">
        <is>
          <t>À intégrer après validation du prototype</t>
        </is>
      </c>
      <c r="Q249" t="inlineStr">
        <is>
          <t>Semovente L40 da 47/32 : véhicule de catégorie « Chasseurs de chars et canons automoteurs », d'origine Italie. Motorisation recensée : 4 cylindres diesel SPA 18T. Variante historique à vérifier avant validation définitive.</t>
        </is>
      </c>
    </row>
    <row r="250" ht="42" customHeight="1">
      <c r="A250" s="8" t="inlineStr">
        <is>
          <t>Chasseurs de chars et canons automoteurs</t>
        </is>
      </c>
      <c r="B250" s="8" t="inlineStr">
        <is>
          <t>Semovente M40/M41 da 75/18</t>
        </is>
      </c>
      <c r="C250" s="8" t="inlineStr">
        <is>
          <t>Italie</t>
        </is>
      </c>
      <c r="D250" s="8" t="inlineStr">
        <is>
          <t>Chasseurs de chars et canons automoteurs</t>
        </is>
      </c>
      <c r="E250" s="8" t="n"/>
      <c r="F250" s="8" t="inlineStr">
        <is>
          <t>8 cylindres diesel SPA 8T / 15T selon châssis</t>
        </is>
      </c>
      <c r="G250" s="8" t="inlineStr">
        <is>
          <t>À normaliser après vérification</t>
        </is>
      </c>
      <c r="H250" s="8" t="inlineStr">
        <is>
          <t>À définir séparément des compatibilités historiques</t>
        </is>
      </c>
      <c r="I250" s="8" t="inlineStr">
        <is>
          <t>À vérifier</t>
        </is>
      </c>
      <c r="J250" s="8" t="inlineStr">
        <is>
          <t>Variantes sur M13/40 et M14/41.</t>
        </is>
      </c>
      <c r="K250" s="8" t="inlineStr">
        <is>
          <t>https://onwar.com/tanks/italy/index.htm</t>
        </is>
      </c>
      <c r="L250" s="8" t="inlineStr">
        <is>
          <t>Armement historique à déterminer précisément pour ce modèle/sa variante</t>
        </is>
      </c>
      <c r="M250" s="8" t="inlineStr">
        <is>
          <t>Ne récupérer une arme que si elle est présente, identifiable et démontable; vérifier le calibre</t>
        </is>
      </c>
      <c r="N250" s="8" t="inlineStr">
        <is>
          <t>À vérifier</t>
        </is>
      </c>
      <c r="O250" s="8" t="inlineStr">
        <is>
          <t>Non — contenu ultérieur</t>
        </is>
      </c>
      <c r="P250" s="8" t="inlineStr">
        <is>
          <t>À intégrer après validation du prototype</t>
        </is>
      </c>
      <c r="Q250" t="inlineStr">
        <is>
          <t>Semovente M40/M41 da 75/18 : véhicule de catégorie « Chasseurs de chars et canons automoteurs », d'origine Italie. Motorisation recensée : 8 cylindres diesel SPA 8T / 15T selon châssis. Variante historique à vérifier avant validation définitive.</t>
        </is>
      </c>
    </row>
    <row r="251" ht="42" customHeight="1">
      <c r="A251" s="8" t="inlineStr">
        <is>
          <t>Chasseurs de chars et canons automoteurs</t>
        </is>
      </c>
      <c r="B251" s="8" t="inlineStr">
        <is>
          <t>Semovente M42 da 75/34</t>
        </is>
      </c>
      <c r="C251" s="8" t="inlineStr">
        <is>
          <t>Italie</t>
        </is>
      </c>
      <c r="D251" s="8" t="inlineStr">
        <is>
          <t>Chasseurs de chars et canons automoteurs</t>
        </is>
      </c>
      <c r="E251" s="8" t="n"/>
      <c r="F251" s="8" t="inlineStr">
        <is>
          <t>8 cylindres diesel SPA 15T</t>
        </is>
      </c>
      <c r="G251" s="8" t="inlineStr">
        <is>
          <t>À normaliser après vérification</t>
        </is>
      </c>
      <c r="H251" s="8" t="inlineStr">
        <is>
          <t>À définir séparément des compatibilités historiques</t>
        </is>
      </c>
      <c r="I251" s="8" t="inlineStr">
        <is>
          <t>À vérifier</t>
        </is>
      </c>
      <c r="J251" s="8" t="inlineStr">
        <is>
          <t>Canon automoteur sur châssis M15/42.</t>
        </is>
      </c>
      <c r="K251" s="8" t="inlineStr">
        <is>
          <t>https://onwar.com/tanks/italy/index.htm</t>
        </is>
      </c>
      <c r="L251" s="8" t="inlineStr">
        <is>
          <t>Armement historique à déterminer précisément pour ce modèle/sa variante</t>
        </is>
      </c>
      <c r="M251" s="8" t="inlineStr">
        <is>
          <t>Ne récupérer une arme que si elle est présente, identifiable et démontable; vérifier le calibre</t>
        </is>
      </c>
      <c r="N251" s="8" t="inlineStr">
        <is>
          <t>À vérifier</t>
        </is>
      </c>
      <c r="O251" s="8" t="inlineStr">
        <is>
          <t>Non — contenu ultérieur</t>
        </is>
      </c>
      <c r="P251" s="8" t="inlineStr">
        <is>
          <t>À intégrer après validation du prototype</t>
        </is>
      </c>
      <c r="Q251" t="inlineStr">
        <is>
          <t>Semovente M42 da 75/34 : véhicule de catégorie « Chasseurs de chars et canons automoteurs », d'origine Italie. Motorisation recensée : 8 cylindres diesel SPA 15T. Variante historique à vérifier avant validation définitive.</t>
        </is>
      </c>
    </row>
    <row r="252" ht="42" customHeight="1">
      <c r="A252" s="8" t="inlineStr">
        <is>
          <t>Chasseurs de chars et canons automoteurs</t>
        </is>
      </c>
      <c r="B252" s="8" t="inlineStr">
        <is>
          <t>Semovente M43 da 105/25</t>
        </is>
      </c>
      <c r="C252" s="8" t="inlineStr">
        <is>
          <t>Italie</t>
        </is>
      </c>
      <c r="D252" s="8" t="inlineStr">
        <is>
          <t>Chasseurs de chars et canons automoteurs</t>
        </is>
      </c>
      <c r="E252" s="8" t="n"/>
      <c r="F252" s="8" t="inlineStr">
        <is>
          <t>8 cylindres essence/diesel selon châssis, à vérifier</t>
        </is>
      </c>
      <c r="G252" s="8" t="inlineStr">
        <is>
          <t>À normaliser après vérification</t>
        </is>
      </c>
      <c r="H252" s="8" t="inlineStr">
        <is>
          <t>À définir séparément des compatibilités historiques</t>
        </is>
      </c>
      <c r="I252" s="8" t="inlineStr">
        <is>
          <t>À vérifier</t>
        </is>
      </c>
      <c r="J252" s="8" t="inlineStr">
        <is>
          <t>Variante tardive ; moteur à confirmer.</t>
        </is>
      </c>
      <c r="K252" s="8" t="inlineStr">
        <is>
          <t>https://onwar.com/tanks/italy/index.htm</t>
        </is>
      </c>
      <c r="L252" s="8" t="inlineStr">
        <is>
          <t>Armement historique à déterminer précisément pour ce modèle/sa variante</t>
        </is>
      </c>
      <c r="M252" s="8" t="inlineStr">
        <is>
          <t>Ne récupérer une arme que si elle est présente, identifiable et démontable; vérifier le calibre</t>
        </is>
      </c>
      <c r="N252" s="8" t="inlineStr">
        <is>
          <t>À vérifier</t>
        </is>
      </c>
      <c r="O252" s="8" t="inlineStr">
        <is>
          <t>Non — contenu ultérieur</t>
        </is>
      </c>
      <c r="P252" s="8" t="inlineStr">
        <is>
          <t>À intégrer après validation du prototype</t>
        </is>
      </c>
      <c r="Q252" t="inlineStr">
        <is>
          <t>Semovente M43 da 105/25 : véhicule de catégorie « Chasseurs de chars et canons automoteurs », d'origine Italie. Motorisation recensée : 8 cylindres essence/diesel selon châssis, à vérifier. Variante historique à vérifier avant validation définitive.</t>
        </is>
      </c>
    </row>
    <row r="253" ht="42" customHeight="1">
      <c r="A253" s="8" t="inlineStr">
        <is>
          <t>Chars légers et chars anciens</t>
        </is>
      </c>
      <c r="B253" s="8" t="inlineStr">
        <is>
          <t>TK-3</t>
        </is>
      </c>
      <c r="C253" s="8" t="inlineStr">
        <is>
          <t>Pologne</t>
        </is>
      </c>
      <c r="D253" s="8" t="inlineStr">
        <is>
          <t>Chars légers et chars anciens</t>
        </is>
      </c>
      <c r="E253" s="8" t="n"/>
      <c r="F253" s="8" t="inlineStr">
        <is>
          <t>4 cylindres essence Ford A (famille à confirmer)</t>
        </is>
      </c>
      <c r="G253" s="8" t="inlineStr">
        <is>
          <t>À normaliser après vérification</t>
        </is>
      </c>
      <c r="H253" s="8" t="inlineStr">
        <is>
          <t>À définir séparément des compatibilités historiques</t>
        </is>
      </c>
      <c r="I253" s="8" t="inlineStr">
        <is>
          <t>À vérifier</t>
        </is>
      </c>
      <c r="J253" s="8" t="inlineStr">
        <is>
          <t>Tankette ; faible masse et petite mécanique.</t>
        </is>
      </c>
      <c r="K253" s="8" t="inlineStr">
        <is>
          <t>https://tanks-encyclopedia.com/ww2/polish/tk-3-tks/</t>
        </is>
      </c>
      <c r="L253" s="8" t="inlineStr">
        <is>
          <t>Armement historique à déterminer précisément pour ce modèle/sa variante</t>
        </is>
      </c>
      <c r="M253" s="8" t="inlineStr">
        <is>
          <t>Ne récupérer une arme que si elle est présente, identifiable et démontable; vérifier le calibre</t>
        </is>
      </c>
      <c r="N253" s="8" t="inlineStr">
        <is>
          <t>À vérifier</t>
        </is>
      </c>
      <c r="O253" s="8" t="inlineStr">
        <is>
          <t>Non — contenu ultérieur</t>
        </is>
      </c>
      <c r="P253" s="8" t="inlineStr">
        <is>
          <t>À intégrer après validation du prototype</t>
        </is>
      </c>
      <c r="Q253" t="inlineStr">
        <is>
          <t>TK-3 : véhicule de catégorie « Chars légers et chars anciens », d'origine Pologne. Motorisation recensée : 4 cylindres essence Ford A (famille à confirmer). Variante historique à vérifier avant validation définitive.</t>
        </is>
      </c>
    </row>
    <row r="254" ht="42" customHeight="1">
      <c r="A254" s="8" t="inlineStr">
        <is>
          <t>Chars légers et chars anciens</t>
        </is>
      </c>
      <c r="B254" s="8" t="inlineStr">
        <is>
          <t>TKS</t>
        </is>
      </c>
      <c r="C254" s="8" t="inlineStr">
        <is>
          <t>Pologne</t>
        </is>
      </c>
      <c r="D254" s="8" t="inlineStr">
        <is>
          <t>Chars légers et chars anciens</t>
        </is>
      </c>
      <c r="E254" s="8" t="n"/>
      <c r="F254" s="8" t="inlineStr">
        <is>
          <t>4 cylindres essence Polski Fiat (selon série)</t>
        </is>
      </c>
      <c r="G254" s="8" t="inlineStr">
        <is>
          <t>À normaliser après vérification</t>
        </is>
      </c>
      <c r="H254" s="8" t="inlineStr">
        <is>
          <t>À définir séparément des compatibilités historiques</t>
        </is>
      </c>
      <c r="I254" s="8" t="inlineStr">
        <is>
          <t>À vérifier</t>
        </is>
      </c>
      <c r="J254" s="8" t="inlineStr">
        <is>
          <t>Variantes moteur selon production.</t>
        </is>
      </c>
      <c r="K254" s="8" t="inlineStr">
        <is>
          <t>https://tanks-encyclopedia.com/ww2/polish/tk-3-tks/</t>
        </is>
      </c>
      <c r="L254" s="8" t="inlineStr">
        <is>
          <t>Armement historique à déterminer précisément pour ce modèle/sa variante</t>
        </is>
      </c>
      <c r="M254" s="8" t="inlineStr">
        <is>
          <t>Ne récupérer une arme que si elle est présente, identifiable et démontable; vérifier le calibre</t>
        </is>
      </c>
      <c r="N254" s="8" t="inlineStr">
        <is>
          <t>À vérifier</t>
        </is>
      </c>
      <c r="O254" s="8" t="inlineStr">
        <is>
          <t>Non — contenu ultérieur</t>
        </is>
      </c>
      <c r="P254" s="8" t="inlineStr">
        <is>
          <t>À intégrer après validation du prototype</t>
        </is>
      </c>
      <c r="Q254" t="inlineStr">
        <is>
          <t>TKS : véhicule de catégorie « Chars légers et chars anciens », d'origine Pologne. Motorisation recensée : 4 cylindres essence Polski Fiat (selon série). Variante historique à vérifier avant validation définitive.</t>
        </is>
      </c>
    </row>
    <row r="255" ht="42" customHeight="1">
      <c r="A255" s="8" t="inlineStr">
        <is>
          <t>Chars légers et chars anciens</t>
        </is>
      </c>
      <c r="B255" s="8" t="inlineStr">
        <is>
          <t>7TP</t>
        </is>
      </c>
      <c r="C255" s="8" t="inlineStr">
        <is>
          <t>Pologne</t>
        </is>
      </c>
      <c r="D255" s="8" t="inlineStr">
        <is>
          <t>Chars légers et chars anciens</t>
        </is>
      </c>
      <c r="E255" s="8" t="n"/>
      <c r="F255" s="8" t="inlineStr">
        <is>
          <t>6 cylindres diesel Saurer VBLDb</t>
        </is>
      </c>
      <c r="G255" s="8" t="inlineStr">
        <is>
          <t>À normaliser après vérification</t>
        </is>
      </c>
      <c r="H255" s="8" t="inlineStr">
        <is>
          <t>À définir séparément des compatibilités historiques</t>
        </is>
      </c>
      <c r="I255" s="8" t="inlineStr">
        <is>
          <t>Documenté</t>
        </is>
      </c>
      <c r="J255" s="8" t="inlineStr">
        <is>
          <t>Un des moteurs diesel précoces intéressants du catalogue.</t>
        </is>
      </c>
      <c r="K255" s="8" t="inlineStr">
        <is>
          <t>https://tanks-encyclopedia.com/ww2/polish/7tp/</t>
        </is>
      </c>
      <c r="L255" s="8" t="inlineStr">
        <is>
          <t>Armement historique à déterminer précisément pour ce modèle/sa variante</t>
        </is>
      </c>
      <c r="M255" s="8" t="inlineStr">
        <is>
          <t>Ne récupérer une arme que si elle est présente, identifiable et démontable; vérifier le calibre</t>
        </is>
      </c>
      <c r="N255" s="8" t="inlineStr">
        <is>
          <t>À vérifier</t>
        </is>
      </c>
      <c r="O255" s="8" t="inlineStr">
        <is>
          <t>Non — contenu ultérieur</t>
        </is>
      </c>
      <c r="P255" s="8" t="inlineStr">
        <is>
          <t>À intégrer après validation du prototype</t>
        </is>
      </c>
      <c r="Q255" t="inlineStr">
        <is>
          <t>7TP : véhicule de catégorie « Chars légers et chars anciens », d'origine Pologne. Motorisation recensée : 6 cylindres diesel Saurer VBLDb. Fiche de catalogue à compléter avec le rôle tactique et les caractéristiques de jeu.</t>
        </is>
      </c>
    </row>
    <row r="256" ht="42" customHeight="1">
      <c r="A256" s="8" t="inlineStr">
        <is>
          <t>Chars de cavalerie et prototypes</t>
        </is>
      </c>
      <c r="B256" s="8" t="inlineStr">
        <is>
          <t>10TP</t>
        </is>
      </c>
      <c r="C256" s="8" t="inlineStr">
        <is>
          <t>Pologne</t>
        </is>
      </c>
      <c r="D256" s="8" t="inlineStr">
        <is>
          <t>Chars de cavalerie et prototypes</t>
        </is>
      </c>
      <c r="E256" s="8" t="n"/>
      <c r="F256" s="8" t="inlineStr">
        <is>
          <t>12 cylindres essence American LaFrance (famille à confirmer)</t>
        </is>
      </c>
      <c r="G256" s="8" t="inlineStr">
        <is>
          <t>À normaliser après vérification</t>
        </is>
      </c>
      <c r="H256" s="8" t="inlineStr">
        <is>
          <t>À définir séparément des compatibilités historiques</t>
        </is>
      </c>
      <c r="I256" s="8" t="inlineStr">
        <is>
          <t>Prototype / à vérifier</t>
        </is>
      </c>
      <c r="J256" s="8" t="inlineStr">
        <is>
          <t>Prototype à roues/chenilles, conçu avant la guerre.</t>
        </is>
      </c>
      <c r="K256" s="8" t="inlineStr">
        <is>
          <t>https://tanks-encyclopedia.com/ww2/polish/10tp/</t>
        </is>
      </c>
      <c r="L256" s="8" t="inlineStr">
        <is>
          <t>Armement historique à déterminer précisément pour ce modèle/sa variante</t>
        </is>
      </c>
      <c r="M256" s="8" t="inlineStr">
        <is>
          <t>Ne récupérer une arme que si elle est présente, identifiable et démontable; vérifier le calibre</t>
        </is>
      </c>
      <c r="N256" s="8" t="inlineStr">
        <is>
          <t>À vérifier</t>
        </is>
      </c>
      <c r="O256" s="8" t="inlineStr">
        <is>
          <t>Non — contenu ultérieur</t>
        </is>
      </c>
      <c r="P256" s="8" t="inlineStr">
        <is>
          <t>À intégrer après validation du prototype</t>
        </is>
      </c>
      <c r="Q256" t="inlineStr">
        <is>
          <t>10TP : véhicule de catégorie « Chars de cavalerie et prototypes », d'origine Pologne. Motorisation recensée : 12 cylindres essence American LaFrance (famille à confirmer). Variante historique à vérifier avant validation définitive.</t>
        </is>
      </c>
    </row>
    <row r="257" ht="42" customHeight="1">
      <c r="A257" s="8" t="inlineStr">
        <is>
          <t>Chars de cavalerie et prototypes</t>
        </is>
      </c>
      <c r="B257" s="8" t="inlineStr">
        <is>
          <t>14TP</t>
        </is>
      </c>
      <c r="C257" s="8" t="inlineStr">
        <is>
          <t>Pologne</t>
        </is>
      </c>
      <c r="D257" s="8" t="inlineStr">
        <is>
          <t>Chars de cavalerie et prototypes</t>
        </is>
      </c>
      <c r="E257" s="8" t="n"/>
      <c r="F257" s="8" t="inlineStr">
        <is>
          <t>12 cylindres essence prévu, type à confirmer</t>
        </is>
      </c>
      <c r="G257" s="8" t="inlineStr">
        <is>
          <t>À normaliser après vérification</t>
        </is>
      </c>
      <c r="H257" s="8" t="inlineStr">
        <is>
          <t>À définir séparément des compatibilités historiques</t>
        </is>
      </c>
      <c r="I257" s="8" t="inlineStr">
        <is>
          <t>Projet / à vérifier</t>
        </is>
      </c>
      <c r="J257" s="8" t="inlineStr">
        <is>
          <t>Projet interrompu ; ne pas compter comme véhicule de série.</t>
        </is>
      </c>
      <c r="K257" s="8" t="inlineStr">
        <is>
          <t>https://tanks-encyclopedia.com/ww2/polish/14tp/</t>
        </is>
      </c>
      <c r="L257" s="8" t="inlineStr">
        <is>
          <t>Armement historique à déterminer précisément pour ce modèle/sa variante</t>
        </is>
      </c>
      <c r="M257" s="8" t="inlineStr">
        <is>
          <t>Ne récupérer une arme que si elle est présente, identifiable et démontable; vérifier le calibre</t>
        </is>
      </c>
      <c r="N257" s="8" t="inlineStr">
        <is>
          <t>À vérifier</t>
        </is>
      </c>
      <c r="O257" s="8" t="inlineStr">
        <is>
          <t>Non — contenu ultérieur</t>
        </is>
      </c>
      <c r="P257" s="8" t="inlineStr">
        <is>
          <t>À intégrer après validation du prototype</t>
        </is>
      </c>
      <c r="Q257" t="inlineStr">
        <is>
          <t>14TP : véhicule de catégorie « Chars de cavalerie et prototypes », d'origine Pologne. Motorisation recensée : 12 cylindres essence prévu, type à confirmer. Variante historique à vérifier avant validation définitive.</t>
        </is>
      </c>
    </row>
    <row r="258" ht="42" customHeight="1">
      <c r="A258" s="8" t="inlineStr">
        <is>
          <t>Chars légers et chars anciens</t>
        </is>
      </c>
      <c r="B258" s="8" t="inlineStr">
        <is>
          <t>LT vz. 34</t>
        </is>
      </c>
      <c r="C258" s="8" t="inlineStr">
        <is>
          <t>Tchécoslovaquie</t>
        </is>
      </c>
      <c r="D258" s="8" t="inlineStr">
        <is>
          <t>Chars légers et chars anciens</t>
        </is>
      </c>
      <c r="E258" s="8" t="n"/>
      <c r="F258" s="8" t="inlineStr">
        <is>
          <t>4 cylindres essence Praga</t>
        </is>
      </c>
      <c r="G258" s="8" t="inlineStr">
        <is>
          <t>À normaliser après vérification</t>
        </is>
      </c>
      <c r="H258" s="8" t="inlineStr">
        <is>
          <t>À définir séparément des compatibilités historiques</t>
        </is>
      </c>
      <c r="I258" s="8" t="inlineStr">
        <is>
          <t>À vérifier</t>
        </is>
      </c>
      <c r="J258" s="8" t="inlineStr">
        <is>
          <t>Char léger de l'entre-deux-guerres.</t>
        </is>
      </c>
      <c r="K258" s="8" t="inlineStr">
        <is>
          <t>https://tanks-encyclopedia.com/ww2/czechoslovakia/lt-vz-34/</t>
        </is>
      </c>
      <c r="L258" s="8" t="inlineStr">
        <is>
          <t>Armement historique à déterminer précisément pour ce modèle/sa variante</t>
        </is>
      </c>
      <c r="M258" s="8" t="inlineStr">
        <is>
          <t>Ne récupérer une arme que si elle est présente, identifiable et démontable; vérifier le calibre</t>
        </is>
      </c>
      <c r="N258" s="8" t="inlineStr">
        <is>
          <t>À vérifier</t>
        </is>
      </c>
      <c r="O258" s="8" t="inlineStr">
        <is>
          <t>Non — contenu ultérieur</t>
        </is>
      </c>
      <c r="P258" s="8" t="inlineStr">
        <is>
          <t>À intégrer après validation du prototype</t>
        </is>
      </c>
      <c r="Q258" t="inlineStr">
        <is>
          <t>LT vz. 34 : véhicule de catégorie « Chars légers et chars anciens », d'origine Tchécoslovaquie. Motorisation recensée : 4 cylindres essence Praga. Variante historique à vérifier avant validation définitive.</t>
        </is>
      </c>
    </row>
    <row r="259" ht="42" customHeight="1">
      <c r="A259" s="8" t="inlineStr">
        <is>
          <t>Chars légers et chars anciens</t>
        </is>
      </c>
      <c r="B259" s="8" t="inlineStr">
        <is>
          <t>LT vz. 35 / Panzer 35(t)</t>
        </is>
      </c>
      <c r="C259" s="8" t="inlineStr">
        <is>
          <t>Tchécoslovaquie</t>
        </is>
      </c>
      <c r="D259" s="8" t="inlineStr">
        <is>
          <t>Chars légers et chars anciens</t>
        </is>
      </c>
      <c r="E259" s="8" t="n"/>
      <c r="F259" s="8" t="inlineStr">
        <is>
          <t>6 cylindres essence Škoda T-11</t>
        </is>
      </c>
      <c r="G259" s="8" t="inlineStr">
        <is>
          <t>À normaliser après vérification</t>
        </is>
      </c>
      <c r="H259" s="8" t="inlineStr">
        <is>
          <t>À définir séparément des compatibilités historiques</t>
        </is>
      </c>
      <c r="I259" s="8" t="inlineStr">
        <is>
          <t>Documenté</t>
        </is>
      </c>
      <c r="J259" s="8" t="inlineStr">
        <is>
          <t>Famille Škoda ; versions export et allemandes.</t>
        </is>
      </c>
      <c r="K259" s="8" t="inlineStr">
        <is>
          <t>https://tanks-encyclopedia.com/ww2/czechoslovakia/lt-vz-35/</t>
        </is>
      </c>
      <c r="L259" s="8" t="inlineStr">
        <is>
          <t>Armement historique à déterminer précisément pour ce modèle/sa variante</t>
        </is>
      </c>
      <c r="M259" s="8" t="inlineStr">
        <is>
          <t>Ne récupérer une arme que si elle est présente, identifiable et démontable; vérifier le calibre</t>
        </is>
      </c>
      <c r="N259" s="8" t="inlineStr">
        <is>
          <t>À vérifier</t>
        </is>
      </c>
      <c r="O259" s="8" t="inlineStr">
        <is>
          <t>Non — contenu ultérieur</t>
        </is>
      </c>
      <c r="P259" s="8" t="inlineStr">
        <is>
          <t>À intégrer après validation du prototype</t>
        </is>
      </c>
      <c r="Q259" t="inlineStr">
        <is>
          <t>LT vz. 35 / Panzer 35(t) : véhicule de catégorie « Chars légers et chars anciens », d'origine Tchécoslovaquie. Motorisation recensée : 6 cylindres essence Škoda T-11. Fiche de catalogue à compléter avec le rôle tactique et les caractéristiques de jeu.</t>
        </is>
      </c>
    </row>
    <row r="260" ht="42" customHeight="1">
      <c r="A260" s="8" t="inlineStr">
        <is>
          <t>Chars légers et chars anciens</t>
        </is>
      </c>
      <c r="B260" s="8" t="inlineStr">
        <is>
          <t>LT vz. 38 / Panzer 38(t)</t>
        </is>
      </c>
      <c r="C260" s="8" t="inlineStr">
        <is>
          <t>Tchécoslovaquie</t>
        </is>
      </c>
      <c r="D260" s="8" t="inlineStr">
        <is>
          <t>Chars légers et chars anciens</t>
        </is>
      </c>
      <c r="E260" s="8" t="n"/>
      <c r="F260" s="8" t="inlineStr">
        <is>
          <t>6 cylindres essence Praga EPA</t>
        </is>
      </c>
      <c r="G260" s="8" t="inlineStr">
        <is>
          <t>À normaliser après vérification</t>
        </is>
      </c>
      <c r="H260" s="8" t="inlineStr">
        <is>
          <t>À définir séparément des compatibilités historiques</t>
        </is>
      </c>
      <c r="I260" s="8" t="inlineStr">
        <is>
          <t>Documenté</t>
        </is>
      </c>
      <c r="J260" s="8" t="inlineStr">
        <is>
          <t>Famille moteur Praga réutilisée sur plusieurs dérivés.</t>
        </is>
      </c>
      <c r="K260" s="8" t="inlineStr">
        <is>
          <t>https://tanks-encyclopedia.com/ww2/czechoslovakia/lt-vz-38/</t>
        </is>
      </c>
      <c r="L260" s="8" t="inlineStr">
        <is>
          <t>Armement historique à déterminer précisément pour ce modèle/sa variante</t>
        </is>
      </c>
      <c r="M260" s="8" t="inlineStr">
        <is>
          <t>Ne récupérer une arme que si elle est présente, identifiable et démontable; vérifier le calibre</t>
        </is>
      </c>
      <c r="N260" s="8" t="inlineStr">
        <is>
          <t>À vérifier</t>
        </is>
      </c>
      <c r="O260" s="8" t="inlineStr">
        <is>
          <t>Non — contenu ultérieur</t>
        </is>
      </c>
      <c r="P260" s="8" t="inlineStr">
        <is>
          <t>À intégrer après validation du prototype</t>
        </is>
      </c>
      <c r="Q260" t="inlineStr">
        <is>
          <t>LT vz. 38 / Panzer 38(t) : véhicule de catégorie « Chars légers et chars anciens », d'origine Tchécoslovaquie. Motorisation recensée : 6 cylindres essence Praga EPA. Fiche de catalogue à compléter avec le rôle tactique et les caractéristiques de jeu.</t>
        </is>
      </c>
    </row>
    <row r="261" ht="42" customHeight="1">
      <c r="A261" s="8" t="inlineStr">
        <is>
          <t>Chars légers et chars anciens</t>
        </is>
      </c>
      <c r="B261" s="8" t="inlineStr">
        <is>
          <t>AH-IV</t>
        </is>
      </c>
      <c r="C261" s="8" t="inlineStr">
        <is>
          <t>Tchécoslovaquie</t>
        </is>
      </c>
      <c r="D261" s="8" t="inlineStr">
        <is>
          <t>Chars légers et chars anciens</t>
        </is>
      </c>
      <c r="E261" s="8" t="n"/>
      <c r="F261" s="8" t="inlineStr">
        <is>
          <t>6 cylindres essence Praga (à confirmer)</t>
        </is>
      </c>
      <c r="G261" s="8" t="inlineStr">
        <is>
          <t>À normaliser après vérification</t>
        </is>
      </c>
      <c r="H261" s="8" t="inlineStr">
        <is>
          <t>À définir séparément des compatibilités historiques</t>
        </is>
      </c>
      <c r="I261" s="8" t="inlineStr">
        <is>
          <t>À vérifier</t>
        </is>
      </c>
      <c r="J261" s="8" t="inlineStr">
        <is>
          <t>Tankette exportée et utilisée par plusieurs pays.</t>
        </is>
      </c>
      <c r="K261" s="8" t="inlineStr">
        <is>
          <t>https://tanks-encyclopedia.com/ww2/czechoslovakia/ah-iv/</t>
        </is>
      </c>
      <c r="L261" s="8" t="inlineStr">
        <is>
          <t>Armement historique à déterminer précisément pour ce modèle/sa variante</t>
        </is>
      </c>
      <c r="M261" s="8" t="inlineStr">
        <is>
          <t>Ne récupérer une arme que si elle est présente, identifiable et démontable; vérifier le calibre</t>
        </is>
      </c>
      <c r="N261" s="8" t="inlineStr">
        <is>
          <t>À vérifier</t>
        </is>
      </c>
      <c r="O261" s="8" t="inlineStr">
        <is>
          <t>Non — contenu ultérieur</t>
        </is>
      </c>
      <c r="P261" s="8" t="inlineStr">
        <is>
          <t>À intégrer après validation du prototype</t>
        </is>
      </c>
      <c r="Q261" t="inlineStr">
        <is>
          <t>AH-IV : véhicule de catégorie « Chars légers et chars anciens », d'origine Tchécoslovaquie. Motorisation recensée : 6 cylindres essence Praga (à confirmer). Variante historique à vérifier avant validation définitive.</t>
        </is>
      </c>
    </row>
    <row r="262" ht="42" customHeight="1">
      <c r="A262" s="8" t="inlineStr">
        <is>
          <t>Chars légers et chars anciens</t>
        </is>
      </c>
      <c r="B262" s="8" t="inlineStr">
        <is>
          <t>Strv m/38 (L-60)</t>
        </is>
      </c>
      <c r="C262" s="8" t="inlineStr">
        <is>
          <t>Suède</t>
        </is>
      </c>
      <c r="D262" s="8" t="inlineStr">
        <is>
          <t>Chars légers et chars anciens</t>
        </is>
      </c>
      <c r="E262" s="8" t="n"/>
      <c r="F262" s="8" t="inlineStr">
        <is>
          <t>8 cylindres essence Scania-Vabis (type à confirmer)</t>
        </is>
      </c>
      <c r="G262" s="8" t="inlineStr">
        <is>
          <t>À normaliser après vérification</t>
        </is>
      </c>
      <c r="H262" s="8" t="inlineStr">
        <is>
          <t>À définir séparément des compatibilités historiques</t>
        </is>
      </c>
      <c r="I262" s="8" t="inlineStr">
        <is>
          <t>À vérifier</t>
        </is>
      </c>
      <c r="J262" s="8" t="inlineStr">
        <is>
          <t>Famille suédoise ; variantes m/38–m/40 à distinguer.</t>
        </is>
      </c>
      <c r="K262" s="8" t="inlineStr">
        <is>
          <t>https://www.militaryfactory.com/armor/ww2-swedish-tanks.php</t>
        </is>
      </c>
      <c r="L262" s="8" t="inlineStr">
        <is>
          <t>Armement historique à déterminer précisément pour ce modèle/sa variante</t>
        </is>
      </c>
      <c r="M262" s="8" t="inlineStr">
        <is>
          <t>Ne récupérer une arme que si elle est présente, identifiable et démontable; vérifier le calibre</t>
        </is>
      </c>
      <c r="N262" s="8" t="inlineStr">
        <is>
          <t>À vérifier</t>
        </is>
      </c>
      <c r="O262" s="8" t="inlineStr">
        <is>
          <t>Non — contenu ultérieur</t>
        </is>
      </c>
      <c r="P262" s="8" t="inlineStr">
        <is>
          <t>À intégrer après validation du prototype</t>
        </is>
      </c>
      <c r="Q262" t="inlineStr">
        <is>
          <t>Strv m/38 (L-60) : véhicule de catégorie « Chars légers et chars anciens », d'origine Suède. Motorisation recensée : 8 cylindres essence Scania-Vabis (type à confirmer). Variante historique à vérifier avant validation définitive.</t>
        </is>
      </c>
    </row>
    <row r="263" ht="42" customHeight="1">
      <c r="A263" s="8" t="inlineStr">
        <is>
          <t>Chars légers et chars anciens</t>
        </is>
      </c>
      <c r="B263" s="8" t="inlineStr">
        <is>
          <t>Strv m/39</t>
        </is>
      </c>
      <c r="C263" s="8" t="inlineStr">
        <is>
          <t>Suède</t>
        </is>
      </c>
      <c r="D263" s="8" t="inlineStr">
        <is>
          <t>Chars légers et chars anciens</t>
        </is>
      </c>
      <c r="E263" s="8" t="n"/>
      <c r="F263" s="8" t="inlineStr">
        <is>
          <t>8 cylindres essence Scania-Vabis (à confirmer)</t>
        </is>
      </c>
      <c r="G263" s="8" t="inlineStr">
        <is>
          <t>À normaliser après vérification</t>
        </is>
      </c>
      <c r="H263" s="8" t="inlineStr">
        <is>
          <t>À définir séparément des compatibilités historiques</t>
        </is>
      </c>
      <c r="I263" s="8" t="inlineStr">
        <is>
          <t>À vérifier</t>
        </is>
      </c>
      <c r="J263" s="8" t="inlineStr">
        <is>
          <t>Évolution du Strv m/38.</t>
        </is>
      </c>
      <c r="K263" s="8" t="inlineStr">
        <is>
          <t>https://www.militaryfactory.com/armor/ww2-swedish-tanks.php</t>
        </is>
      </c>
      <c r="L263" s="8" t="inlineStr">
        <is>
          <t>Armement historique à déterminer précisément pour ce modèle/sa variante</t>
        </is>
      </c>
      <c r="M263" s="8" t="inlineStr">
        <is>
          <t>Ne récupérer une arme que si elle est présente, identifiable et démontable; vérifier le calibre</t>
        </is>
      </c>
      <c r="N263" s="8" t="inlineStr">
        <is>
          <t>À vérifier</t>
        </is>
      </c>
      <c r="O263" s="8" t="inlineStr">
        <is>
          <t>Non — contenu ultérieur</t>
        </is>
      </c>
      <c r="P263" s="8" t="inlineStr">
        <is>
          <t>À intégrer après validation du prototype</t>
        </is>
      </c>
      <c r="Q263" t="inlineStr">
        <is>
          <t>Strv m/39 : véhicule de catégorie « Chars légers et chars anciens », d'origine Suède. Motorisation recensée : 8 cylindres essence Scania-Vabis (à confirmer). Variante historique à vérifier avant validation définitive.</t>
        </is>
      </c>
    </row>
    <row r="264" ht="42" customHeight="1">
      <c r="A264" s="8" t="inlineStr">
        <is>
          <t>Chars légers et chars anciens</t>
        </is>
      </c>
      <c r="B264" s="8" t="inlineStr">
        <is>
          <t>Strv m/40</t>
        </is>
      </c>
      <c r="C264" s="8" t="inlineStr">
        <is>
          <t>Suède</t>
        </is>
      </c>
      <c r="D264" s="8" t="inlineStr">
        <is>
          <t>Chars légers et chars anciens</t>
        </is>
      </c>
      <c r="E264" s="8" t="n"/>
      <c r="F264" s="8" t="inlineStr">
        <is>
          <t>8 cylindres essence Scania-Vabis (à confirmer)</t>
        </is>
      </c>
      <c r="G264" s="8" t="inlineStr">
        <is>
          <t>À normaliser après vérification</t>
        </is>
      </c>
      <c r="H264" s="8" t="inlineStr">
        <is>
          <t>À définir séparément des compatibilités historiques</t>
        </is>
      </c>
      <c r="I264" s="8" t="inlineStr">
        <is>
          <t>À vérifier</t>
        </is>
      </c>
      <c r="J264" s="8" t="inlineStr">
        <is>
          <t>Évolution du L-60.</t>
        </is>
      </c>
      <c r="K264" s="8" t="inlineStr">
        <is>
          <t>https://www.militaryfactory.com/armor/ww2-swedish-tanks.php</t>
        </is>
      </c>
      <c r="L264" s="8" t="inlineStr">
        <is>
          <t>Armement historique à déterminer précisément pour ce modèle/sa variante</t>
        </is>
      </c>
      <c r="M264" s="8" t="inlineStr">
        <is>
          <t>Ne récupérer une arme que si elle est présente, identifiable et démontable; vérifier le calibre</t>
        </is>
      </c>
      <c r="N264" s="8" t="inlineStr">
        <is>
          <t>À vérifier</t>
        </is>
      </c>
      <c r="O264" s="8" t="inlineStr">
        <is>
          <t>Non — contenu ultérieur</t>
        </is>
      </c>
      <c r="P264" s="8" t="inlineStr">
        <is>
          <t>À intégrer après validation du prototype</t>
        </is>
      </c>
      <c r="Q264" t="inlineStr">
        <is>
          <t>Strv m/40 : véhicule de catégorie « Chars légers et chars anciens », d'origine Suède. Motorisation recensée : 8 cylindres essence Scania-Vabis (à confirmer). Variante historique à vérifier avant validation définitive.</t>
        </is>
      </c>
    </row>
    <row r="265" ht="42" customHeight="1">
      <c r="A265" s="8" t="inlineStr">
        <is>
          <t>Chars moyens</t>
        </is>
      </c>
      <c r="B265" s="8" t="inlineStr">
        <is>
          <t>Strv m/42</t>
        </is>
      </c>
      <c r="C265" s="8" t="inlineStr">
        <is>
          <t>Suède</t>
        </is>
      </c>
      <c r="D265" s="8" t="inlineStr">
        <is>
          <t>Chars moyens</t>
        </is>
      </c>
      <c r="E265" s="8" t="n"/>
      <c r="F265" s="8" t="inlineStr">
        <is>
          <t>6 cylindres essence Scania-Vabis typiquement (selon version)</t>
        </is>
      </c>
      <c r="G265" s="8" t="inlineStr">
        <is>
          <t>À normaliser après vérification</t>
        </is>
      </c>
      <c r="H265" s="8" t="inlineStr">
        <is>
          <t>À définir séparément des compatibilités historiques</t>
        </is>
      </c>
      <c r="I265" s="8" t="inlineStr">
        <is>
          <t>À vérifier</t>
        </is>
      </c>
      <c r="J265" s="8" t="inlineStr">
        <is>
          <t>Certaines versions peuvent employer deux moteurs ; vérifier par variante.</t>
        </is>
      </c>
      <c r="K265" s="8" t="inlineStr">
        <is>
          <t>https://www.militaryfactory.com/armor/ww2-swedish-tanks.php</t>
        </is>
      </c>
      <c r="L265" s="8" t="inlineStr">
        <is>
          <t>Armement historique à déterminer précisément pour ce modèle/sa variante</t>
        </is>
      </c>
      <c r="M265" s="8" t="inlineStr">
        <is>
          <t>Ne récupérer une arme que si elle est présente, identifiable et démontable; vérifier le calibre</t>
        </is>
      </c>
      <c r="N265" s="8" t="inlineStr">
        <is>
          <t>À vérifier</t>
        </is>
      </c>
      <c r="O265" s="8" t="inlineStr">
        <is>
          <t>Non — contenu ultérieur</t>
        </is>
      </c>
      <c r="P265" s="8" t="inlineStr">
        <is>
          <t>À intégrer après validation du prototype</t>
        </is>
      </c>
      <c r="Q265" t="inlineStr">
        <is>
          <t>Strv m/42 : véhicule de catégorie « Chars moyens », d'origine Suède. Motorisation recensée : 6 cylindres essence Scania-Vabis typiquement (selon version). Variante historique à vérifier avant validation définitive.</t>
        </is>
      </c>
    </row>
    <row r="266" ht="42" customHeight="1">
      <c r="A266" s="8" t="inlineStr">
        <is>
          <t>Chars légers et chars anciens</t>
        </is>
      </c>
      <c r="B266" s="8" t="inlineStr">
        <is>
          <t>Toldi I / II / III</t>
        </is>
      </c>
      <c r="C266" s="8" t="inlineStr">
        <is>
          <t>Hongrie</t>
        </is>
      </c>
      <c r="D266" s="8" t="inlineStr">
        <is>
          <t>Chars légers et chars anciens</t>
        </is>
      </c>
      <c r="E266" s="8" t="n"/>
      <c r="F266" s="8" t="inlineStr">
        <is>
          <t>8 cylindres essence Bussing-NAG / Ganz selon variantes</t>
        </is>
      </c>
      <c r="G266" s="8" t="inlineStr">
        <is>
          <t>À normaliser après vérification</t>
        </is>
      </c>
      <c r="H266" s="8" t="inlineStr">
        <is>
          <t>À définir séparément des compatibilités historiques</t>
        </is>
      </c>
      <c r="I266" s="8" t="inlineStr">
        <is>
          <t>Documenté — variantes</t>
        </is>
      </c>
      <c r="J266" s="8" t="inlineStr">
        <is>
          <t>Distinguer les moteurs selon sous-modèle et licence.</t>
        </is>
      </c>
      <c r="K266" s="8" t="inlineStr">
        <is>
          <t>https://generalstab.org/military_history/second_world_war/barbarossa-axis-allies/hungarian-weapons-statistics/</t>
        </is>
      </c>
      <c r="L266" s="8" t="inlineStr">
        <is>
          <t>Armement historique à déterminer précisément pour ce modèle/sa variante</t>
        </is>
      </c>
      <c r="M266" s="8" t="inlineStr">
        <is>
          <t>Ne récupérer une arme que si elle est présente, identifiable et démontable; vérifier le calibre</t>
        </is>
      </c>
      <c r="N266" s="8" t="inlineStr">
        <is>
          <t>À vérifier</t>
        </is>
      </c>
      <c r="O266" s="8" t="inlineStr">
        <is>
          <t>Non — contenu ultérieur</t>
        </is>
      </c>
      <c r="P266" s="8" t="inlineStr">
        <is>
          <t>À intégrer après validation du prototype</t>
        </is>
      </c>
      <c r="Q266" t="inlineStr">
        <is>
          <t>Toldi I / II / III : véhicule de catégorie « Chars légers et chars anciens », d'origine Hongrie. Motorisation recensée : 8 cylindres essence Bussing-NAG / Ganz selon variantes. Fiche de catalogue à compléter avec le rôle tactique et les caractéristiques de jeu.</t>
        </is>
      </c>
    </row>
    <row r="267" ht="42" customHeight="1">
      <c r="A267" s="8" t="inlineStr">
        <is>
          <t>Chars moyens</t>
        </is>
      </c>
      <c r="B267" s="8" t="inlineStr">
        <is>
          <t>Turan I / II</t>
        </is>
      </c>
      <c r="C267" s="8" t="inlineStr">
        <is>
          <t>Hongrie</t>
        </is>
      </c>
      <c r="D267" s="8" t="inlineStr">
        <is>
          <t>Chars moyens</t>
        </is>
      </c>
      <c r="E267" s="8" t="n"/>
      <c r="F267" s="8" t="inlineStr">
        <is>
          <t>8 cylindres essence Weiss Manfréd V-8H (type à confirmer)</t>
        </is>
      </c>
      <c r="G267" s="8" t="inlineStr">
        <is>
          <t>À normaliser après vérification</t>
        </is>
      </c>
      <c r="H267" s="8" t="inlineStr">
        <is>
          <t>À définir séparément des compatibilités historiques</t>
        </is>
      </c>
      <c r="I267" s="8" t="inlineStr">
        <is>
          <t>À vérifier</t>
        </is>
      </c>
      <c r="J267" s="8" t="inlineStr">
        <is>
          <t>Char moyen hongrois, variantes de tourelle et armement.</t>
        </is>
      </c>
      <c r="K267" s="8" t="inlineStr">
        <is>
          <t>https://generalstab.org/military_history/second_world_war/barbarossa-axis-allies/hungarian-weapons-statistics/</t>
        </is>
      </c>
      <c r="L267" s="8" t="inlineStr">
        <is>
          <t>Armement historique à déterminer précisément pour ce modèle/sa variante</t>
        </is>
      </c>
      <c r="M267" s="8" t="inlineStr">
        <is>
          <t>Ne récupérer une arme que si elle est présente, identifiable et démontable; vérifier le calibre</t>
        </is>
      </c>
      <c r="N267" s="8" t="inlineStr">
        <is>
          <t>À vérifier</t>
        </is>
      </c>
      <c r="O267" s="8" t="inlineStr">
        <is>
          <t>Non — contenu ultérieur</t>
        </is>
      </c>
      <c r="P267" s="8" t="inlineStr">
        <is>
          <t>À intégrer après validation du prototype</t>
        </is>
      </c>
      <c r="Q267" t="inlineStr">
        <is>
          <t>Turan I / II : véhicule de catégorie « Chars moyens », d'origine Hongrie. Motorisation recensée : 8 cylindres essence Weiss Manfréd V-8H (type à confirmer). Variante historique à vérifier avant validation définitive.</t>
        </is>
      </c>
    </row>
    <row r="268" ht="42" customHeight="1">
      <c r="A268" s="8" t="inlineStr">
        <is>
          <t>Chasseurs de chars et canons automoteurs</t>
        </is>
      </c>
      <c r="B268" s="8" t="inlineStr">
        <is>
          <t>Zrínyi II</t>
        </is>
      </c>
      <c r="C268" s="8" t="inlineStr">
        <is>
          <t>Hongrie</t>
        </is>
      </c>
      <c r="D268" s="8" t="inlineStr">
        <is>
          <t>Chasseurs de chars et canons automoteurs</t>
        </is>
      </c>
      <c r="E268" s="8" t="n"/>
      <c r="F268" s="8" t="inlineStr">
        <is>
          <t>8 cylindres essence famille Turán (à confirmer)</t>
        </is>
      </c>
      <c r="G268" s="8" t="inlineStr">
        <is>
          <t>À normaliser après vérification</t>
        </is>
      </c>
      <c r="H268" s="8" t="inlineStr">
        <is>
          <t>À définir séparément des compatibilités historiques</t>
        </is>
      </c>
      <c r="I268" s="8" t="inlineStr">
        <is>
          <t>À vérifier</t>
        </is>
      </c>
      <c r="J268" s="8" t="inlineStr">
        <is>
          <t>Canon d'assaut sur châssis Turán.</t>
        </is>
      </c>
      <c r="K268" s="8" t="inlineStr">
        <is>
          <t>https://epa.oszk.hu/02400/02463/00042/pdf/EPA02463_hadtudomanyi_szemle_2019_ksz_235-248.pdf</t>
        </is>
      </c>
      <c r="L268" s="8" t="inlineStr">
        <is>
          <t>Armement historique à déterminer précisément pour ce modèle/sa variante</t>
        </is>
      </c>
      <c r="M268" s="8" t="inlineStr">
        <is>
          <t>Ne récupérer une arme que si elle est présente, identifiable et démontable; vérifier le calibre</t>
        </is>
      </c>
      <c r="N268" s="8" t="inlineStr">
        <is>
          <t>À vérifier</t>
        </is>
      </c>
      <c r="O268" s="8" t="inlineStr">
        <is>
          <t>Non — contenu ultérieur</t>
        </is>
      </c>
      <c r="P268" s="8" t="inlineStr">
        <is>
          <t>À intégrer après validation du prototype</t>
        </is>
      </c>
      <c r="Q268" t="inlineStr">
        <is>
          <t>Zrínyi II : véhicule de catégorie « Chasseurs de chars et canons automoteurs », d'origine Hongrie. Motorisation recensée : 8 cylindres essence famille Turán (à confirmer). Variante historique à vérifier avant validation définitive.</t>
        </is>
      </c>
    </row>
    <row r="269" ht="42" customHeight="1">
      <c r="A269" s="8" t="inlineStr">
        <is>
          <t>Chasseurs de chars et canons automoteurs</t>
        </is>
      </c>
      <c r="B269" s="8" t="inlineStr">
        <is>
          <t>Nimród</t>
        </is>
      </c>
      <c r="C269" s="8" t="inlineStr">
        <is>
          <t>Hongrie</t>
        </is>
      </c>
      <c r="D269" s="8" t="inlineStr">
        <is>
          <t>Chasseurs de chars et canons automoteurs</t>
        </is>
      </c>
      <c r="E269" s="8" t="n"/>
      <c r="F269" s="8" t="inlineStr">
        <is>
          <t>8 cylindres essence Büssing-NAG (à confirmer)</t>
        </is>
      </c>
      <c r="G269" s="8" t="inlineStr">
        <is>
          <t>À normaliser après vérification</t>
        </is>
      </c>
      <c r="H269" s="8" t="inlineStr">
        <is>
          <t>À définir séparément des compatibilités historiques</t>
        </is>
      </c>
      <c r="I269" s="8" t="inlineStr">
        <is>
          <t>À vérifier</t>
        </is>
      </c>
      <c r="J269" s="8" t="inlineStr">
        <is>
          <t>Automoteur antiaérien dérivé du Landsverk L-62.</t>
        </is>
      </c>
      <c r="K269" s="8" t="inlineStr">
        <is>
          <t>https://generalstab.org/military_history/second_world_war/barbarossa-axis-allies/hungarian-weapons-statistics/</t>
        </is>
      </c>
      <c r="L269" s="8" t="inlineStr">
        <is>
          <t>Armement historique à déterminer précisément pour ce modèle/sa variante</t>
        </is>
      </c>
      <c r="M269" s="8" t="inlineStr">
        <is>
          <t>Ne récupérer une arme que si elle est présente, identifiable et démontable; vérifier le calibre</t>
        </is>
      </c>
      <c r="N269" s="8" t="inlineStr">
        <is>
          <t>À vérifier</t>
        </is>
      </c>
      <c r="O269" s="8" t="inlineStr">
        <is>
          <t>Non — contenu ultérieur</t>
        </is>
      </c>
      <c r="P269" s="8" t="inlineStr">
        <is>
          <t>À intégrer après validation du prototype</t>
        </is>
      </c>
      <c r="Q269" t="inlineStr">
        <is>
          <t>Nimród : véhicule de catégorie « Chasseurs de chars et canons automoteurs », d'origine Hongrie. Motorisation recensée : 8 cylindres essence Büssing-NAG (à confirmer). Variante historique à vérifier avant validation définitive.</t>
        </is>
      </c>
    </row>
    <row r="270" ht="42" customHeight="1">
      <c r="A270" s="8" t="inlineStr">
        <is>
          <t>Chasseurs de chars et canons automoteurs</t>
        </is>
      </c>
      <c r="B270" s="8" t="inlineStr">
        <is>
          <t>TACAM R-2</t>
        </is>
      </c>
      <c r="C270" s="8" t="inlineStr">
        <is>
          <t>Roumanie</t>
        </is>
      </c>
      <c r="D270" s="8" t="inlineStr">
        <is>
          <t>Chasseurs de chars et canons automoteurs</t>
        </is>
      </c>
      <c r="E270" s="8" t="n"/>
      <c r="F270" s="8" t="inlineStr">
        <is>
          <t>6 cylindres essence Škoda T-11</t>
        </is>
      </c>
      <c r="G270" s="8" t="inlineStr">
        <is>
          <t>À normaliser après vérification</t>
        </is>
      </c>
      <c r="H270" s="8" t="inlineStr">
        <is>
          <t>À définir séparément des compatibilités historiques</t>
        </is>
      </c>
      <c r="I270" s="8" t="inlineStr">
        <is>
          <t>Documenté</t>
        </is>
      </c>
      <c r="J270" s="8" t="inlineStr">
        <is>
          <t>Conversion roumaine sur châssis R-2/Panzer 35(t).</t>
        </is>
      </c>
      <c r="K270" s="8" t="inlineStr">
        <is>
          <t>https://www.worldwar2.ro/arme/?article=242&amp;language=ro</t>
        </is>
      </c>
      <c r="L270" s="8" t="inlineStr">
        <is>
          <t>Canon antichar soviétique de 76,2 mm F-22 ou ZiS-3 selon version</t>
        </is>
      </c>
      <c r="M270" s="8" t="inlineStr">
        <is>
          <t>Canon antichar; montage en casemate ouverte</t>
        </is>
      </c>
      <c r="N270" s="8" t="inlineStr">
        <is>
          <t>Partiel</t>
        </is>
      </c>
      <c r="O270" s="8" t="inlineStr">
        <is>
          <t>Non — contenu ultérieur</t>
        </is>
      </c>
      <c r="P270" s="8" t="inlineStr">
        <is>
          <t>À intégrer après validation du prototype</t>
        </is>
      </c>
      <c r="Q270" t="inlineStr">
        <is>
          <t>TACAM R-2 : véhicule de catégorie « Chasseurs de chars et canons automoteurs », d'origine Roumanie. Motorisation recensée : 6 cylindres essence Škoda T-11. Fiche de catalogue à compléter avec le rôle tactique et les caractéristiques de jeu.</t>
        </is>
      </c>
    </row>
    <row r="271" ht="42" customHeight="1">
      <c r="A271" s="8" t="inlineStr">
        <is>
          <t>Chasseurs de chars et canons automoteurs</t>
        </is>
      </c>
      <c r="B271" s="8" t="inlineStr">
        <is>
          <t>TACAM T-60</t>
        </is>
      </c>
      <c r="C271" s="8" t="inlineStr">
        <is>
          <t>Roumanie</t>
        </is>
      </c>
      <c r="D271" s="8" t="inlineStr">
        <is>
          <t>Chasseurs de chars et canons automoteurs</t>
        </is>
      </c>
      <c r="E271" s="8" t="n"/>
      <c r="F271" s="8" t="inlineStr">
        <is>
          <t>6 cylindres essence GAZ-202 (famille à confirmer)</t>
        </is>
      </c>
      <c r="G271" s="8" t="inlineStr">
        <is>
          <t>À normaliser après vérification</t>
        </is>
      </c>
      <c r="H271" s="8" t="inlineStr">
        <is>
          <t>À définir séparément des compatibilités historiques</t>
        </is>
      </c>
      <c r="I271" s="8" t="inlineStr">
        <is>
          <t>À vérifier</t>
        </is>
      </c>
      <c r="J271" s="8" t="inlineStr">
        <is>
          <t>Conversion d'un châssis soviétique capturé.</t>
        </is>
      </c>
      <c r="K271" s="8" t="inlineStr">
        <is>
          <t>https://onwar.com/wwii/tanks/romania/index.html</t>
        </is>
      </c>
      <c r="L271" s="8" t="inlineStr">
        <is>
          <t>Canon antichar soviétique de 76,2 mm F-22 ou ZiS-3 selon version</t>
        </is>
      </c>
      <c r="M271" s="8" t="inlineStr">
        <is>
          <t>Canon antichar; montage en casemate ouverte</t>
        </is>
      </c>
      <c r="N271" s="8" t="inlineStr">
        <is>
          <t>Partiel</t>
        </is>
      </c>
      <c r="O271" s="8" t="inlineStr">
        <is>
          <t>Non — contenu ultérieur</t>
        </is>
      </c>
      <c r="P271" s="8" t="inlineStr">
        <is>
          <t>À intégrer après validation du prototype</t>
        </is>
      </c>
      <c r="Q271" t="inlineStr">
        <is>
          <t>TACAM T-60 : véhicule de catégorie « Chasseurs de chars et canons automoteurs », d'origine Roumanie. Motorisation recensée : 6 cylindres essence GAZ-202 (famille à confirmer). Variante historique à vérifier avant validation définitive.</t>
        </is>
      </c>
    </row>
    <row r="272" ht="42" customHeight="1">
      <c r="A272" s="8" t="inlineStr">
        <is>
          <t>Chasseurs de chars et canons automoteurs</t>
        </is>
      </c>
      <c r="B272" s="8" t="inlineStr">
        <is>
          <t>Vanatorul de care R-35</t>
        </is>
      </c>
      <c r="C272" s="8" t="inlineStr">
        <is>
          <t>Roumanie</t>
        </is>
      </c>
      <c r="D272" s="8" t="inlineStr">
        <is>
          <t>Chasseurs de chars et canons automoteurs</t>
        </is>
      </c>
      <c r="E272" s="8" t="n"/>
      <c r="F272" s="8" t="inlineStr">
        <is>
          <t>4 cylindres essence Renault du R-35</t>
        </is>
      </c>
      <c r="G272" s="8" t="inlineStr">
        <is>
          <t>À normaliser après vérification</t>
        </is>
      </c>
      <c r="H272" s="8" t="inlineStr">
        <is>
          <t>À définir séparément des compatibilités historiques</t>
        </is>
      </c>
      <c r="I272" s="8" t="inlineStr">
        <is>
          <t>À vérifier</t>
        </is>
      </c>
      <c r="J272" s="8" t="inlineStr">
        <is>
          <t>Châssis français modifié avec canon différent.</t>
        </is>
      </c>
      <c r="K272" s="8" t="inlineStr">
        <is>
          <t>https://onwar.com/wwii/tanks/romania/index.html</t>
        </is>
      </c>
      <c r="L272" s="8" t="inlineStr">
        <is>
          <t>Armement historique à déterminer précisément pour ce modèle/sa variante</t>
        </is>
      </c>
      <c r="M272" s="8" t="inlineStr">
        <is>
          <t>Ne récupérer une arme que si elle est présente, identifiable et démontable; vérifier le calibre</t>
        </is>
      </c>
      <c r="N272" s="8" t="inlineStr">
        <is>
          <t>À vérifier</t>
        </is>
      </c>
      <c r="O272" s="8" t="inlineStr">
        <is>
          <t>Non — contenu ultérieur</t>
        </is>
      </c>
      <c r="P272" s="8" t="inlineStr">
        <is>
          <t>À intégrer après validation du prototype</t>
        </is>
      </c>
      <c r="Q272" t="inlineStr">
        <is>
          <t>Vanatorul de care R-35 : véhicule de catégorie « Chasseurs de chars et canons automoteurs », d'origine Roumanie. Motorisation recensée : 4 cylindres essence Renault du R-35. Variante historique à vérifier avant validation définitive.</t>
        </is>
      </c>
    </row>
    <row r="273" ht="42" customHeight="1">
      <c r="A273" s="8" t="inlineStr">
        <is>
          <t>Chasseurs de chars et canons automoteurs</t>
        </is>
      </c>
      <c r="B273" s="8" t="inlineStr">
        <is>
          <t>BT-42</t>
        </is>
      </c>
      <c r="C273" s="8" t="inlineStr">
        <is>
          <t>Finlande</t>
        </is>
      </c>
      <c r="D273" s="8" t="inlineStr">
        <is>
          <t>Chasseurs de chars et canons automoteurs</t>
        </is>
      </c>
      <c r="E273" s="8" t="n"/>
      <c r="F273" s="8" t="inlineStr">
        <is>
          <t>12 cylindres essence M-17, famille de BT-7</t>
        </is>
      </c>
      <c r="G273" s="8" t="inlineStr">
        <is>
          <t>À normaliser après vérification</t>
        </is>
      </c>
      <c r="H273" s="8" t="inlineStr">
        <is>
          <t>À définir séparément des compatibilités historiques</t>
        </is>
      </c>
      <c r="I273" s="8" t="inlineStr">
        <is>
          <t>À vérifier</t>
        </is>
      </c>
      <c r="J273" s="8" t="inlineStr">
        <is>
          <t>Conversion finlandaise d'un châssis soviétique.</t>
        </is>
      </c>
      <c r="K273" s="8" t="inlineStr">
        <is>
          <t>https://tanks-encyclopedia.com/ww2/finland/bt-42/</t>
        </is>
      </c>
      <c r="L273" s="8" t="inlineStr">
        <is>
          <t>Armement historique à déterminer précisément pour ce modèle/sa variante</t>
        </is>
      </c>
      <c r="M273" s="8" t="inlineStr">
        <is>
          <t>Ne récupérer une arme que si elle est présente, identifiable et démontable; vérifier le calibre</t>
        </is>
      </c>
      <c r="N273" s="8" t="inlineStr">
        <is>
          <t>À vérifier</t>
        </is>
      </c>
      <c r="O273" s="8" t="inlineStr">
        <is>
          <t>Non — contenu ultérieur</t>
        </is>
      </c>
      <c r="P273" s="8" t="inlineStr">
        <is>
          <t>À intégrer après validation du prototype</t>
        </is>
      </c>
      <c r="Q273" t="inlineStr">
        <is>
          <t>BT-42 : véhicule de catégorie « Chasseurs de chars et canons automoteurs », d'origine Finlande. Motorisation recensée : 12 cylindres essence M-17, famille de BT-7. Variante historique à vérifier avant validation définitive.</t>
        </is>
      </c>
    </row>
    <row r="274" ht="42" customHeight="1">
      <c r="A274" s="8" t="inlineStr">
        <is>
          <t>Chars légers et chars anciens</t>
        </is>
      </c>
      <c r="B274" s="8" t="inlineStr">
        <is>
          <t>Vickers 6-Ton</t>
        </is>
      </c>
      <c r="C274" s="8" t="inlineStr">
        <is>
          <t>Royaume-Uni / export</t>
        </is>
      </c>
      <c r="D274" s="8" t="inlineStr">
        <is>
          <t>Chars légers et chars anciens</t>
        </is>
      </c>
      <c r="E274" s="8" t="n"/>
      <c r="F274" s="8" t="inlineStr">
        <is>
          <t>4 cylindres essence Armstrong Siddeley (selon version)</t>
        </is>
      </c>
      <c r="G274" s="8" t="inlineStr">
        <is>
          <t>À normaliser après vérification</t>
        </is>
      </c>
      <c r="H274" s="8" t="inlineStr">
        <is>
          <t>À définir séparément des compatibilités historiques</t>
        </is>
      </c>
      <c r="I274" s="8" t="inlineStr">
        <is>
          <t>À vérifier</t>
        </is>
      </c>
      <c r="J274" s="8" t="inlineStr">
        <is>
          <t>Base de plusieurs conceptions étrangères.</t>
        </is>
      </c>
      <c r="K274" s="8" t="inlineStr">
        <is>
          <t>https://tanks-encyclopedia.com/ww2/uk/vickers-6-ton/</t>
        </is>
      </c>
      <c r="L274" s="8" t="inlineStr">
        <is>
          <t>Armement historique à déterminer précisément pour ce modèle/sa variante</t>
        </is>
      </c>
      <c r="M274" s="8" t="inlineStr">
        <is>
          <t>Ne récupérer une arme que si elle est présente, identifiable et démontable; vérifier le calibre</t>
        </is>
      </c>
      <c r="N274" s="8" t="inlineStr">
        <is>
          <t>À vérifier</t>
        </is>
      </c>
      <c r="O274" s="8" t="inlineStr">
        <is>
          <t>Non — contenu ultérieur</t>
        </is>
      </c>
      <c r="P274" s="8" t="inlineStr">
        <is>
          <t>À intégrer après validation du prototype</t>
        </is>
      </c>
      <c r="Q274" t="inlineStr">
        <is>
          <t>Vickers 6-Ton : véhicule de catégorie « Chars légers et chars anciens », d'origine Royaume-Uni / export. Motorisation recensée : 4 cylindres essence Armstrong Siddeley (selon version). Variante historique à vérifier avant validation définitive.</t>
        </is>
      </c>
    </row>
    <row r="275" ht="42" customHeight="1">
      <c r="A275" s="8" t="inlineStr">
        <is>
          <t>Chasseurs de chars et canons automoteurs</t>
        </is>
      </c>
      <c r="B275" s="8" t="inlineStr">
        <is>
          <t>T-13 B1/B2</t>
        </is>
      </c>
      <c r="C275" s="8" t="inlineStr">
        <is>
          <t>Belgique</t>
        </is>
      </c>
      <c r="D275" s="8" t="inlineStr">
        <is>
          <t>Chasseurs de chars et canons automoteurs</t>
        </is>
      </c>
      <c r="E275" s="8" t="n"/>
      <c r="F275" s="8" t="inlineStr">
        <is>
          <t>4 cylindres essence Vickers / Meadows (selon série à confirmer)</t>
        </is>
      </c>
      <c r="G275" s="8" t="inlineStr">
        <is>
          <t>À normaliser après vérification</t>
        </is>
      </c>
      <c r="H275" s="8" t="inlineStr">
        <is>
          <t>À définir séparément des compatibilités historiques</t>
        </is>
      </c>
      <c r="I275" s="8" t="inlineStr">
        <is>
          <t>À vérifier</t>
        </is>
      </c>
      <c r="J275" s="8" t="inlineStr">
        <is>
          <t>Chasseur de chars léger belge.</t>
        </is>
      </c>
      <c r="K275" s="8" t="inlineStr">
        <is>
          <t>https://tanks-encyclopedia.com/ww2/belgium/t13/</t>
        </is>
      </c>
      <c r="L275" s="8" t="inlineStr">
        <is>
          <t>Armement historique à déterminer précisément pour ce modèle/sa variante</t>
        </is>
      </c>
      <c r="M275" s="8" t="inlineStr">
        <is>
          <t>Ne récupérer une arme que si elle est présente, identifiable et démontable; vérifier le calibre</t>
        </is>
      </c>
      <c r="N275" s="8" t="inlineStr">
        <is>
          <t>À vérifier</t>
        </is>
      </c>
      <c r="O275" s="8" t="inlineStr">
        <is>
          <t>Non — contenu ultérieur</t>
        </is>
      </c>
      <c r="P275" s="8" t="inlineStr">
        <is>
          <t>À intégrer après validation du prototype</t>
        </is>
      </c>
      <c r="Q275" t="inlineStr">
        <is>
          <t>T-13 B1/B2 : véhicule de catégorie « Chasseurs de chars et canons automoteurs », d'origine Belgique. Motorisation recensée : 4 cylindres essence Vickers / Meadows (selon série à confirmer). Variante historique à vérifier avant validation définitive.</t>
        </is>
      </c>
    </row>
    <row r="276" ht="42" customHeight="1">
      <c r="A276" s="8" t="inlineStr">
        <is>
          <t>Chars légers et chars anciens</t>
        </is>
      </c>
      <c r="B276" s="8" t="inlineStr">
        <is>
          <t>T-15</t>
        </is>
      </c>
      <c r="C276" s="8" t="inlineStr">
        <is>
          <t>Belgique</t>
        </is>
      </c>
      <c r="D276" s="8" t="inlineStr">
        <is>
          <t>Chars légers et chars anciens</t>
        </is>
      </c>
      <c r="E276" s="8" t="n"/>
      <c r="F276" s="8" t="inlineStr">
        <is>
          <t>4 cylindres essence Meadows (à confirmer)</t>
        </is>
      </c>
      <c r="G276" s="8" t="inlineStr">
        <is>
          <t>À normaliser après vérification</t>
        </is>
      </c>
      <c r="H276" s="8" t="inlineStr">
        <is>
          <t>À définir séparément des compatibilités historiques</t>
        </is>
      </c>
      <c r="I276" s="8" t="inlineStr">
        <is>
          <t>À vérifier</t>
        </is>
      </c>
      <c r="J276" s="8" t="inlineStr">
        <is>
          <t>Char léger belge dérivé de conception britannique.</t>
        </is>
      </c>
      <c r="K276" s="8" t="inlineStr">
        <is>
          <t>https://tanks-encyclopedia.com/ww2/belgium/t15/</t>
        </is>
      </c>
      <c r="L276" s="8" t="inlineStr">
        <is>
          <t>Armement historique à déterminer précisément pour ce modèle/sa variante</t>
        </is>
      </c>
      <c r="M276" s="8" t="inlineStr">
        <is>
          <t>Ne récupérer une arme que si elle est présente, identifiable et démontable; vérifier le calibre</t>
        </is>
      </c>
      <c r="N276" s="8" t="inlineStr">
        <is>
          <t>À vérifier</t>
        </is>
      </c>
      <c r="O276" s="8" t="inlineStr">
        <is>
          <t>Non — contenu ultérieur</t>
        </is>
      </c>
      <c r="P276" s="8" t="inlineStr">
        <is>
          <t>À intégrer après validation du prototype</t>
        </is>
      </c>
      <c r="Q276" t="inlineStr">
        <is>
          <t>T-15 : véhicule de catégorie « Chars légers et chars anciens », d'origine Belgique. Motorisation recensée : 4 cylindres essence Meadows (à confirmer). Variante historique à vérifier avant validation définitive.</t>
        </is>
      </c>
    </row>
  </sheetData>
  <autoFilter ref="A1:P27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
  <sheetViews>
    <sheetView showGridLines="0" workbookViewId="0">
      <pane ySplit="1" topLeftCell="A2" activePane="bottomLeft" state="frozen"/>
      <selection pane="bottomLeft" activeCell="A1" sqref="A1"/>
    </sheetView>
  </sheetViews>
  <sheetFormatPr baseColWidth="8" defaultRowHeight="15"/>
  <cols>
    <col width="16" customWidth="1" min="1" max="1"/>
    <col width="48" customWidth="1" min="2" max="2"/>
  </cols>
  <sheetData>
    <row r="1">
      <c r="A1" s="9" t="inlineStr">
        <is>
          <t>Modèle</t>
        </is>
      </c>
      <c r="B1" s="9" t="inlineStr">
        <is>
          <t>Motif</t>
        </is>
      </c>
    </row>
    <row r="2">
      <c r="A2" s="8" t="inlineStr">
        <is>
          <t>Land Rover</t>
        </is>
      </c>
      <c r="B2" s="8" t="inlineStr">
        <is>
          <t>Conçu après 1945 : hors périmètre historique strict choisi.</t>
        </is>
      </c>
    </row>
    <row r="3">
      <c r="A3" s="8" t="inlineStr">
        <is>
          <t>ARL 44</t>
        </is>
      </c>
      <c r="B3" s="8" t="inlineStr">
        <is>
          <t>Conçu après 1945 : hors périmètre historique strict choisi.</t>
        </is>
      </c>
    </row>
  </sheetData>
  <autoFilter ref="A1:B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4"/>
  <sheetViews>
    <sheetView showGridLines="0" workbookViewId="0">
      <pane ySplit="1" topLeftCell="A2" activePane="bottomLeft" state="frozen"/>
      <selection pane="bottomLeft" activeCell="A1" sqref="A1"/>
    </sheetView>
  </sheetViews>
  <sheetFormatPr baseColWidth="8" defaultRowHeight="15"/>
  <cols>
    <col width="18" customWidth="1" min="1" max="1"/>
    <col width="48" customWidth="1" min="2" max="2"/>
    <col width="46" customWidth="1" min="3" max="3"/>
    <col width="34" customWidth="1" min="4" max="4"/>
    <col width="48" customWidth="1" min="5" max="5"/>
    <col width="35" customWidth="1" min="6" max="6"/>
  </cols>
  <sheetData>
    <row r="1">
      <c r="A1" s="9" t="inlineStr">
        <is>
          <t>ID provisoire</t>
        </is>
      </c>
      <c r="B1" s="9" t="inlineStr">
        <is>
          <t>Famille / architecture</t>
        </is>
      </c>
      <c r="C1" s="9" t="inlineStr">
        <is>
          <t>Exemples de véhicules</t>
        </is>
      </c>
      <c r="D1" s="9" t="inlineStr">
        <is>
          <t>Carburant / refroidissement</t>
        </is>
      </c>
      <c r="E1" s="9" t="inlineStr">
        <is>
          <t>Règle de compatibilité initiale</t>
        </is>
      </c>
      <c r="F1" s="9" t="inlineStr">
        <is>
          <t>État</t>
        </is>
      </c>
    </row>
    <row r="2">
      <c r="A2" s="8" t="inlineStr">
        <is>
          <t>I4-CIT-7-11</t>
        </is>
      </c>
      <c r="B2" s="8" t="inlineStr">
        <is>
          <t>4 cylindres en ligne Citroën 7/11</t>
        </is>
      </c>
      <c r="C2" s="8" t="inlineStr">
        <is>
          <t>Traction Avant 7/11; Citroën Type 23 essence</t>
        </is>
      </c>
      <c r="D2" s="8" t="inlineStr">
        <is>
          <t>Essence, refroidissement liquide</t>
        </is>
      </c>
      <c r="E2" s="8" t="inlineStr">
        <is>
          <t>Famille partagée en jeu à confirmer selon carter, boîte, sens de montage et supports.</t>
        </is>
      </c>
      <c r="F2" s="8" t="inlineStr">
        <is>
          <t>Documenté, détails à vérifier</t>
        </is>
      </c>
    </row>
    <row r="3">
      <c r="A3" s="8" t="inlineStr">
        <is>
          <t>I6-CIT-15</t>
        </is>
      </c>
      <c r="B3" s="8" t="inlineStr">
        <is>
          <t>6 cylindres en ligne Citroën 15 Six</t>
        </is>
      </c>
      <c r="C3" s="8" t="inlineStr">
        <is>
          <t>Traction Avant 15 Six</t>
        </is>
      </c>
      <c r="D3" s="8" t="inlineStr">
        <is>
          <t>Essence, refroidissement liquide</t>
        </is>
      </c>
      <c r="E3" s="8" t="inlineStr">
        <is>
          <t>Ne pas fusionner avec les moteurs I4 Citroën.</t>
        </is>
      </c>
      <c r="F3" s="8" t="inlineStr">
        <is>
          <t>Documenté</t>
        </is>
      </c>
    </row>
    <row r="4">
      <c r="A4" s="8" t="inlineStr">
        <is>
          <t>I4-PGT-TG</t>
        </is>
      </c>
      <c r="B4" s="8" t="inlineStr">
        <is>
          <t>4 cylindres en ligne Peugeot TG</t>
        </is>
      </c>
      <c r="C4" s="8" t="inlineStr">
        <is>
          <t>Peugeot 202</t>
        </is>
      </c>
      <c r="D4" s="8" t="inlineStr">
        <is>
          <t>Essence, refroidissement liquide</t>
        </is>
      </c>
      <c r="E4" s="8" t="inlineStr">
        <is>
          <t>Famille dédiée ; adaptation vers d'autres véhicules à tester.</t>
        </is>
      </c>
      <c r="F4" s="8" t="inlineStr">
        <is>
          <t>Documenté</t>
        </is>
      </c>
    </row>
    <row r="5">
      <c r="A5" s="8" t="inlineStr">
        <is>
          <t>I4-PGT-402</t>
        </is>
      </c>
      <c r="B5" s="8" t="inlineStr">
        <is>
          <t>4 cylindres en ligne Peugeot 402</t>
        </is>
      </c>
      <c r="C5" s="8" t="inlineStr">
        <is>
          <t>Peugeot 402 / 402 B</t>
        </is>
      </c>
      <c r="D5" s="8" t="inlineStr">
        <is>
          <t>Essence, refroidissement liquide</t>
        </is>
      </c>
      <c r="E5" s="8" t="inlineStr">
        <is>
          <t>Variantes 402/402B à distinguer avant compatibilité commune.</t>
        </is>
      </c>
      <c r="F5" s="8" t="inlineStr">
        <is>
          <t>Documenté</t>
        </is>
      </c>
    </row>
    <row r="6">
      <c r="A6" s="8" t="inlineStr">
        <is>
          <t>I4-REN-488</t>
        </is>
      </c>
      <c r="B6" s="8" t="inlineStr">
        <is>
          <t>4 cylindres en ligne Renault 488</t>
        </is>
      </c>
      <c r="C6" s="8" t="inlineStr">
        <is>
          <t>Renault Juvaquatre</t>
        </is>
      </c>
      <c r="D6" s="8" t="inlineStr">
        <is>
          <t>Essence, refroidissement liquide</t>
        </is>
      </c>
      <c r="E6" s="8" t="inlineStr">
        <is>
          <t>Moteur compact à soupapes latérales ; vérifier supports et boîte.</t>
        </is>
      </c>
      <c r="F6" s="8" t="inlineStr">
        <is>
          <t>Documenté</t>
        </is>
      </c>
    </row>
    <row r="7">
      <c r="A7" s="8" t="inlineStr">
        <is>
          <t>I4-REN-PRIMA</t>
        </is>
      </c>
      <c r="B7" s="8" t="inlineStr">
        <is>
          <t>4 cylindres en ligne Renault Primaquatre</t>
        </is>
      </c>
      <c r="C7" s="8" t="inlineStr">
        <is>
          <t>Renault Primaquatre séries KZ/ACL/BDF/BFP</t>
        </is>
      </c>
      <c r="D7" s="8" t="inlineStr">
        <is>
          <t>Essence, refroidissement liquide</t>
        </is>
      </c>
      <c r="E7" s="8" t="inlineStr">
        <is>
          <t>Les séries ne sont pas automatiquement interchangeables.</t>
        </is>
      </c>
      <c r="F7" s="8" t="inlineStr">
        <is>
          <t>Documenté, sous-types à détailler</t>
        </is>
      </c>
    </row>
    <row r="8">
      <c r="A8" s="8" t="inlineStr">
        <is>
          <t>I4-FORD-T</t>
        </is>
      </c>
      <c r="B8" s="8" t="inlineStr">
        <is>
          <t>4 cylindres en ligne Ford Model T</t>
        </is>
      </c>
      <c r="C8" s="8" t="inlineStr">
        <is>
          <t>Ford Model T</t>
        </is>
      </c>
      <c r="D8" s="8" t="inlineStr">
        <is>
          <t>Essence, refroidissement liquide</t>
        </is>
      </c>
      <c r="E8" s="8" t="inlineStr">
        <is>
          <t>Famille ancienne dédiée.</t>
        </is>
      </c>
      <c r="F8" s="8" t="inlineStr">
        <is>
          <t>Documenté</t>
        </is>
      </c>
    </row>
    <row r="9">
      <c r="A9" s="8" t="inlineStr">
        <is>
          <t>I4-FORD-A</t>
        </is>
      </c>
      <c r="B9" s="8" t="inlineStr">
        <is>
          <t>4 cylindres en ligne Ford Model A</t>
        </is>
      </c>
      <c r="C9" s="8" t="inlineStr">
        <is>
          <t>Ford Model A</t>
        </is>
      </c>
      <c r="D9" s="8" t="inlineStr">
        <is>
          <t>Essence, refroidissement liquide</t>
        </is>
      </c>
      <c r="E9" s="8" t="inlineStr">
        <is>
          <t>Ne pas fusionner avec Model T.</t>
        </is>
      </c>
      <c r="F9" s="8" t="inlineStr">
        <is>
          <t>Source dédiée à ajouter</t>
        </is>
      </c>
    </row>
    <row r="10">
      <c r="A10" s="8" t="inlineStr">
        <is>
          <t>V8-FORD-FLATHEAD</t>
        </is>
      </c>
      <c r="B10" s="8" t="inlineStr">
        <is>
          <t>V8 Ford à soupapes latérales (Flathead)</t>
        </is>
      </c>
      <c r="C10" s="8" t="inlineStr">
        <is>
          <t>Ford V8 années 1930</t>
        </is>
      </c>
      <c r="D10" s="8" t="inlineStr">
        <is>
          <t>Essence, refroidissement liquide</t>
        </is>
      </c>
      <c r="E10" s="8" t="inlineStr">
        <is>
          <t>Famille de gameplay avec variantes de fixation/accessoires.</t>
        </is>
      </c>
      <c r="F10" s="8" t="inlineStr">
        <is>
          <t>Documenté</t>
        </is>
      </c>
    </row>
    <row r="11">
      <c r="A11" s="8" t="inlineStr">
        <is>
          <t>I6-CHEV-STOVE</t>
        </is>
      </c>
      <c r="B11" s="8" t="inlineStr">
        <is>
          <t>6 cylindres en ligne Chevrolet Stovebolt</t>
        </is>
      </c>
      <c r="C11" s="8" t="inlineStr">
        <is>
          <t>Chevrolet Master / Special Deluxe</t>
        </is>
      </c>
      <c r="D11" s="8" t="inlineStr">
        <is>
          <t>Essence, refroidissement liquide</t>
        </is>
      </c>
      <c r="E11" s="8" t="inlineStr">
        <is>
          <t>Millésime exact à définir ; compatibilité avec utilitaires GM à rechercher.</t>
        </is>
      </c>
      <c r="F11" s="8" t="inlineStr">
        <is>
          <t>Sous-modèles à préciser</t>
        </is>
      </c>
    </row>
    <row r="12">
      <c r="A12" s="8" t="inlineStr">
        <is>
          <t>I6-DODGE-WC</t>
        </is>
      </c>
      <c r="B12" s="8" t="inlineStr">
        <is>
          <t>6 cylindres en ligne Dodge flathead</t>
        </is>
      </c>
      <c r="C12" s="8" t="inlineStr">
        <is>
          <t>Dodge WC-1 / WC-12</t>
        </is>
      </c>
      <c r="D12" s="8" t="inlineStr">
        <is>
          <t>Essence, refroidissement liquide</t>
        </is>
      </c>
      <c r="E12" s="8" t="inlineStr">
        <is>
          <t>Code moteur exact par variante WC à confirmer.</t>
        </is>
      </c>
      <c r="F12" s="8" t="inlineStr">
        <is>
          <t>À vérifier</t>
        </is>
      </c>
    </row>
    <row r="13">
      <c r="A13" s="8" t="inlineStr">
        <is>
          <t>I4-L134</t>
        </is>
      </c>
      <c r="B13" s="8" t="inlineStr">
        <is>
          <t>4 cylindres en ligne Willys/Ford L134</t>
        </is>
      </c>
      <c r="C13" s="8" t="inlineStr">
        <is>
          <t>Willys MB; Ford GPW</t>
        </is>
      </c>
      <c r="D13" s="8" t="inlineStr">
        <is>
          <t>Essence, refroidissement liquide</t>
        </is>
      </c>
      <c r="E13" s="8" t="inlineStr">
        <is>
          <t>Même famille de gameplay ; accessoires/numéros peuvent varier.</t>
        </is>
      </c>
      <c r="F13" s="8" t="inlineStr">
        <is>
          <t>Documenté</t>
        </is>
      </c>
    </row>
    <row r="14">
      <c r="A14" s="8" t="inlineStr">
        <is>
          <t>F4-VW-AIR</t>
        </is>
      </c>
      <c r="B14" s="8" t="inlineStr">
        <is>
          <t>4 cylindres à plat Volkswagen refroidi par air</t>
        </is>
      </c>
      <c r="C14" s="8" t="inlineStr">
        <is>
          <t>Kübelwagen Type 82; Schwimmwagen Type 166</t>
        </is>
      </c>
      <c r="D14" s="8" t="inlineStr">
        <is>
          <t>Essence, refroidissement par air</t>
        </is>
      </c>
      <c r="E14" s="8" t="inlineStr">
        <is>
          <t>Famille commune ; les versions 1,0 et 1,1 L et les adaptations de transmission restent distinctes.</t>
        </is>
      </c>
      <c r="F14" s="8" t="inlineStr">
        <is>
          <t>Documenté</t>
        </is>
      </c>
    </row>
    <row r="15">
      <c r="A15" s="8" t="inlineStr">
        <is>
          <t>I4-MB-M136</t>
        </is>
      </c>
      <c r="B15" s="8" t="inlineStr">
        <is>
          <t>4 cylindres en ligne Mercedes M136</t>
        </is>
      </c>
      <c r="C15" s="8" t="inlineStr">
        <is>
          <t>Mercedes-Benz 170 V</t>
        </is>
      </c>
      <c r="D15" s="8" t="inlineStr">
        <is>
          <t>Essence, refroidissement liquide</t>
        </is>
      </c>
      <c r="E15" s="8" t="inlineStr">
        <is>
          <t>Famille Mercedes spécifique ; adaptation selon montage.</t>
        </is>
      </c>
      <c r="F15" s="8" t="inlineStr">
        <is>
          <t>Documenté</t>
        </is>
      </c>
    </row>
    <row r="16">
      <c r="A16" s="8" t="inlineStr">
        <is>
          <t>I4-OPEL-OLY</t>
        </is>
      </c>
      <c r="B16" s="8" t="inlineStr">
        <is>
          <t>4 cylindres en ligne Opel Olympia</t>
        </is>
      </c>
      <c r="C16" s="8" t="inlineStr">
        <is>
          <t>Opel Olympia première génération</t>
        </is>
      </c>
      <c r="D16" s="8" t="inlineStr">
        <is>
          <t>Essence, refroidissement liquide</t>
        </is>
      </c>
      <c r="E16" s="8" t="inlineStr">
        <is>
          <t>Variantes selon année à préciser.</t>
        </is>
      </c>
      <c r="F16" s="8" t="inlineStr">
        <is>
          <t>Documenté</t>
        </is>
      </c>
    </row>
    <row r="17">
      <c r="A17" s="8" t="inlineStr">
        <is>
          <t>V8-HORCH</t>
        </is>
      </c>
      <c r="B17" s="8" t="inlineStr">
        <is>
          <t>V8 Horch</t>
        </is>
      </c>
      <c r="C17" s="8" t="inlineStr">
        <is>
          <t>Horch 830; Horch 901 à vérifier</t>
        </is>
      </c>
      <c r="D17" s="8" t="inlineStr">
        <is>
          <t>Essence, refroidissement liquide</t>
        </is>
      </c>
      <c r="E17" s="8" t="inlineStr">
        <is>
          <t>Ne pas considérer 830/901 interchangeables avant recherche complémentaire.</t>
        </is>
      </c>
      <c r="F17" s="8" t="inlineStr">
        <is>
          <t>Partiel</t>
        </is>
      </c>
    </row>
    <row r="18">
      <c r="A18" s="8" t="inlineStr">
        <is>
          <t>I6-BMW-326</t>
        </is>
      </c>
      <c r="B18" s="8" t="inlineStr">
        <is>
          <t>6 cylindres en ligne BMW 326</t>
        </is>
      </c>
      <c r="C18" s="8" t="inlineStr">
        <is>
          <t>BMW 326</t>
        </is>
      </c>
      <c r="D18" s="8" t="inlineStr">
        <is>
          <t>Essence, refroidissement liquide</t>
        </is>
      </c>
      <c r="E18" s="8" t="inlineStr">
        <is>
          <t>Famille spécifique BMW.</t>
        </is>
      </c>
      <c r="F18" s="8" t="inlineStr">
        <is>
          <t>Documenté</t>
        </is>
      </c>
    </row>
    <row r="19">
      <c r="A19" s="8" t="inlineStr">
        <is>
          <t>I4-FIAT-108</t>
        </is>
      </c>
      <c r="B19" s="8" t="inlineStr">
        <is>
          <t>4 cylindres en ligne Fiat 508 type 108</t>
        </is>
      </c>
      <c r="C19" s="8" t="inlineStr">
        <is>
          <t>Fiat 508 Balilla</t>
        </is>
      </c>
      <c r="D19" s="8" t="inlineStr">
        <is>
          <t>Essence, refroidissement liquide</t>
        </is>
      </c>
      <c r="E19" s="8" t="inlineStr">
        <is>
          <t>Distinct de la Fiat 508 C/1100.</t>
        </is>
      </c>
      <c r="F19" s="8" t="inlineStr">
        <is>
          <t>Documenté, variantes à préciser</t>
        </is>
      </c>
    </row>
    <row r="20">
      <c r="A20" s="8" t="inlineStr">
        <is>
          <t>I4-FIAT-108C</t>
        </is>
      </c>
      <c r="B20" s="8" t="inlineStr">
        <is>
          <t>4 cylindres en ligne Fiat 108C</t>
        </is>
      </c>
      <c r="C20" s="8" t="inlineStr">
        <is>
          <t>Fiat 508 C / Fiat 1100 initiale</t>
        </is>
      </c>
      <c r="D20" s="8" t="inlineStr">
        <is>
          <t>Essence, refroidissement liquide</t>
        </is>
      </c>
      <c r="E20" s="8" t="inlineStr">
        <is>
          <t>Famille commune initiale à confirmer par version.</t>
        </is>
      </c>
      <c r="F20" s="8" t="inlineStr">
        <is>
          <t>Documenté</t>
        </is>
      </c>
    </row>
    <row r="21">
      <c r="A21" s="8" t="inlineStr">
        <is>
          <t>V4-LANCIA-APR</t>
        </is>
      </c>
      <c r="B21" s="8" t="inlineStr">
        <is>
          <t>V4 étroit Lancia</t>
        </is>
      </c>
      <c r="C21" s="8" t="inlineStr">
        <is>
          <t>Lancia Aprilia</t>
        </is>
      </c>
      <c r="D21" s="8" t="inlineStr">
        <is>
          <t>Essence, refroidissement liquide</t>
        </is>
      </c>
      <c r="E21" s="8" t="inlineStr">
        <is>
          <t>Architecture spécifique, non interchangeable avec V4 classiques.</t>
        </is>
      </c>
      <c r="F21" s="8" t="inlineStr">
        <is>
          <t>Documenté</t>
        </is>
      </c>
    </row>
    <row r="22">
      <c r="A22" s="8" t="inlineStr">
        <is>
          <t>I4-AUSTIN-TEN</t>
        </is>
      </c>
      <c r="B22" s="8" t="inlineStr">
        <is>
          <t>4 cylindres en ligne Austin Ten</t>
        </is>
      </c>
      <c r="C22" s="8" t="inlineStr">
        <is>
          <t>Austin 10</t>
        </is>
      </c>
      <c r="D22" s="8" t="inlineStr">
        <is>
          <t>Essence, refroidissement liquide</t>
        </is>
      </c>
      <c r="E22" s="8" t="inlineStr">
        <is>
          <t>Famille compacte britannique ; ne pas fusionner sans preuve.</t>
        </is>
      </c>
      <c r="F22" s="8" t="inlineStr">
        <is>
          <t>Documenté</t>
        </is>
      </c>
    </row>
    <row r="23">
      <c r="A23" s="8" t="inlineStr">
        <is>
          <t>I4-MORRIS-UB</t>
        </is>
      </c>
      <c r="B23" s="8" t="inlineStr">
        <is>
          <t>4 cylindres en ligne Morris UB</t>
        </is>
      </c>
      <c r="C23" s="8" t="inlineStr">
        <is>
          <t>Morris 8</t>
        </is>
      </c>
      <c r="D23" s="8" t="inlineStr">
        <is>
          <t>Essence, refroidissement liquide</t>
        </is>
      </c>
      <c r="E23" s="8" t="inlineStr">
        <is>
          <t>Famille compacte britannique.</t>
        </is>
      </c>
      <c r="F23" s="8" t="inlineStr">
        <is>
          <t>Documenté</t>
        </is>
      </c>
    </row>
    <row r="24">
      <c r="A24" s="8" t="inlineStr">
        <is>
          <t>I4-CIT-23-D</t>
        </is>
      </c>
      <c r="B24" s="8" t="inlineStr">
        <is>
          <t>4 cylindres diesel Citroën Type 23</t>
        </is>
      </c>
      <c r="C24" s="8" t="inlineStr">
        <is>
          <t>Citroën Type 23 diesel</t>
        </is>
      </c>
      <c r="D24" s="8" t="inlineStr">
        <is>
          <t>Diesel, refroidissement liquide</t>
        </is>
      </c>
      <c r="E24" s="8" t="inlineStr">
        <is>
          <t>Famille distincte des moteurs essence ; code exact à documenter.</t>
        </is>
      </c>
      <c r="F24" s="8" t="inlineStr">
        <is>
          <t>Documenté</t>
        </is>
      </c>
    </row>
  </sheetData>
  <autoFilter ref="A1:F2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36"/>
  <sheetViews>
    <sheetView showGridLines="0" workbookViewId="0">
      <pane ySplit="1" topLeftCell="A2" activePane="bottomLeft" state="frozen"/>
      <selection pane="bottomLeft" activeCell="A1" sqref="A1"/>
    </sheetView>
  </sheetViews>
  <sheetFormatPr baseColWidth="8" defaultRowHeight="15"/>
  <cols>
    <col width="28" customWidth="1" min="1" max="1"/>
    <col width="20" customWidth="1" min="2" max="2"/>
    <col width="42" customWidth="1" min="3" max="3"/>
    <col width="48" customWidth="1" min="4" max="4"/>
    <col width="48" customWidth="1" min="5" max="5"/>
    <col width="31" customWidth="1" min="6" max="6"/>
    <col width="48" customWidth="1" min="7" max="7"/>
    <col width="48" customWidth="1" min="8" max="8"/>
    <col width="48" customWidth="1" min="9" max="9"/>
    <col width="48" customWidth="1" min="10" max="10"/>
    <col width="20" customWidth="1" min="11" max="11"/>
    <col width="25" customWidth="1" min="12" max="12"/>
    <col width="42" customWidth="1" min="13" max="13"/>
  </cols>
  <sheetData>
    <row r="1">
      <c r="A1" s="9" t="inlineStr">
        <is>
          <t>Modèle</t>
        </is>
      </c>
      <c r="B1" s="9" t="inlineStr">
        <is>
          <t>Pays / origine</t>
        </is>
      </c>
      <c r="C1" s="9" t="inlineStr">
        <is>
          <t>Catégorie gameplay</t>
        </is>
      </c>
      <c r="D1" s="9" t="inlineStr">
        <is>
          <t>Famille / architecture moteur (première passe)</t>
        </is>
      </c>
      <c r="E1" s="9" t="inlineStr">
        <is>
          <t>Source de référence</t>
        </is>
      </c>
      <c r="F1" s="9" t="inlineStr">
        <is>
          <t>Niveau de vérification</t>
        </is>
      </c>
      <c r="G1" s="9" t="inlineStr">
        <is>
          <t>Intérêt mécanique / gameplay</t>
        </is>
      </c>
      <c r="H1" s="9" t="inlineStr">
        <is>
          <t>Statut historique</t>
        </is>
      </c>
      <c r="I1" s="9" t="inlineStr">
        <is>
          <t>Armement historique (première passe)</t>
        </is>
      </c>
      <c r="J1" s="9" t="inlineStr">
        <is>
          <t>Récupération d'armement</t>
        </is>
      </c>
      <c r="K1" s="9" t="inlineStr">
        <is>
          <t>Confiance armement</t>
        </is>
      </c>
      <c r="L1" s="9" t="inlineStr">
        <is>
          <t>Prototype prioritaire</t>
        </is>
      </c>
      <c r="M1" s="9" t="inlineStr">
        <is>
          <t>Rôle dans le prototype</t>
        </is>
      </c>
    </row>
    <row r="2" ht="42" customHeight="1">
      <c r="A2" s="8" t="inlineStr">
        <is>
          <t>Renault FT</t>
        </is>
      </c>
      <c r="B2" s="8" t="inlineStr">
        <is>
          <t>France</t>
        </is>
      </c>
      <c r="C2" s="8" t="inlineStr">
        <is>
          <t>Chars légers et chars anciens</t>
        </is>
      </c>
      <c r="D2" s="8" t="inlineStr">
        <is>
          <t>4 cylindres en ligne Renault</t>
        </is>
      </c>
      <c r="E2" s="8" t="inlineStr">
        <is>
          <t>https://museedesblindes.fr/les_chars/char-ft/</t>
        </is>
      </c>
      <c r="F2" s="8" t="inlineStr">
        <is>
          <t>Documenté</t>
        </is>
      </c>
      <c r="G2" s="8" t="inlineStr">
        <is>
          <t>Char historique de référence ; moteur compact, faible puissance.</t>
        </is>
      </c>
      <c r="H2" s="8" t="inlineStr">
        <is>
          <t>Série</t>
        </is>
      </c>
      <c r="I2" s="8" t="inlineStr">
        <is>
          <t>37 mm Puteaux SA 18 OU mitrailleuse Hotchkiss 8 mm (versions distinctes)</t>
        </is>
      </c>
      <c r="J2" s="8" t="inlineStr">
        <is>
          <t>Canon ou mitrailleuse selon la variante; tourelle/affût récupérable si intact</t>
        </is>
      </c>
      <c r="K2" s="8" t="inlineStr">
        <is>
          <t>Partiel</t>
        </is>
      </c>
      <c r="L2" s="8" t="inlineStr">
        <is>
          <t>Non — contenu ultérieur</t>
        </is>
      </c>
      <c r="M2" s="8" t="inlineStr">
        <is>
          <t>À intégrer après validation du prototype</t>
        </is>
      </c>
    </row>
    <row r="3" ht="42" customHeight="1">
      <c r="A3" s="8" t="inlineStr">
        <is>
          <t>Renault NC27 / NC1</t>
        </is>
      </c>
      <c r="B3" s="8" t="inlineStr">
        <is>
          <t>France</t>
        </is>
      </c>
      <c r="C3" s="8" t="inlineStr">
        <is>
          <t>Chars légers et chars anciens</t>
        </is>
      </c>
      <c r="D3" s="8" t="inlineStr">
        <is>
          <t>4 cylindres en ligne Renault (variante à confirmer)</t>
        </is>
      </c>
      <c r="E3" s="8" t="inlineStr">
        <is>
          <t>https://tanks-encyclopedia.com/ww1/fr/renault-ft/</t>
        </is>
      </c>
      <c r="F3" s="8" t="inlineStr">
        <is>
          <t>À vérifier</t>
        </is>
      </c>
      <c r="G3" s="8" t="inlineStr">
        <is>
          <t>Prototype/modernisation dérivée du FT ; moteur exact à documenter.</t>
        </is>
      </c>
      <c r="H3" s="8" t="inlineStr">
        <is>
          <t>Série</t>
        </is>
      </c>
      <c r="I3" s="8" t="inlineStr">
        <is>
          <t>Canon court de 37 mm (famille SA 18/SA 38 selon modèle) et/ou mitrailleuse 7,5 mm selon version</t>
        </is>
      </c>
      <c r="J3" s="8" t="inlineStr">
        <is>
          <t>Canon et mitrailleuses séparables; confirmer la variante exacte</t>
        </is>
      </c>
      <c r="K3" s="8" t="inlineStr">
        <is>
          <t>Partiel</t>
        </is>
      </c>
      <c r="L3" s="8" t="inlineStr">
        <is>
          <t>Non — contenu ultérieur</t>
        </is>
      </c>
      <c r="M3" s="8" t="inlineStr">
        <is>
          <t>À intégrer après validation du prototype</t>
        </is>
      </c>
    </row>
    <row r="4" ht="42" customHeight="1">
      <c r="A4" s="8" t="inlineStr">
        <is>
          <t>Renault D1</t>
        </is>
      </c>
      <c r="B4" s="8" t="inlineStr">
        <is>
          <t>France</t>
        </is>
      </c>
      <c r="C4" s="8" t="inlineStr">
        <is>
          <t>Chars légers et chars anciens</t>
        </is>
      </c>
      <c r="D4" s="8" t="inlineStr">
        <is>
          <t>4 cylindres en ligne Renault</t>
        </is>
      </c>
      <c r="E4" s="8" t="inlineStr">
        <is>
          <t>https://tanks-encyclopedia.com/ww2/france/renault-d1/</t>
        </is>
      </c>
      <c r="F4" s="8" t="inlineStr">
        <is>
          <t>À vérifier</t>
        </is>
      </c>
      <c r="G4" s="8" t="inlineStr">
        <is>
          <t>Char d'infanterie ancien ; famille moteur française à confirmer par source technique.</t>
        </is>
      </c>
      <c r="H4" s="8" t="inlineStr">
        <is>
          <t>Série</t>
        </is>
      </c>
      <c r="I4" s="8" t="inlineStr">
        <is>
          <t>Canon court de 37 mm (famille SA 18/SA 38 selon modèle) et/ou mitrailleuse 7,5 mm selon version</t>
        </is>
      </c>
      <c r="J4" s="8" t="inlineStr">
        <is>
          <t>Canon et mitrailleuses séparables; confirmer la variante exacte</t>
        </is>
      </c>
      <c r="K4" s="8" t="inlineStr">
        <is>
          <t>Partiel</t>
        </is>
      </c>
      <c r="L4" s="8" t="inlineStr">
        <is>
          <t>Non — contenu ultérieur</t>
        </is>
      </c>
      <c r="M4" s="8" t="inlineStr">
        <is>
          <t>À intégrer après validation du prototype</t>
        </is>
      </c>
    </row>
    <row r="5" ht="42" customHeight="1">
      <c r="A5" s="8" t="inlineStr">
        <is>
          <t>Renault D2</t>
        </is>
      </c>
      <c r="B5" s="8" t="inlineStr">
        <is>
          <t>France</t>
        </is>
      </c>
      <c r="C5" s="8" t="inlineStr">
        <is>
          <t>Chars moyens</t>
        </is>
      </c>
      <c r="D5" s="8" t="inlineStr">
        <is>
          <t>4 cylindres en ligne Renault</t>
        </is>
      </c>
      <c r="E5" s="8" t="inlineStr">
        <is>
          <t>https://tanks-encyclopedia.com/ww2/france/renault-d2/</t>
        </is>
      </c>
      <c r="F5" s="8" t="inlineStr">
        <is>
          <t>À vérifier</t>
        </is>
      </c>
      <c r="G5" s="8" t="inlineStr">
        <is>
          <t>À distinguer du D1 dans le catalogue de châssis.</t>
        </is>
      </c>
      <c r="H5" s="8" t="inlineStr">
        <is>
          <t>Série</t>
        </is>
      </c>
      <c r="I5" s="8" t="inlineStr">
        <is>
          <t>Canon court de 37 mm (famille SA 18/SA 38 selon modèle) et/ou mitrailleuse 7,5 mm selon version</t>
        </is>
      </c>
      <c r="J5" s="8" t="inlineStr">
        <is>
          <t>Canon et mitrailleuses séparables; confirmer la variante exacte</t>
        </is>
      </c>
      <c r="K5" s="8" t="inlineStr">
        <is>
          <t>Partiel</t>
        </is>
      </c>
      <c r="L5" s="8" t="inlineStr">
        <is>
          <t>Non — contenu ultérieur</t>
        </is>
      </c>
      <c r="M5" s="8" t="inlineStr">
        <is>
          <t>À intégrer après validation du prototype</t>
        </is>
      </c>
    </row>
    <row r="6" ht="42" customHeight="1">
      <c r="A6" s="8" t="inlineStr">
        <is>
          <t>Char 2C</t>
        </is>
      </c>
      <c r="B6" s="8" t="inlineStr">
        <is>
          <t>France</t>
        </is>
      </c>
      <c r="C6" s="8" t="inlineStr">
        <is>
          <t>Chars lourds et prototypes</t>
        </is>
      </c>
      <c r="D6" s="8" t="inlineStr">
        <is>
          <t>2 moteurs 6 cylindres en ligne (familles d'époque, détails à confirmer)</t>
        </is>
      </c>
      <c r="E6" s="8" t="inlineStr">
        <is>
          <t>https://tanks-encyclopedia.com/ww2/france/char-2c/</t>
        </is>
      </c>
      <c r="F6" s="8" t="inlineStr">
        <is>
          <t>Partiel</t>
        </is>
      </c>
      <c r="G6" s="8" t="inlineStr">
        <is>
          <t>Très grand char multimoteur ; excellent exemple pour le système multimoteur.</t>
        </is>
      </c>
      <c r="H6" s="8" t="inlineStr">
        <is>
          <t>Série</t>
        </is>
      </c>
      <c r="I6" s="8" t="inlineStr">
        <is>
          <t>Canon de 75 mm; plusieurs mitrailleuses de 8 mm</t>
        </is>
      </c>
      <c r="J6" s="8" t="inlineStr">
        <is>
          <t>Canon principal, mitrailleuses et affûts; récupération lourde</t>
        </is>
      </c>
      <c r="K6" s="8" t="inlineStr">
        <is>
          <t>Partiel</t>
        </is>
      </c>
      <c r="L6" s="8" t="inlineStr">
        <is>
          <t>Non — contenu ultérieur</t>
        </is>
      </c>
      <c r="M6" s="8" t="inlineStr">
        <is>
          <t>À intégrer après validation du prototype</t>
        </is>
      </c>
    </row>
    <row r="7" ht="42" customHeight="1">
      <c r="A7" s="8" t="inlineStr">
        <is>
          <t>AMR 33</t>
        </is>
      </c>
      <c r="B7" s="8" t="inlineStr">
        <is>
          <t>France</t>
        </is>
      </c>
      <c r="C7" s="8" t="inlineStr">
        <is>
          <t>Reconnaissance et chars légers</t>
        </is>
      </c>
      <c r="D7" s="8" t="inlineStr">
        <is>
          <t>4 cylindres en ligne Renault</t>
        </is>
      </c>
      <c r="E7" s="8" t="inlineStr">
        <is>
          <t>https://museedesblindes.fr/1945-1962-fin-de-l-empire/</t>
        </is>
      </c>
      <c r="F7" s="8" t="inlineStr">
        <is>
          <t>À vérifier</t>
        </is>
      </c>
      <c r="G7" s="8" t="inlineStr">
        <is>
          <t>Petit véhicule de reconnaissance, mobilité légère.</t>
        </is>
      </c>
      <c r="H7" s="8" t="inlineStr">
        <is>
          <t>Série</t>
        </is>
      </c>
      <c r="I7" s="8" t="inlineStr">
        <is>
          <t>Mitrailleuse 7,5 mm (certaines variantes/essais diffèrent)</t>
        </is>
      </c>
      <c r="J7" s="8" t="inlineStr">
        <is>
          <t>Mitrailleuse et affût si présents</t>
        </is>
      </c>
      <c r="K7" s="8" t="inlineStr">
        <is>
          <t>Partiel</t>
        </is>
      </c>
      <c r="L7" s="8" t="inlineStr">
        <is>
          <t>Non — contenu ultérieur</t>
        </is>
      </c>
      <c r="M7" s="8" t="inlineStr">
        <is>
          <t>À intégrer après validation du prototype</t>
        </is>
      </c>
    </row>
    <row r="8" ht="42" customHeight="1">
      <c r="A8" s="8" t="inlineStr">
        <is>
          <t>AMR 35</t>
        </is>
      </c>
      <c r="B8" s="8" t="inlineStr">
        <is>
          <t>France</t>
        </is>
      </c>
      <c r="C8" s="8" t="inlineStr">
        <is>
          <t>Reconnaissance et chars légers</t>
        </is>
      </c>
      <c r="D8" s="8" t="inlineStr">
        <is>
          <t>4 cylindres en ligne Renault (selon version)</t>
        </is>
      </c>
      <c r="E8" s="8" t="inlineStr">
        <is>
          <t>https://museedesblindes.fr/1945-1962-fin-de-l-empire/</t>
        </is>
      </c>
      <c r="F8" s="8" t="inlineStr">
        <is>
          <t>À vérifier</t>
        </is>
      </c>
      <c r="G8" s="8" t="inlineStr">
        <is>
          <t>Plusieurs variantes ; moteur à vérifier selon sous-type.</t>
        </is>
      </c>
      <c r="H8" s="8" t="inlineStr">
        <is>
          <t>Série</t>
        </is>
      </c>
      <c r="I8" s="8" t="inlineStr">
        <is>
          <t>Mitrailleuse 7,5 mm (certaines variantes/essais diffèrent)</t>
        </is>
      </c>
      <c r="J8" s="8" t="inlineStr">
        <is>
          <t>Mitrailleuse et affût si présents</t>
        </is>
      </c>
      <c r="K8" s="8" t="inlineStr">
        <is>
          <t>Partiel</t>
        </is>
      </c>
      <c r="L8" s="8" t="inlineStr">
        <is>
          <t>Non — contenu ultérieur</t>
        </is>
      </c>
      <c r="M8" s="8" t="inlineStr">
        <is>
          <t>À intégrer après validation du prototype</t>
        </is>
      </c>
    </row>
    <row r="9" ht="42" customHeight="1">
      <c r="A9" s="8" t="inlineStr">
        <is>
          <t>AMC 34 / Renault YR</t>
        </is>
      </c>
      <c r="B9" s="8" t="inlineStr">
        <is>
          <t>France</t>
        </is>
      </c>
      <c r="C9" s="8" t="inlineStr">
        <is>
          <t>Chars de cavalerie et prototypes</t>
        </is>
      </c>
      <c r="D9" s="8" t="inlineStr">
        <is>
          <t>4 cylindres en ligne Renault (à confirmer)</t>
        </is>
      </c>
      <c r="E9" s="8" t="inlineStr">
        <is>
          <t>https://tanks-encyclopedia.com/ww2/france/renault-amc-34/</t>
        </is>
      </c>
      <c r="F9" s="8" t="inlineStr">
        <is>
          <t>À vérifier</t>
        </is>
      </c>
      <c r="G9" s="8" t="inlineStr">
        <is>
          <t>Modèle rare ; inclure comme véhicule de récupération rare.</t>
        </is>
      </c>
      <c r="H9" s="8" t="inlineStr">
        <is>
          <t>Série</t>
        </is>
      </c>
      <c r="I9" s="8" t="inlineStr">
        <is>
          <t>Canon de 25 mm ou 47 mm selon version; mitrailleuse 7,5 mm</t>
        </is>
      </c>
      <c r="J9" s="8" t="inlineStr">
        <is>
          <t>Canon, mitrailleuse, affûts; calibre à confirmer par variante</t>
        </is>
      </c>
      <c r="K9" s="8" t="inlineStr">
        <is>
          <t>Partiel</t>
        </is>
      </c>
      <c r="L9" s="8" t="inlineStr">
        <is>
          <t>Non — contenu ultérieur</t>
        </is>
      </c>
      <c r="M9" s="8" t="inlineStr">
        <is>
          <t>À intégrer après validation du prototype</t>
        </is>
      </c>
    </row>
    <row r="10" ht="42" customHeight="1">
      <c r="A10" s="8" t="inlineStr">
        <is>
          <t>AMC 35 / ACG-1</t>
        </is>
      </c>
      <c r="B10" s="8" t="inlineStr">
        <is>
          <t>France</t>
        </is>
      </c>
      <c r="C10" s="8" t="inlineStr">
        <is>
          <t>Chars de cavalerie et prototypes</t>
        </is>
      </c>
      <c r="D10" s="8" t="inlineStr">
        <is>
          <t>4 cylindres en ligne Renault (à confirmer)</t>
        </is>
      </c>
      <c r="E10" s="8" t="inlineStr">
        <is>
          <t>https://museedesblindes.fr/le-musee/nos-vehicules/</t>
        </is>
      </c>
      <c r="F10" s="8" t="inlineStr">
        <is>
          <t>À vérifier</t>
        </is>
      </c>
      <c r="G10" s="8" t="inlineStr">
        <is>
          <t>Char de cavalerie avec variantes nationales.</t>
        </is>
      </c>
      <c r="H10" s="8" t="inlineStr">
        <is>
          <t>Série</t>
        </is>
      </c>
      <c r="I10" s="8" t="inlineStr">
        <is>
          <t>Canon de 25 mm ou 47 mm selon version; mitrailleuse 7,5 mm</t>
        </is>
      </c>
      <c r="J10" s="8" t="inlineStr">
        <is>
          <t>Canon, mitrailleuse, affûts; calibre à confirmer par variante</t>
        </is>
      </c>
      <c r="K10" s="8" t="inlineStr">
        <is>
          <t>Partiel</t>
        </is>
      </c>
      <c r="L10" s="8" t="inlineStr">
        <is>
          <t>Non — contenu ultérieur</t>
        </is>
      </c>
      <c r="M10" s="8" t="inlineStr">
        <is>
          <t>À intégrer après validation du prototype</t>
        </is>
      </c>
    </row>
    <row r="11" ht="42" customHeight="1">
      <c r="A11" s="8" t="inlineStr">
        <is>
          <t>FCM 36</t>
        </is>
      </c>
      <c r="B11" s="8" t="inlineStr">
        <is>
          <t>France</t>
        </is>
      </c>
      <c r="C11" s="8" t="inlineStr">
        <is>
          <t>Chars légers et chars anciens</t>
        </is>
      </c>
      <c r="D11" s="8" t="inlineStr">
        <is>
          <t>4 cylindres diesel Berliet</t>
        </is>
      </c>
      <c r="E11" s="8" t="inlineStr">
        <is>
          <t>https://museedesblindes.fr/1945-1962-fin-de-l-empire/</t>
        </is>
      </c>
      <c r="F11" s="8" t="inlineStr">
        <is>
          <t>À vérifier</t>
        </is>
      </c>
      <c r="G11" s="8" t="inlineStr">
        <is>
          <t>Intéressant pour différencier diesel et essence dans les chars français.</t>
        </is>
      </c>
      <c r="H11" s="8" t="inlineStr">
        <is>
          <t>Série</t>
        </is>
      </c>
      <c r="I11" s="8" t="inlineStr">
        <is>
          <t>Canon de 37 mm SA 18; mitrailleuse 7,5 mm</t>
        </is>
      </c>
      <c r="J11" s="8" t="inlineStr">
        <is>
          <t>Canon court et mitrailleuse récupérables séparément</t>
        </is>
      </c>
      <c r="K11" s="8" t="inlineStr">
        <is>
          <t>Partiel</t>
        </is>
      </c>
      <c r="L11" s="8" t="inlineStr">
        <is>
          <t>Non — contenu ultérieur</t>
        </is>
      </c>
      <c r="M11" s="8" t="inlineStr">
        <is>
          <t>À intégrer après validation du prototype</t>
        </is>
      </c>
    </row>
    <row r="12" ht="42" customHeight="1">
      <c r="A12" s="8" t="inlineStr">
        <is>
          <t>Renault R40</t>
        </is>
      </c>
      <c r="B12" s="8" t="inlineStr">
        <is>
          <t>France</t>
        </is>
      </c>
      <c r="C12" s="8" t="inlineStr">
        <is>
          <t>Chars légers et chars anciens</t>
        </is>
      </c>
      <c r="D12" s="8" t="inlineStr">
        <is>
          <t>4 cylindres en ligne Renault</t>
        </is>
      </c>
      <c r="E12" s="8" t="inlineStr">
        <is>
          <t>https://museedesblindes.fr/les_chars/char-ft/</t>
        </is>
      </c>
      <c r="F12" s="8" t="inlineStr">
        <is>
          <t>À vérifier</t>
        </is>
      </c>
      <c r="G12" s="8" t="inlineStr">
        <is>
          <t>Évolution du R35 avec suspension différente.</t>
        </is>
      </c>
      <c r="H12" s="8" t="inlineStr">
        <is>
          <t>Série</t>
        </is>
      </c>
      <c r="I12" s="8" t="inlineStr">
        <is>
          <t>Canon court de 37 mm (famille SA 18/SA 38 selon modèle) et/ou mitrailleuse 7,5 mm selon version</t>
        </is>
      </c>
      <c r="J12" s="8" t="inlineStr">
        <is>
          <t>Canon et mitrailleuses séparables; confirmer la variante exacte</t>
        </is>
      </c>
      <c r="K12" s="8" t="inlineStr">
        <is>
          <t>Partiel</t>
        </is>
      </c>
      <c r="L12" s="8" t="inlineStr">
        <is>
          <t>Non — contenu ultérieur</t>
        </is>
      </c>
      <c r="M12" s="8" t="inlineStr">
        <is>
          <t>À intégrer après validation du prototype</t>
        </is>
      </c>
    </row>
    <row r="13" ht="42" customHeight="1">
      <c r="A13" s="8" t="inlineStr">
        <is>
          <t>Laffly W15 TCC</t>
        </is>
      </c>
      <c r="B13" s="8" t="inlineStr">
        <is>
          <t>France</t>
        </is>
      </c>
      <c r="C13" s="8" t="inlineStr">
        <is>
          <t>Chasseurs de chars et canons automoteurs</t>
        </is>
      </c>
      <c r="D13" s="8" t="inlineStr">
        <is>
          <t>4 cylindres essence (famille à confirmer)</t>
        </is>
      </c>
      <c r="E13" s="8" t="inlineStr">
        <is>
          <t>https://tanks-encyclopedia.com/ww2/france/laffly-w15-tcc/</t>
        </is>
      </c>
      <c r="F13" s="8" t="inlineStr">
        <is>
          <t>À vérifier</t>
        </is>
      </c>
      <c r="G13" s="8" t="inlineStr">
        <is>
          <t>Chasseur de chars improvisé sur châssis à roues.</t>
        </is>
      </c>
      <c r="H13" s="8" t="inlineStr">
        <is>
          <t>Série</t>
        </is>
      </c>
      <c r="I13" s="8" t="inlineStr">
        <is>
          <t>Armement historique à déterminer précisément pour ce modèle/sa variante</t>
        </is>
      </c>
      <c r="J13" s="8" t="inlineStr">
        <is>
          <t>Ne récupérer une arme que si elle est présente, identifiable et démontable; vérifier le calibre</t>
        </is>
      </c>
      <c r="K13" s="8" t="inlineStr">
        <is>
          <t>À vérifier</t>
        </is>
      </c>
      <c r="L13" s="8" t="inlineStr">
        <is>
          <t>Non — contenu ultérieur</t>
        </is>
      </c>
      <c r="M13" s="8" t="inlineStr">
        <is>
          <t>À intégrer après validation du prototype</t>
        </is>
      </c>
    </row>
    <row r="14" ht="42" customHeight="1">
      <c r="A14" s="8" t="inlineStr">
        <is>
          <t>ARL V39</t>
        </is>
      </c>
      <c r="B14" s="8" t="inlineStr">
        <is>
          <t>France</t>
        </is>
      </c>
      <c r="C14" s="8" t="inlineStr">
        <is>
          <t>Chasseurs de chars et canons automoteurs</t>
        </is>
      </c>
      <c r="D14" s="8" t="inlineStr">
        <is>
          <t>6 cylindres essence (à confirmer)</t>
        </is>
      </c>
      <c r="E14" s="8" t="inlineStr">
        <is>
          <t>https://tanks-encyclopedia.com/ww2/france/arl-v39/</t>
        </is>
      </c>
      <c r="F14" s="8" t="inlineStr">
        <is>
          <t>À vérifier</t>
        </is>
      </c>
      <c r="G14" s="8" t="inlineStr">
        <is>
          <t>Prototype/production très limitée ; bon candidat rare.</t>
        </is>
      </c>
      <c r="H14" s="8" t="inlineStr">
        <is>
          <t>Série</t>
        </is>
      </c>
      <c r="I14" s="8" t="inlineStr">
        <is>
          <t>Canon antichar de 47 mm SA 35</t>
        </is>
      </c>
      <c r="J14" s="8" t="inlineStr">
        <is>
          <t>Canon et affût si non détruits</t>
        </is>
      </c>
      <c r="K14" s="8" t="inlineStr">
        <is>
          <t>Partiel</t>
        </is>
      </c>
      <c r="L14" s="8" t="inlineStr">
        <is>
          <t>Non — contenu ultérieur</t>
        </is>
      </c>
      <c r="M14" s="8" t="inlineStr">
        <is>
          <t>À intégrer après validation du prototype</t>
        </is>
      </c>
    </row>
    <row r="15" ht="42" customHeight="1">
      <c r="A15" s="8" t="inlineStr">
        <is>
          <t>FCM F1</t>
        </is>
      </c>
      <c r="B15" s="8" t="inlineStr">
        <is>
          <t>France</t>
        </is>
      </c>
      <c r="C15" s="8" t="inlineStr">
        <is>
          <t>Chars lourds et prototypes</t>
        </is>
      </c>
      <c r="D15" s="8" t="inlineStr">
        <is>
          <t>2 moteurs prévus, familles exactes à confirmer</t>
        </is>
      </c>
      <c r="E15" s="8" t="inlineStr">
        <is>
          <t>https://tanks-encyclopedia.com/ww2/france/fcm-f1/</t>
        </is>
      </c>
      <c r="F15" s="8" t="inlineStr">
        <is>
          <t>Prototype / moteur à vérifier</t>
        </is>
      </c>
      <c r="G15" s="8" t="inlineStr">
        <is>
          <t>Projet de char super-lourd jamais produit en série.</t>
        </is>
      </c>
      <c r="H15" s="8" t="inlineStr">
        <is>
          <t>Prototype/projet — distinguer du matériel de série</t>
        </is>
      </c>
      <c r="I15" s="8" t="inlineStr">
        <is>
          <t>Armement prévu sur projet; configuration non stabilisée</t>
        </is>
      </c>
      <c r="J15" s="8" t="inlineStr">
        <is>
          <t>Prototype/projet : ne pas traiter comme équipement standard</t>
        </is>
      </c>
      <c r="K15" s="8" t="inlineStr">
        <is>
          <t>Projet</t>
        </is>
      </c>
      <c r="L15" s="8" t="inlineStr">
        <is>
          <t>Non — contenu ultérieur</t>
        </is>
      </c>
      <c r="M15" s="8" t="inlineStr">
        <is>
          <t>À intégrer après validation du prototype</t>
        </is>
      </c>
    </row>
    <row r="16" ht="42" customHeight="1">
      <c r="A16" s="8" t="inlineStr">
        <is>
          <t>Panzer I Ausf. A</t>
        </is>
      </c>
      <c r="B16" s="8" t="inlineStr">
        <is>
          <t>Allemagne</t>
        </is>
      </c>
      <c r="C16" s="8" t="inlineStr">
        <is>
          <t>Chars légers et chars anciens</t>
        </is>
      </c>
      <c r="D16" s="8" t="inlineStr">
        <is>
          <t>4 cylindres essence Krupp M305</t>
        </is>
      </c>
      <c r="E16" s="8" t="inlineStr">
        <is>
          <t>https://tanks-encyclopedia.com/ww2/germany/panzer-i/</t>
        </is>
      </c>
      <c r="F16" s="8" t="inlineStr">
        <is>
          <t>Documenté</t>
        </is>
      </c>
      <c r="G16" s="8" t="inlineStr">
        <is>
          <t>Petit moteur essence ; faible charge utile.</t>
        </is>
      </c>
      <c r="H16" s="8" t="inlineStr">
        <is>
          <t>Série</t>
        </is>
      </c>
      <c r="I16" s="8" t="inlineStr">
        <is>
          <t>2 mitrailleuses MG 13 de 7,92 mm</t>
        </is>
      </c>
      <c r="J16" s="8" t="inlineStr">
        <is>
          <t>1–2 mitrailleuses selon état; tourelle/affûts distincts</t>
        </is>
      </c>
      <c r="K16" s="8" t="inlineStr">
        <is>
          <t>Élevé</t>
        </is>
      </c>
      <c r="L16" s="8" t="inlineStr">
        <is>
          <t>Non — contenu ultérieur</t>
        </is>
      </c>
      <c r="M16" s="8" t="inlineStr">
        <is>
          <t>À intégrer après validation du prototype</t>
        </is>
      </c>
    </row>
    <row r="17" ht="42" customHeight="1">
      <c r="A17" s="8" t="inlineStr">
        <is>
          <t>Panzer I Ausf. B</t>
        </is>
      </c>
      <c r="B17" s="8" t="inlineStr">
        <is>
          <t>Allemagne</t>
        </is>
      </c>
      <c r="C17" s="8" t="inlineStr">
        <is>
          <t>Chars légers et chars anciens</t>
        </is>
      </c>
      <c r="D17" s="8" t="inlineStr">
        <is>
          <t>6 cylindres essence Maybach NL38TR</t>
        </is>
      </c>
      <c r="E17" s="8" t="inlineStr">
        <is>
          <t>https://tanks-encyclopedia.com/ww2/germany/panzer-i/</t>
        </is>
      </c>
      <c r="F17" s="8" t="inlineStr">
        <is>
          <t>Documenté</t>
        </is>
      </c>
      <c r="G17" s="8" t="inlineStr">
        <is>
          <t>Moteur plus long que celui de l'Ausf. A ; famille distincte.</t>
        </is>
      </c>
      <c r="H17" s="8" t="inlineStr">
        <is>
          <t>Série</t>
        </is>
      </c>
      <c r="I17" s="8" t="inlineStr">
        <is>
          <t>2 mitrailleuses MG 13 de 7,92 mm</t>
        </is>
      </c>
      <c r="J17" s="8" t="inlineStr">
        <is>
          <t>1–2 mitrailleuses selon état; tourelle/affûts distincts</t>
        </is>
      </c>
      <c r="K17" s="8" t="inlineStr">
        <is>
          <t>Élevé</t>
        </is>
      </c>
      <c r="L17" s="8" t="inlineStr">
        <is>
          <t>Non — contenu ultérieur</t>
        </is>
      </c>
      <c r="M17" s="8" t="inlineStr">
        <is>
          <t>À intégrer après validation du prototype</t>
        </is>
      </c>
    </row>
    <row r="18" ht="42" customHeight="1">
      <c r="A18" s="8" t="inlineStr">
        <is>
          <t>Panzer II Ausf. A–C</t>
        </is>
      </c>
      <c r="B18" s="8" t="inlineStr">
        <is>
          <t>Allemagne</t>
        </is>
      </c>
      <c r="C18" s="8" t="inlineStr">
        <is>
          <t>Chars légers et chars anciens</t>
        </is>
      </c>
      <c r="D18" s="8" t="inlineStr">
        <is>
          <t>6 cylindres essence Maybach HL57 TR</t>
        </is>
      </c>
      <c r="E18" s="8" t="inlineStr">
        <is>
          <t>https://tanks-encyclopedia.com/ww2/germany/panzer-ii/</t>
        </is>
      </c>
      <c r="F18" s="8" t="inlineStr">
        <is>
          <t>Documenté</t>
        </is>
      </c>
      <c r="G18" s="8" t="inlineStr">
        <is>
          <t>Famille moteur allemande à refroidissement liquide.</t>
        </is>
      </c>
      <c r="H18" s="8" t="inlineStr">
        <is>
          <t>Série</t>
        </is>
      </c>
      <c r="I18" s="8" t="inlineStr">
        <is>
          <t>2 mitrailleuses MG 13 de 7,92 mm</t>
        </is>
      </c>
      <c r="J18" s="8" t="inlineStr">
        <is>
          <t>1–2 mitrailleuses selon état; tourelle/affûts distincts</t>
        </is>
      </c>
      <c r="K18" s="8" t="inlineStr">
        <is>
          <t>Élevé</t>
        </is>
      </c>
      <c r="L18" s="8" t="inlineStr">
        <is>
          <t>Non — contenu ultérieur</t>
        </is>
      </c>
      <c r="M18" s="8" t="inlineStr">
        <is>
          <t>À intégrer après validation du prototype</t>
        </is>
      </c>
    </row>
    <row r="19" ht="42" customHeight="1">
      <c r="A19" s="8" t="inlineStr">
        <is>
          <t>Panzer II Ausf. F</t>
        </is>
      </c>
      <c r="B19" s="8" t="inlineStr">
        <is>
          <t>Allemagne</t>
        </is>
      </c>
      <c r="C19" s="8" t="inlineStr">
        <is>
          <t>Chars légers et chars anciens</t>
        </is>
      </c>
      <c r="D19" s="8" t="inlineStr">
        <is>
          <t>6 cylindres essence Maybach HL62 TRM</t>
        </is>
      </c>
      <c r="E19" s="8" t="inlineStr">
        <is>
          <t>https://tanks-encyclopedia.com/ww2/germany/panzer-ii/</t>
        </is>
      </c>
      <c r="F19" s="8" t="inlineStr">
        <is>
          <t>Documenté</t>
        </is>
      </c>
      <c r="G19" s="8" t="inlineStr">
        <is>
          <t>Variante tardive avec moteur différent des premiers Panzer II.</t>
        </is>
      </c>
      <c r="H19" s="8" t="inlineStr">
        <is>
          <t>Série</t>
        </is>
      </c>
      <c r="I19" s="8" t="inlineStr">
        <is>
          <t>2 mitrailleuses MG 13 de 7,92 mm</t>
        </is>
      </c>
      <c r="J19" s="8" t="inlineStr">
        <is>
          <t>1–2 mitrailleuses selon état; tourelle/affûts distincts</t>
        </is>
      </c>
      <c r="K19" s="8" t="inlineStr">
        <is>
          <t>Élevé</t>
        </is>
      </c>
      <c r="L19" s="8" t="inlineStr">
        <is>
          <t>Non — contenu ultérieur</t>
        </is>
      </c>
      <c r="M19" s="8" t="inlineStr">
        <is>
          <t>À intégrer après validation du prototype</t>
        </is>
      </c>
    </row>
    <row r="20" ht="42" customHeight="1">
      <c r="A20" s="8" t="inlineStr">
        <is>
          <t>Panzer II L Luchs</t>
        </is>
      </c>
      <c r="B20" s="8" t="inlineStr">
        <is>
          <t>Allemagne</t>
        </is>
      </c>
      <c r="C20" s="8" t="inlineStr">
        <is>
          <t>Reconnaissance et chars légers</t>
        </is>
      </c>
      <c r="D20" s="8" t="inlineStr">
        <is>
          <t>6 cylindres essence Maybach HL66P</t>
        </is>
      </c>
      <c r="E20" s="8" t="inlineStr">
        <is>
          <t>https://tanks-encyclopedia.com/ww2/germany/panzer-ii-luchs/</t>
        </is>
      </c>
      <c r="F20" s="8" t="inlineStr">
        <is>
          <t>Documenté</t>
        </is>
      </c>
      <c r="G20" s="8" t="inlineStr">
        <is>
          <t>Char de reconnaissance rapide.</t>
        </is>
      </c>
      <c r="H20" s="8" t="inlineStr">
        <is>
          <t>Série</t>
        </is>
      </c>
      <c r="I20" s="8" t="inlineStr">
        <is>
          <t>2 mitrailleuses MG 13 de 7,92 mm</t>
        </is>
      </c>
      <c r="J20" s="8" t="inlineStr">
        <is>
          <t>1–2 mitrailleuses selon état; tourelle/affûts distincts</t>
        </is>
      </c>
      <c r="K20" s="8" t="inlineStr">
        <is>
          <t>Élevé</t>
        </is>
      </c>
      <c r="L20" s="8" t="inlineStr">
        <is>
          <t>Non — contenu ultérieur</t>
        </is>
      </c>
      <c r="M20" s="8" t="inlineStr">
        <is>
          <t>À intégrer après validation du prototype</t>
        </is>
      </c>
    </row>
    <row r="21" ht="42" customHeight="1">
      <c r="A21" s="8" t="inlineStr">
        <is>
          <t>Neubaufahrzeug</t>
        </is>
      </c>
      <c r="B21" s="8" t="inlineStr">
        <is>
          <t>Allemagne</t>
        </is>
      </c>
      <c r="C21" s="8" t="inlineStr">
        <is>
          <t>Chars lourds et prototypes</t>
        </is>
      </c>
      <c r="D21" s="8" t="inlineStr">
        <is>
          <t>2 moteurs 6 cylindres Maybach (configuration exacte à vérifier)</t>
        </is>
      </c>
      <c r="E21" s="8" t="inlineStr">
        <is>
          <t>https://tanks-encyclopedia.com/ww2/germany/neubaufahrzeug/</t>
        </is>
      </c>
      <c r="F21" s="8" t="inlineStr">
        <is>
          <t>Partiel</t>
        </is>
      </c>
      <c r="G21" s="8" t="inlineStr">
        <is>
          <t>Prototype lourd multimoteur ; prototype rare.</t>
        </is>
      </c>
      <c r="H21" s="8" t="inlineStr">
        <is>
          <t>Série</t>
        </is>
      </c>
      <c r="I21" s="8" t="inlineStr">
        <is>
          <t>Armement historique à déterminer précisément pour ce modèle/sa variante</t>
        </is>
      </c>
      <c r="J21" s="8" t="inlineStr">
        <is>
          <t>Ne récupérer une arme que si elle est présente, identifiable et démontable; vérifier le calibre</t>
        </is>
      </c>
      <c r="K21" s="8" t="inlineStr">
        <is>
          <t>À vérifier</t>
        </is>
      </c>
      <c r="L21" s="8" t="inlineStr">
        <is>
          <t>Non — contenu ultérieur</t>
        </is>
      </c>
      <c r="M21" s="8" t="inlineStr">
        <is>
          <t>À intégrer après validation du prototype</t>
        </is>
      </c>
    </row>
    <row r="22" ht="42" customHeight="1">
      <c r="A22" s="8" t="inlineStr">
        <is>
          <t>Panzer III Ausf. E–G</t>
        </is>
      </c>
      <c r="B22" s="8" t="inlineStr">
        <is>
          <t>Allemagne</t>
        </is>
      </c>
      <c r="C22" s="8" t="inlineStr">
        <is>
          <t>Chars moyens</t>
        </is>
      </c>
      <c r="D22" s="8" t="inlineStr">
        <is>
          <t>12 cylindres en V essence Maybach HL120 (selon variantes tardives; early versions à vérifier)</t>
        </is>
      </c>
      <c r="E22" s="8" t="inlineStr">
        <is>
          <t>https://tanks-encyclopedia.com/ww2/germany/panzer-iii/</t>
        </is>
      </c>
      <c r="F22" s="8" t="inlineStr">
        <is>
          <t>Partiel</t>
        </is>
      </c>
      <c r="G22" s="8" t="inlineStr">
        <is>
          <t>Séparer les premières motorisations des versions les plus répandues.</t>
        </is>
      </c>
      <c r="H22" s="8" t="inlineStr">
        <is>
          <t>Série</t>
        </is>
      </c>
      <c r="I22" s="8" t="inlineStr">
        <is>
          <t>2 mitrailleuses MG 13 de 7,92 mm</t>
        </is>
      </c>
      <c r="J22" s="8" t="inlineStr">
        <is>
          <t>1–2 mitrailleuses selon état; tourelle/affûts distincts</t>
        </is>
      </c>
      <c r="K22" s="8" t="inlineStr">
        <is>
          <t>Élevé</t>
        </is>
      </c>
      <c r="L22" s="8" t="inlineStr">
        <is>
          <t>Non — contenu ultérieur</t>
        </is>
      </c>
      <c r="M22" s="8" t="inlineStr">
        <is>
          <t>À intégrer après validation du prototype</t>
        </is>
      </c>
    </row>
    <row r="23" ht="42" customHeight="1">
      <c r="A23" s="8" t="inlineStr">
        <is>
          <t>Panzer III Ausf. J–N</t>
        </is>
      </c>
      <c r="B23" s="8" t="inlineStr">
        <is>
          <t>Allemagne</t>
        </is>
      </c>
      <c r="C23" s="8" t="inlineStr">
        <is>
          <t>Chars moyens</t>
        </is>
      </c>
      <c r="D23" s="8" t="inlineStr">
        <is>
          <t>V12 essence Maybach HL120 TRM</t>
        </is>
      </c>
      <c r="E23" s="8" t="inlineStr">
        <is>
          <t>https://tanks-encyclopedia.com/ww2/germany/panzer-iii/</t>
        </is>
      </c>
      <c r="F23" s="8" t="inlineStr">
        <is>
          <t>Documenté</t>
        </is>
      </c>
      <c r="G23" s="8" t="inlineStr">
        <is>
          <t>Famille V12 allemande, potentiellement réutilisable en gameplay avec adaptations lourdes.</t>
        </is>
      </c>
      <c r="H23" s="8" t="inlineStr">
        <is>
          <t>Série</t>
        </is>
      </c>
      <c r="I23" s="8" t="inlineStr">
        <is>
          <t>2 mitrailleuses MG 13 de 7,92 mm</t>
        </is>
      </c>
      <c r="J23" s="8" t="inlineStr">
        <is>
          <t>1–2 mitrailleuses selon état; tourelle/affûts distincts</t>
        </is>
      </c>
      <c r="K23" s="8" t="inlineStr">
        <is>
          <t>Élevé</t>
        </is>
      </c>
      <c r="L23" s="8" t="inlineStr">
        <is>
          <t>Non — contenu ultérieur</t>
        </is>
      </c>
      <c r="M23" s="8" t="inlineStr">
        <is>
          <t>À intégrer après validation du prototype</t>
        </is>
      </c>
    </row>
    <row r="24" ht="42" customHeight="1">
      <c r="A24" s="8" t="inlineStr">
        <is>
          <t>Panzer IV Ausf. A–F1</t>
        </is>
      </c>
      <c r="B24" s="8" t="inlineStr">
        <is>
          <t>Allemagne</t>
        </is>
      </c>
      <c r="C24" s="8" t="inlineStr">
        <is>
          <t>Chars moyens</t>
        </is>
      </c>
      <c r="D24" s="8" t="inlineStr">
        <is>
          <t>V12 essence Maybach HL108 TR</t>
        </is>
      </c>
      <c r="E24" s="8" t="inlineStr">
        <is>
          <t>https://tanks-encyclopedia.com/ww2/germany/panzer-iv/</t>
        </is>
      </c>
      <c r="F24" s="8" t="inlineStr">
        <is>
          <t>À vérifier</t>
        </is>
      </c>
      <c r="G24" s="8" t="inlineStr">
        <is>
          <t>Moteurs des premières séries à distinguer des versions tardives.</t>
        </is>
      </c>
      <c r="H24" s="8" t="inlineStr">
        <is>
          <t>Série</t>
        </is>
      </c>
      <c r="I24" s="8" t="inlineStr">
        <is>
          <t>2 mitrailleuses MG 13 de 7,92 mm</t>
        </is>
      </c>
      <c r="J24" s="8" t="inlineStr">
        <is>
          <t>1–2 mitrailleuses selon état; tourelle/affûts distincts</t>
        </is>
      </c>
      <c r="K24" s="8" t="inlineStr">
        <is>
          <t>Élevé</t>
        </is>
      </c>
      <c r="L24" s="8" t="inlineStr">
        <is>
          <t>Non — contenu ultérieur</t>
        </is>
      </c>
      <c r="M24" s="8" t="inlineStr">
        <is>
          <t>À intégrer après validation du prototype</t>
        </is>
      </c>
    </row>
    <row r="25" ht="42" customHeight="1">
      <c r="A25" s="8" t="inlineStr">
        <is>
          <t>Panzer IV Ausf. F2–J</t>
        </is>
      </c>
      <c r="B25" s="8" t="inlineStr">
        <is>
          <t>Allemagne</t>
        </is>
      </c>
      <c r="C25" s="8" t="inlineStr">
        <is>
          <t>Chars moyens</t>
        </is>
      </c>
      <c r="D25" s="8" t="inlineStr">
        <is>
          <t>V12 essence Maybach HL120 TRM</t>
        </is>
      </c>
      <c r="E25" s="8" t="inlineStr">
        <is>
          <t>https://tanks-encyclopedia.com/ww2/germany/panzer-iv/</t>
        </is>
      </c>
      <c r="F25" s="8" t="inlineStr">
        <is>
          <t>Documenté</t>
        </is>
      </c>
      <c r="G25" s="8" t="inlineStr">
        <is>
          <t>Famille moteur commune avec des Panzer III tardifs, mais implantation et accessoires à vérifier.</t>
        </is>
      </c>
      <c r="H25" s="8" t="inlineStr">
        <is>
          <t>Série</t>
        </is>
      </c>
      <c r="I25" s="8" t="inlineStr">
        <is>
          <t>2 mitrailleuses MG 13 de 7,92 mm</t>
        </is>
      </c>
      <c r="J25" s="8" t="inlineStr">
        <is>
          <t>1–2 mitrailleuses selon état; tourelle/affûts distincts</t>
        </is>
      </c>
      <c r="K25" s="8" t="inlineStr">
        <is>
          <t>Élevé</t>
        </is>
      </c>
      <c r="L25" s="8" t="inlineStr">
        <is>
          <t>Non — contenu ultérieur</t>
        </is>
      </c>
      <c r="M25" s="8" t="inlineStr">
        <is>
          <t>À intégrer après validation du prototype</t>
        </is>
      </c>
    </row>
    <row r="26" ht="42" customHeight="1">
      <c r="A26" s="8" t="inlineStr">
        <is>
          <t>Panther Ausf. D/A/G</t>
        </is>
      </c>
      <c r="B26" s="8" t="inlineStr">
        <is>
          <t>Allemagne</t>
        </is>
      </c>
      <c r="C26" s="8" t="inlineStr">
        <is>
          <t>Chars moyens</t>
        </is>
      </c>
      <c r="D26" s="8" t="inlineStr">
        <is>
          <t>V12 essence Maybach HL230</t>
        </is>
      </c>
      <c r="E26" s="8" t="inlineStr">
        <is>
          <t>https://tanks-encyclopedia.com/ww2/germany/panther/</t>
        </is>
      </c>
      <c r="F26" s="8" t="inlineStr">
        <is>
          <t>Documenté</t>
        </is>
      </c>
      <c r="G26" s="8" t="inlineStr">
        <is>
          <t>Moteur puissant, consommation et refroidissement exigeants.</t>
        </is>
      </c>
      <c r="H26" s="8" t="inlineStr">
        <is>
          <t>Série</t>
        </is>
      </c>
      <c r="I26" s="8" t="inlineStr">
        <is>
          <t>Canon de 75 mm KwK 42 L/70; 2–3 MG 34/42 selon version</t>
        </is>
      </c>
      <c r="J26" s="8" t="inlineStr">
        <is>
          <t>Canon principal, MG coaxiale et/ou de caisse selon variante</t>
        </is>
      </c>
      <c r="K26" s="8" t="inlineStr">
        <is>
          <t>Élevé</t>
        </is>
      </c>
      <c r="L26" s="8" t="inlineStr">
        <is>
          <t>Non — contenu ultérieur</t>
        </is>
      </c>
      <c r="M26" s="8" t="inlineStr">
        <is>
          <t>À intégrer après validation du prototype</t>
        </is>
      </c>
    </row>
    <row r="27" ht="42" customHeight="1">
      <c r="A27" s="8" t="inlineStr">
        <is>
          <t>Maus</t>
        </is>
      </c>
      <c r="B27" s="8" t="inlineStr">
        <is>
          <t>Allemagne</t>
        </is>
      </c>
      <c r="C27" s="8" t="inlineStr">
        <is>
          <t>Chars lourds et prototypes</t>
        </is>
      </c>
      <c r="D27" s="8" t="inlineStr">
        <is>
          <t>V12 essence Daimler-Benz MB 509 prévu; prototypes et motorisations spécifiques</t>
        </is>
      </c>
      <c r="E27" s="8" t="inlineStr">
        <is>
          <t>https://tanks-encyclopedia.com/ww2/germany/panzer-viii-maus/</t>
        </is>
      </c>
      <c r="F27" s="8" t="inlineStr">
        <is>
          <t>Prototype / à vérifier</t>
        </is>
      </c>
      <c r="G27" s="8" t="inlineStr">
        <is>
          <t>Projet super-lourd ; ne pas fusionner avec le HL230.</t>
        </is>
      </c>
      <c r="H27" s="8" t="inlineStr">
        <is>
          <t>Prototype/projet — distinguer du matériel de série</t>
        </is>
      </c>
      <c r="I27" s="8" t="inlineStr">
        <is>
          <t>Canon de 128 mm KwK 44 L/55 + canon de 75 mm KwK 44; MG 34 prévue — variante/projet à confirmer</t>
        </is>
      </c>
      <c r="J27" s="8" t="inlineStr">
        <is>
          <t>Prototype; canons à traiter comme équipements rares et lourds</t>
        </is>
      </c>
      <c r="K27" s="8" t="inlineStr">
        <is>
          <t>Projet</t>
        </is>
      </c>
      <c r="L27" s="8" t="inlineStr">
        <is>
          <t>Non — contenu ultérieur</t>
        </is>
      </c>
      <c r="M27" s="8" t="inlineStr">
        <is>
          <t>À intégrer après validation du prototype</t>
        </is>
      </c>
    </row>
    <row r="28" ht="42" customHeight="1">
      <c r="A28" s="8" t="inlineStr">
        <is>
          <t>E-100</t>
        </is>
      </c>
      <c r="B28" s="8" t="inlineStr">
        <is>
          <t>Allemagne</t>
        </is>
      </c>
      <c r="C28" s="8" t="inlineStr">
        <is>
          <t>Chars lourds et prototypes</t>
        </is>
      </c>
      <c r="D28" s="8" t="inlineStr">
        <is>
          <t>Motorisation prévue V12 Maybach HL230/HL234 selon projet</t>
        </is>
      </c>
      <c r="E28" s="8" t="inlineStr">
        <is>
          <t>https://tanks-encyclopedia.com/ww2/germany/e-100/</t>
        </is>
      </c>
      <c r="F28" s="8" t="inlineStr">
        <is>
          <t>Prototype / projet</t>
        </is>
      </c>
      <c r="G28" s="8" t="inlineStr">
        <is>
          <t>Projet inachevé ; distinguer configuration prévue et véhicule opérationnel.</t>
        </is>
      </c>
      <c r="H28" s="8" t="inlineStr">
        <is>
          <t>Prototype/projet — distinguer du matériel de série</t>
        </is>
      </c>
      <c r="I28" s="8" t="inlineStr">
        <is>
          <t>Armement prévu : 128 mm ou projet de 150 mm selon configuration</t>
        </is>
      </c>
      <c r="J28" s="8" t="inlineStr">
        <is>
          <t>Projet non achevé; armement non standardisé</t>
        </is>
      </c>
      <c r="K28" s="8" t="inlineStr">
        <is>
          <t>Projet</t>
        </is>
      </c>
      <c r="L28" s="8" t="inlineStr">
        <is>
          <t>Non — contenu ultérieur</t>
        </is>
      </c>
      <c r="M28" s="8" t="inlineStr">
        <is>
          <t>À intégrer après validation du prototype</t>
        </is>
      </c>
    </row>
    <row r="29" ht="42" customHeight="1">
      <c r="A29" s="8" t="inlineStr">
        <is>
          <t>Jagdpanzer IV</t>
        </is>
      </c>
      <c r="B29" s="8" t="inlineStr">
        <is>
          <t>Allemagne</t>
        </is>
      </c>
      <c r="C29" s="8" t="inlineStr">
        <is>
          <t>Chasseurs de chars et canons automoteurs</t>
        </is>
      </c>
      <c r="D29" s="8" t="inlineStr">
        <is>
          <t>V12 essence Maybach HL120 TRM</t>
        </is>
      </c>
      <c r="E29" s="8" t="inlineStr">
        <is>
          <t>https://tanks-encyclopedia.com/ww2/germany/jagdpanzer-iv/</t>
        </is>
      </c>
      <c r="F29" s="8" t="inlineStr">
        <is>
          <t>Documenté</t>
        </is>
      </c>
      <c r="G29" s="8" t="inlineStr">
        <is>
          <t>Dérivé du châssis Panzer IV.</t>
        </is>
      </c>
      <c r="H29" s="8" t="inlineStr">
        <is>
          <t>Série</t>
        </is>
      </c>
      <c r="I29" s="8" t="inlineStr">
        <is>
          <t>2 mitrailleuses MG 13 de 7,92 mm</t>
        </is>
      </c>
      <c r="J29" s="8" t="inlineStr">
        <is>
          <t>1–2 mitrailleuses selon état; tourelle/affûts distincts</t>
        </is>
      </c>
      <c r="K29" s="8" t="inlineStr">
        <is>
          <t>Élevé</t>
        </is>
      </c>
      <c r="L29" s="8" t="inlineStr">
        <is>
          <t>Non — contenu ultérieur</t>
        </is>
      </c>
      <c r="M29" s="8" t="inlineStr">
        <is>
          <t>À intégrer après validation du prototype</t>
        </is>
      </c>
    </row>
    <row r="30" ht="42" customHeight="1">
      <c r="A30" s="8" t="inlineStr">
        <is>
          <t>Elefant / Ferdinand</t>
        </is>
      </c>
      <c r="B30" s="8" t="inlineStr">
        <is>
          <t>Allemagne</t>
        </is>
      </c>
      <c r="C30" s="8" t="inlineStr">
        <is>
          <t>Chasseurs de chars et canons automoteurs</t>
        </is>
      </c>
      <c r="D30" s="8" t="inlineStr">
        <is>
          <t>2 moteurs V12 essence Maybach HL120 entraînant une transmission électrique</t>
        </is>
      </c>
      <c r="E30" s="8" t="inlineStr">
        <is>
          <t>https://tanks-encyclopedia.com/ww2/germany/ferdinand-elefant/</t>
        </is>
      </c>
      <c r="F30" s="8" t="inlineStr">
        <is>
          <t>Documenté</t>
        </is>
      </c>
      <c r="G30" s="8" t="inlineStr">
        <is>
          <t>Exemple majeur de groupe multimoteur et transmission électrique.</t>
        </is>
      </c>
      <c r="H30" s="8" t="inlineStr">
        <is>
          <t>Série</t>
        </is>
      </c>
      <c r="I30" s="8" t="inlineStr">
        <is>
          <t>Canon antichar de 88 mm Pak 43/2 L/71; MG de caisse ajoutée sur Elefant</t>
        </is>
      </c>
      <c r="J30" s="8" t="inlineStr">
        <is>
          <t>Canon très lourd; MG selon état/modernisation</t>
        </is>
      </c>
      <c r="K30" s="8" t="inlineStr">
        <is>
          <t>Élevé</t>
        </is>
      </c>
      <c r="L30" s="8" t="inlineStr">
        <is>
          <t>Non — contenu ultérieur</t>
        </is>
      </c>
      <c r="M30" s="8" t="inlineStr">
        <is>
          <t>À intégrer après validation du prototype</t>
        </is>
      </c>
    </row>
    <row r="31" ht="42" customHeight="1">
      <c r="A31" s="8" t="inlineStr">
        <is>
          <t>Sturmtiger</t>
        </is>
      </c>
      <c r="B31" s="8" t="inlineStr">
        <is>
          <t>Allemagne</t>
        </is>
      </c>
      <c r="C31" s="8" t="inlineStr">
        <is>
          <t>Chasseurs de chars et canons automoteurs</t>
        </is>
      </c>
      <c r="D31" s="8" t="inlineStr">
        <is>
          <t>V12 essence Maybach HL230</t>
        </is>
      </c>
      <c r="E31" s="8" t="inlineStr">
        <is>
          <t>https://tanks-encyclopedia.com/ww2/germany/sturmtiger/</t>
        </is>
      </c>
      <c r="F31" s="8" t="inlineStr">
        <is>
          <t>Documenté</t>
        </is>
      </c>
      <c r="G31" s="8" t="inlineStr">
        <is>
          <t>Châssis Tiger I modifié.</t>
        </is>
      </c>
      <c r="H31" s="8" t="inlineStr">
        <is>
          <t>Série</t>
        </is>
      </c>
      <c r="I31" s="8" t="inlineStr">
        <is>
          <t>Mortier-roquette de 380 mm RW 61; MG 34 de caisse</t>
        </is>
      </c>
      <c r="J31" s="8" t="inlineStr">
        <is>
          <t>Arme principale très spécifique; rare et difficile à remettre en état</t>
        </is>
      </c>
      <c r="K31" s="8" t="inlineStr">
        <is>
          <t>Élevé</t>
        </is>
      </c>
      <c r="L31" s="8" t="inlineStr">
        <is>
          <t>Non — contenu ultérieur</t>
        </is>
      </c>
      <c r="M31" s="8" t="inlineStr">
        <is>
          <t>À intégrer après validation du prototype</t>
        </is>
      </c>
    </row>
    <row r="32" ht="42" customHeight="1">
      <c r="A32" s="8" t="inlineStr">
        <is>
          <t>Brummbär / Sturmpanzer IV</t>
        </is>
      </c>
      <c r="B32" s="8" t="inlineStr">
        <is>
          <t>Allemagne</t>
        </is>
      </c>
      <c r="C32" s="8" t="inlineStr">
        <is>
          <t>Chasseurs de chars et canons automoteurs</t>
        </is>
      </c>
      <c r="D32" s="8" t="inlineStr">
        <is>
          <t>V12 essence Maybach HL120 TRM</t>
        </is>
      </c>
      <c r="E32" s="8" t="inlineStr">
        <is>
          <t>https://tanks-encyclopedia.com/ww2/germany/sturmpanzer-iv/</t>
        </is>
      </c>
      <c r="F32" s="8" t="inlineStr">
        <is>
          <t>Documenté</t>
        </is>
      </c>
      <c r="G32" s="8" t="inlineStr">
        <is>
          <t>Dérivé Panzer IV.</t>
        </is>
      </c>
      <c r="H32" s="8" t="inlineStr">
        <is>
          <t>Série</t>
        </is>
      </c>
      <c r="I32" s="8" t="inlineStr">
        <is>
          <t>2 mitrailleuses MG 13 de 7,92 mm</t>
        </is>
      </c>
      <c r="J32" s="8" t="inlineStr">
        <is>
          <t>1–2 mitrailleuses selon état; tourelle/affûts distincts</t>
        </is>
      </c>
      <c r="K32" s="8" t="inlineStr">
        <is>
          <t>Élevé</t>
        </is>
      </c>
      <c r="L32" s="8" t="inlineStr">
        <is>
          <t>Non — contenu ultérieur</t>
        </is>
      </c>
      <c r="M32" s="8" t="inlineStr">
        <is>
          <t>À intégrer après validation du prototype</t>
        </is>
      </c>
    </row>
    <row r="33" ht="42" customHeight="1">
      <c r="A33" s="8" t="inlineStr">
        <is>
          <t>Wespe</t>
        </is>
      </c>
      <c r="B33" s="8" t="inlineStr">
        <is>
          <t>Allemagne</t>
        </is>
      </c>
      <c r="C33" s="8" t="inlineStr">
        <is>
          <t>Chasseurs de chars et canons automoteurs</t>
        </is>
      </c>
      <c r="D33" s="8" t="inlineStr">
        <is>
          <t>6 cylindres essence Maybach HL62 TR</t>
        </is>
      </c>
      <c r="E33" s="8" t="inlineStr">
        <is>
          <t>https://tanks-encyclopedia.com/ww2/germany/wespe/</t>
        </is>
      </c>
      <c r="F33" s="8" t="inlineStr">
        <is>
          <t>À vérifier</t>
        </is>
      </c>
      <c r="G33" s="8" t="inlineStr">
        <is>
          <t>Dérivé du Panzer II ; moteur à confirmer par variante.</t>
        </is>
      </c>
      <c r="H33" s="8" t="inlineStr">
        <is>
          <t>Série</t>
        </is>
      </c>
      <c r="I33" s="8" t="inlineStr">
        <is>
          <t>Obusier de 105 mm leFH 18/2; MG d'autodéfense éventuellement embarquée, pas toujours montée</t>
        </is>
      </c>
      <c r="J33" s="8" t="inlineStr">
        <is>
          <t>Obusier récupérable; ne pas présumer une MG montée</t>
        </is>
      </c>
      <c r="K33" s="8" t="inlineStr">
        <is>
          <t>Partiel</t>
        </is>
      </c>
      <c r="L33" s="8" t="inlineStr">
        <is>
          <t>Non — contenu ultérieur</t>
        </is>
      </c>
      <c r="M33" s="8" t="inlineStr">
        <is>
          <t>À intégrer après validation du prototype</t>
        </is>
      </c>
    </row>
    <row r="34" ht="42" customHeight="1">
      <c r="A34" s="8" t="inlineStr">
        <is>
          <t>Hummel</t>
        </is>
      </c>
      <c r="B34" s="8" t="inlineStr">
        <is>
          <t>Allemagne</t>
        </is>
      </c>
      <c r="C34" s="8" t="inlineStr">
        <is>
          <t>Chasseurs de chars et canons automoteurs</t>
        </is>
      </c>
      <c r="D34" s="8" t="inlineStr">
        <is>
          <t>V12 essence Maybach HL120 TRM</t>
        </is>
      </c>
      <c r="E34" s="8" t="inlineStr">
        <is>
          <t>https://tanks-encyclopedia.com/ww2/germany/hummel/</t>
        </is>
      </c>
      <c r="F34" s="8" t="inlineStr">
        <is>
          <t>À vérifier</t>
        </is>
      </c>
      <c r="G34" s="8" t="inlineStr">
        <is>
          <t>Châssis combinant éléments de Panzer III/IV ; motorisation à vérifier.</t>
        </is>
      </c>
      <c r="H34" s="8" t="inlineStr">
        <is>
          <t>Série</t>
        </is>
      </c>
      <c r="I34" s="8" t="inlineStr">
        <is>
          <t>Obusier de 150 mm sFH 18; MG d'autodéfense éventuellement embarquée</t>
        </is>
      </c>
      <c r="J34" s="8" t="inlineStr">
        <is>
          <t>Obusier lourd; MG non garantie</t>
        </is>
      </c>
      <c r="K34" s="8" t="inlineStr">
        <is>
          <t>Partiel</t>
        </is>
      </c>
      <c r="L34" s="8" t="inlineStr">
        <is>
          <t>Non — contenu ultérieur</t>
        </is>
      </c>
      <c r="M34" s="8" t="inlineStr">
        <is>
          <t>À intégrer après validation du prototype</t>
        </is>
      </c>
    </row>
    <row r="35" ht="42" customHeight="1">
      <c r="A35" s="8" t="inlineStr">
        <is>
          <t>Marder II</t>
        </is>
      </c>
      <c r="B35" s="8" t="inlineStr">
        <is>
          <t>Allemagne</t>
        </is>
      </c>
      <c r="C35" s="8" t="inlineStr">
        <is>
          <t>Chasseurs de chars et canons automoteurs</t>
        </is>
      </c>
      <c r="D35" s="8" t="inlineStr">
        <is>
          <t>6 cylindres essence Maybach HL62 TRM</t>
        </is>
      </c>
      <c r="E35" s="8" t="inlineStr">
        <is>
          <t>https://tanks-encyclopedia.com/ww2/germany/marder-ii/</t>
        </is>
      </c>
      <c r="F35" s="8" t="inlineStr">
        <is>
          <t>À vérifier</t>
        </is>
      </c>
      <c r="G35" s="8" t="inlineStr">
        <is>
          <t>Plusieurs variantes sur châssis Panzer II.</t>
        </is>
      </c>
      <c r="H35" s="8" t="inlineStr">
        <is>
          <t>Série</t>
        </is>
      </c>
      <c r="I35" s="8" t="inlineStr">
        <is>
          <t>Canon antichar de 75 mm PaK 40 ou 76,2 mm soviétique selon version</t>
        </is>
      </c>
      <c r="J35" s="8" t="inlineStr">
        <is>
          <t>Canon antichar; armement varie selon châssis/version</t>
        </is>
      </c>
      <c r="K35" s="8" t="inlineStr">
        <is>
          <t>Partiel</t>
        </is>
      </c>
      <c r="L35" s="8" t="inlineStr">
        <is>
          <t>Non — contenu ultérieur</t>
        </is>
      </c>
      <c r="M35" s="8" t="inlineStr">
        <is>
          <t>À intégrer après validation du prototype</t>
        </is>
      </c>
    </row>
    <row r="36" ht="42" customHeight="1">
      <c r="A36" s="8" t="inlineStr">
        <is>
          <t>Marder III</t>
        </is>
      </c>
      <c r="B36" s="8" t="inlineStr">
        <is>
          <t>Allemagne</t>
        </is>
      </c>
      <c r="C36" s="8" t="inlineStr">
        <is>
          <t>Chasseurs de chars et canons automoteurs</t>
        </is>
      </c>
      <c r="D36" s="8" t="inlineStr">
        <is>
          <t>6 cylindres essence Praga EPA</t>
        </is>
      </c>
      <c r="E36" s="8" t="inlineStr">
        <is>
          <t>https://tanks-encyclopedia.com/ww2/germany/marder-iii/</t>
        </is>
      </c>
      <c r="F36" s="8" t="inlineStr">
        <is>
          <t>À vérifier</t>
        </is>
      </c>
      <c r="G36" s="8" t="inlineStr">
        <is>
          <t>Châssis tchèque ; famille moteur Praga.</t>
        </is>
      </c>
      <c r="H36" s="8" t="inlineStr">
        <is>
          <t>Série</t>
        </is>
      </c>
      <c r="I36" s="8" t="inlineStr">
        <is>
          <t>Canon antichar de 75 mm PaK 40 ou 76,2 mm soviétique selon version</t>
        </is>
      </c>
      <c r="J36" s="8" t="inlineStr">
        <is>
          <t>Canon antichar; armement varie selon châssis/version</t>
        </is>
      </c>
      <c r="K36" s="8" t="inlineStr">
        <is>
          <t>Partiel</t>
        </is>
      </c>
      <c r="L36" s="8" t="inlineStr">
        <is>
          <t>Non — contenu ultérieur</t>
        </is>
      </c>
      <c r="M36" s="8" t="inlineStr">
        <is>
          <t>À intégrer après validation du prototype</t>
        </is>
      </c>
    </row>
    <row r="37" ht="42" customHeight="1">
      <c r="A37" s="8" t="inlineStr">
        <is>
          <t>Nashorn / Hornisse</t>
        </is>
      </c>
      <c r="B37" s="8" t="inlineStr">
        <is>
          <t>Allemagne</t>
        </is>
      </c>
      <c r="C37" s="8" t="inlineStr">
        <is>
          <t>Chasseurs de chars et canons automoteurs</t>
        </is>
      </c>
      <c r="D37" s="8" t="inlineStr">
        <is>
          <t>V12 essence Maybach HL120 TRM</t>
        </is>
      </c>
      <c r="E37" s="8" t="inlineStr">
        <is>
          <t>https://tanks-encyclopedia.com/ww2/germany/nashorn/</t>
        </is>
      </c>
      <c r="F37" s="8" t="inlineStr">
        <is>
          <t>À vérifier</t>
        </is>
      </c>
      <c r="G37" s="8" t="inlineStr">
        <is>
          <t>Châssis hybride Panzer III/IV.</t>
        </is>
      </c>
      <c r="H37" s="8" t="inlineStr">
        <is>
          <t>Série</t>
        </is>
      </c>
      <c r="I37" s="8" t="inlineStr">
        <is>
          <t>Canon antichar de 88 mm PaK 43/1 L/71</t>
        </is>
      </c>
      <c r="J37" s="8" t="inlineStr">
        <is>
          <t>Canon lourd; pas de mitrailleuse fixe standard</t>
        </is>
      </c>
      <c r="K37" s="8" t="inlineStr">
        <is>
          <t>Élevé</t>
        </is>
      </c>
      <c r="L37" s="8" t="inlineStr">
        <is>
          <t>Non — contenu ultérieur</t>
        </is>
      </c>
      <c r="M37" s="8" t="inlineStr">
        <is>
          <t>À intégrer après validation du prototype</t>
        </is>
      </c>
    </row>
    <row r="38" ht="42" customHeight="1">
      <c r="A38" s="8" t="inlineStr">
        <is>
          <t>Sturmpanzer I Bison</t>
        </is>
      </c>
      <c r="B38" s="8" t="inlineStr">
        <is>
          <t>Allemagne</t>
        </is>
      </c>
      <c r="C38" s="8" t="inlineStr">
        <is>
          <t>Chasseurs de chars et canons automoteurs</t>
        </is>
      </c>
      <c r="D38" s="8" t="inlineStr">
        <is>
          <t>6 cylindres essence Maybach (type à vérifier)</t>
        </is>
      </c>
      <c r="E38" s="8" t="inlineStr">
        <is>
          <t>https://tanks-encyclopedia.com/ww2/germany/sturmpanzer-i-bison/</t>
        </is>
      </c>
      <c r="F38" s="8" t="inlineStr">
        <is>
          <t>À vérifier</t>
        </is>
      </c>
      <c r="G38" s="8" t="inlineStr">
        <is>
          <t>Canon automoteur sur châssis Panzer I.</t>
        </is>
      </c>
      <c r="H38" s="8" t="inlineStr">
        <is>
          <t>Série</t>
        </is>
      </c>
      <c r="I38" s="8" t="inlineStr">
        <is>
          <t>2 mitrailleuses MG 13 de 7,92 mm</t>
        </is>
      </c>
      <c r="J38" s="8" t="inlineStr">
        <is>
          <t>1–2 mitrailleuses selon état; tourelle/affûts distincts</t>
        </is>
      </c>
      <c r="K38" s="8" t="inlineStr">
        <is>
          <t>Élevé</t>
        </is>
      </c>
      <c r="L38" s="8" t="inlineStr">
        <is>
          <t>Non — contenu ultérieur</t>
        </is>
      </c>
      <c r="M38" s="8" t="inlineStr">
        <is>
          <t>À intégrer après validation du prototype</t>
        </is>
      </c>
    </row>
    <row r="39" ht="42" customHeight="1">
      <c r="A39" s="8" t="inlineStr">
        <is>
          <t>A11 Matilda I</t>
        </is>
      </c>
      <c r="B39" s="8" t="inlineStr">
        <is>
          <t>Royaume-Uni</t>
        </is>
      </c>
      <c r="C39" s="8" t="inlineStr">
        <is>
          <t>Chars légers et chars anciens</t>
        </is>
      </c>
      <c r="D39" s="8" t="inlineStr">
        <is>
          <t>V8 essence Ford Model 79</t>
        </is>
      </c>
      <c r="E39" s="8" t="inlineStr">
        <is>
          <t>https://tankmuseum.org/tank-nuts/tank-collection/matilda-i</t>
        </is>
      </c>
      <c r="F39" s="8" t="inlineStr">
        <is>
          <t>À vérifier</t>
        </is>
      </c>
      <c r="G39" s="8" t="inlineStr">
        <is>
          <t>Très lent ; moteur de voiture adapté à un char léger.</t>
        </is>
      </c>
      <c r="H39" s="8" t="inlineStr">
        <is>
          <t>Série</t>
        </is>
      </c>
      <c r="I39" s="8" t="inlineStr">
        <is>
          <t>Une mitrailleuse Vickers .303 ou un fusil antichar Boys selon véhicule</t>
        </is>
      </c>
      <c r="J39" s="8" t="inlineStr">
        <is>
          <t>Arme individuelle montée selon version</t>
        </is>
      </c>
      <c r="K39" s="8" t="inlineStr">
        <is>
          <t>Partiel</t>
        </is>
      </c>
      <c r="L39" s="8" t="inlineStr">
        <is>
          <t>Non — contenu ultérieur</t>
        </is>
      </c>
      <c r="M39" s="8" t="inlineStr">
        <is>
          <t>À intégrer après validation du prototype</t>
        </is>
      </c>
    </row>
    <row r="40" ht="42" customHeight="1">
      <c r="A40" s="8" t="inlineStr">
        <is>
          <t>A12 Matilda II</t>
        </is>
      </c>
      <c r="B40" s="8" t="inlineStr">
        <is>
          <t>Royaume-Uni</t>
        </is>
      </c>
      <c r="C40" s="8" t="inlineStr">
        <is>
          <t>Chars d'infanterie</t>
        </is>
      </c>
      <c r="D40" s="8" t="inlineStr">
        <is>
          <t>2 moteurs 6 cylindres essence AEC (famille à confirmer selon marque)</t>
        </is>
      </c>
      <c r="E40" s="8" t="inlineStr">
        <is>
          <t>https://tankmuseum.org/tank-nuts/tank-collection/matilda-ii</t>
        </is>
      </c>
      <c r="F40" s="8" t="inlineStr">
        <is>
          <t>À vérifier</t>
        </is>
      </c>
      <c r="G40" s="8" t="inlineStr">
        <is>
          <t>Architecture multimoteur ; moteurs jumelés.</t>
        </is>
      </c>
      <c r="H40" s="8" t="inlineStr">
        <is>
          <t>Série</t>
        </is>
      </c>
      <c r="I40" s="8" t="inlineStr">
        <is>
          <t>Canon de 2-pdr (40 mm); mitrailleuse Besa 7,92 mm; parfois lance-fumigènes</t>
        </is>
      </c>
      <c r="J40" s="8" t="inlineStr">
        <is>
          <t>Canon et Besa; confirmer variante</t>
        </is>
      </c>
      <c r="K40" s="8" t="inlineStr">
        <is>
          <t>Élevé</t>
        </is>
      </c>
      <c r="L40" s="8" t="inlineStr">
        <is>
          <t>Non — contenu ultérieur</t>
        </is>
      </c>
      <c r="M40" s="8" t="inlineStr">
        <is>
          <t>À intégrer après validation du prototype</t>
        </is>
      </c>
    </row>
    <row r="41" ht="42" customHeight="1">
      <c r="A41" s="8" t="inlineStr">
        <is>
          <t>A9 Cruiser Mk I</t>
        </is>
      </c>
      <c r="B41" s="8" t="inlineStr">
        <is>
          <t>Royaume-Uni</t>
        </is>
      </c>
      <c r="C41" s="8" t="inlineStr">
        <is>
          <t>Chars de croisière</t>
        </is>
      </c>
      <c r="D41" s="8" t="inlineStr">
        <is>
          <t>6 cylindres essence AEC</t>
        </is>
      </c>
      <c r="E41" s="8" t="inlineStr">
        <is>
          <t>https://tanks-encyclopedia.com/ww2/gb/a9-cruiser-tank/</t>
        </is>
      </c>
      <c r="F41" s="8" t="inlineStr">
        <is>
          <t>À vérifier</t>
        </is>
      </c>
      <c r="G41" s="8" t="inlineStr">
        <is>
          <t>Char de croisière précoce.</t>
        </is>
      </c>
      <c r="H41" s="8" t="inlineStr">
        <is>
          <t>Série</t>
        </is>
      </c>
      <c r="I41" s="8" t="inlineStr">
        <is>
          <t>Armement historique à déterminer précisément pour ce modèle/sa variante</t>
        </is>
      </c>
      <c r="J41" s="8" t="inlineStr">
        <is>
          <t>Ne récupérer une arme que si elle est présente, identifiable et démontable; vérifier le calibre</t>
        </is>
      </c>
      <c r="K41" s="8" t="inlineStr">
        <is>
          <t>À vérifier</t>
        </is>
      </c>
      <c r="L41" s="8" t="inlineStr">
        <is>
          <t>Non — contenu ultérieur</t>
        </is>
      </c>
      <c r="M41" s="8" t="inlineStr">
        <is>
          <t>À intégrer après validation du prototype</t>
        </is>
      </c>
    </row>
    <row r="42" ht="42" customHeight="1">
      <c r="A42" s="8" t="inlineStr">
        <is>
          <t>A10 Cruiser Mk II</t>
        </is>
      </c>
      <c r="B42" s="8" t="inlineStr">
        <is>
          <t>Royaume-Uni</t>
        </is>
      </c>
      <c r="C42" s="8" t="inlineStr">
        <is>
          <t>Chars de croisière</t>
        </is>
      </c>
      <c r="D42" s="8" t="inlineStr">
        <is>
          <t>6 cylindres essence AEC</t>
        </is>
      </c>
      <c r="E42" s="8" t="inlineStr">
        <is>
          <t>https://tanks-encyclopedia.com/ww2/gb/a10-cruiser-tank/</t>
        </is>
      </c>
      <c r="F42" s="8" t="inlineStr">
        <is>
          <t>À vérifier</t>
        </is>
      </c>
      <c r="G42" s="8" t="inlineStr">
        <is>
          <t>Dérivé du A9, moteur de famille proche.</t>
        </is>
      </c>
      <c r="H42" s="8" t="inlineStr">
        <is>
          <t>Série</t>
        </is>
      </c>
      <c r="I42" s="8" t="inlineStr">
        <is>
          <t>Armement historique à déterminer précisément pour ce modèle/sa variante</t>
        </is>
      </c>
      <c r="J42" s="8" t="inlineStr">
        <is>
          <t>Ne récupérer une arme que si elle est présente, identifiable et démontable; vérifier le calibre</t>
        </is>
      </c>
      <c r="K42" s="8" t="inlineStr">
        <is>
          <t>À vérifier</t>
        </is>
      </c>
      <c r="L42" s="8" t="inlineStr">
        <is>
          <t>Non — contenu ultérieur</t>
        </is>
      </c>
      <c r="M42" s="8" t="inlineStr">
        <is>
          <t>À intégrer après validation du prototype</t>
        </is>
      </c>
    </row>
    <row r="43" ht="42" customHeight="1">
      <c r="A43" s="8" t="inlineStr">
        <is>
          <t>A13 Cruiser Mk III</t>
        </is>
      </c>
      <c r="B43" s="8" t="inlineStr">
        <is>
          <t>Royaume-Uni</t>
        </is>
      </c>
      <c r="C43" s="8" t="inlineStr">
        <is>
          <t>Chars de croisière</t>
        </is>
      </c>
      <c r="D43" s="8" t="inlineStr">
        <is>
          <t>12 cylindres essence Liberty (famille américaine)</t>
        </is>
      </c>
      <c r="E43" s="8" t="inlineStr">
        <is>
          <t>https://tanks-encyclopedia.com/ww2/gb/a13-cruiser-tank-mk-iii/</t>
        </is>
      </c>
      <c r="F43" s="8" t="inlineStr">
        <is>
          <t>À vérifier</t>
        </is>
      </c>
      <c r="G43" s="8" t="inlineStr">
        <is>
          <t>Exemple de moteur aéronautique adapté à un véhicule terrestre.</t>
        </is>
      </c>
      <c r="H43" s="8" t="inlineStr">
        <is>
          <t>Série</t>
        </is>
      </c>
      <c r="I43" s="8" t="inlineStr">
        <is>
          <t>Armement historique à déterminer précisément pour ce modèle/sa variante</t>
        </is>
      </c>
      <c r="J43" s="8" t="inlineStr">
        <is>
          <t>Ne récupérer une arme que si elle est présente, identifiable et démontable; vérifier le calibre</t>
        </is>
      </c>
      <c r="K43" s="8" t="inlineStr">
        <is>
          <t>À vérifier</t>
        </is>
      </c>
      <c r="L43" s="8" t="inlineStr">
        <is>
          <t>Non — contenu ultérieur</t>
        </is>
      </c>
      <c r="M43" s="8" t="inlineStr">
        <is>
          <t>À intégrer après validation du prototype</t>
        </is>
      </c>
    </row>
    <row r="44" ht="42" customHeight="1">
      <c r="A44" s="8" t="inlineStr">
        <is>
          <t>A13 Cruiser Mk IV</t>
        </is>
      </c>
      <c r="B44" s="8" t="inlineStr">
        <is>
          <t>Royaume-Uni</t>
        </is>
      </c>
      <c r="C44" s="8" t="inlineStr">
        <is>
          <t>Chars de croisière</t>
        </is>
      </c>
      <c r="D44" s="8" t="inlineStr">
        <is>
          <t>12 cylindres essence Liberty</t>
        </is>
      </c>
      <c r="E44" s="8" t="inlineStr">
        <is>
          <t>https://tanks-encyclopedia.com/ww2/gb/a13-cruiser-tank-mk-iv/</t>
        </is>
      </c>
      <c r="F44" s="8" t="inlineStr">
        <is>
          <t>À vérifier</t>
        </is>
      </c>
      <c r="G44" s="8" t="inlineStr">
        <is>
          <t>Évolution du Cruiser Mk III.</t>
        </is>
      </c>
      <c r="H44" s="8" t="inlineStr">
        <is>
          <t>Série</t>
        </is>
      </c>
      <c r="I44" s="8" t="inlineStr">
        <is>
          <t>Armement historique à déterminer précisément pour ce modèle/sa variante</t>
        </is>
      </c>
      <c r="J44" s="8" t="inlineStr">
        <is>
          <t>Ne récupérer une arme que si elle est présente, identifiable et démontable; vérifier le calibre</t>
        </is>
      </c>
      <c r="K44" s="8" t="inlineStr">
        <is>
          <t>À vérifier</t>
        </is>
      </c>
      <c r="L44" s="8" t="inlineStr">
        <is>
          <t>Non — contenu ultérieur</t>
        </is>
      </c>
      <c r="M44" s="8" t="inlineStr">
        <is>
          <t>À intégrer après validation du prototype</t>
        </is>
      </c>
    </row>
    <row r="45" ht="42" customHeight="1">
      <c r="A45" s="8" t="inlineStr">
        <is>
          <t>Covenanter A13 Mk III</t>
        </is>
      </c>
      <c r="B45" s="8" t="inlineStr">
        <is>
          <t>Royaume-Uni</t>
        </is>
      </c>
      <c r="C45" s="8" t="inlineStr">
        <is>
          <t>Chars de croisière</t>
        </is>
      </c>
      <c r="D45" s="8" t="inlineStr">
        <is>
          <t>12 cylindres essence Meadows DAV</t>
        </is>
      </c>
      <c r="E45" s="8" t="inlineStr">
        <is>
          <t>https://tanks-encyclopedia.com/ww2/gb/covenanter-cruiser-tank/</t>
        </is>
      </c>
      <c r="F45" s="8" t="inlineStr">
        <is>
          <t>Documenté</t>
        </is>
      </c>
      <c r="G45" s="8" t="inlineStr">
        <is>
          <t>Moteur à refroidissement liquide ; compartiment moteur problématique.</t>
        </is>
      </c>
      <c r="H45" s="8" t="inlineStr">
        <is>
          <t>Série</t>
        </is>
      </c>
      <c r="I45" s="8" t="inlineStr">
        <is>
          <t>Armement historique à déterminer précisément pour ce modèle/sa variante</t>
        </is>
      </c>
      <c r="J45" s="8" t="inlineStr">
        <is>
          <t>Ne récupérer une arme que si elle est présente, identifiable et démontable; vérifier le calibre</t>
        </is>
      </c>
      <c r="K45" s="8" t="inlineStr">
        <is>
          <t>À vérifier</t>
        </is>
      </c>
      <c r="L45" s="8" t="inlineStr">
        <is>
          <t>Non — contenu ultérieur</t>
        </is>
      </c>
      <c r="M45" s="8" t="inlineStr">
        <is>
          <t>À intégrer après validation du prototype</t>
        </is>
      </c>
    </row>
    <row r="46" ht="42" customHeight="1">
      <c r="A46" s="8" t="inlineStr">
        <is>
          <t>Crusader I/II</t>
        </is>
      </c>
      <c r="B46" s="8" t="inlineStr">
        <is>
          <t>Royaume-Uni</t>
        </is>
      </c>
      <c r="C46" s="8" t="inlineStr">
        <is>
          <t>Chars de croisière</t>
        </is>
      </c>
      <c r="D46" s="8" t="inlineStr">
        <is>
          <t>12 cylindres essence Liberty</t>
        </is>
      </c>
      <c r="E46" s="8" t="inlineStr">
        <is>
          <t>https://tanks-encyclopedia.com/ww2/gb/crusader-tank/</t>
        </is>
      </c>
      <c r="F46" s="8" t="inlineStr">
        <is>
          <t>Documenté</t>
        </is>
      </c>
      <c r="G46" s="8" t="inlineStr">
        <is>
          <t>Famille de moteur partagée avec plusieurs chars de croisière britanniques.</t>
        </is>
      </c>
      <c r="H46" s="8" t="inlineStr">
        <is>
          <t>Série</t>
        </is>
      </c>
      <c r="I46" s="8" t="inlineStr">
        <is>
          <t>Canon de 2-pdr ou 6-pdr selon version; mitrailleuse Besa 7,92 mm</t>
        </is>
      </c>
      <c r="J46" s="8" t="inlineStr">
        <is>
          <t>Canon et Besa selon variante</t>
        </is>
      </c>
      <c r="K46" s="8" t="inlineStr">
        <is>
          <t>Partiel</t>
        </is>
      </c>
      <c r="L46" s="8" t="inlineStr">
        <is>
          <t>Non — contenu ultérieur</t>
        </is>
      </c>
      <c r="M46" s="8" t="inlineStr">
        <is>
          <t>À intégrer après validation du prototype</t>
        </is>
      </c>
    </row>
    <row r="47" ht="42" customHeight="1">
      <c r="A47" s="8" t="inlineStr">
        <is>
          <t>Crusader III</t>
        </is>
      </c>
      <c r="B47" s="8" t="inlineStr">
        <is>
          <t>Royaume-Uni</t>
        </is>
      </c>
      <c r="C47" s="8" t="inlineStr">
        <is>
          <t>Chars de croisière</t>
        </is>
      </c>
      <c r="D47" s="8" t="inlineStr">
        <is>
          <t>12 cylindres essence Liberty</t>
        </is>
      </c>
      <c r="E47" s="8" t="inlineStr">
        <is>
          <t>https://tanks-encyclopedia.com/ww2/gb/crusader-tank/</t>
        </is>
      </c>
      <c r="F47" s="8" t="inlineStr">
        <is>
          <t>Documenté</t>
        </is>
      </c>
      <c r="G47" s="8" t="inlineStr">
        <is>
          <t>Version tardive armée plus lourdement.</t>
        </is>
      </c>
      <c r="H47" s="8" t="inlineStr">
        <is>
          <t>Série</t>
        </is>
      </c>
      <c r="I47" s="8" t="inlineStr">
        <is>
          <t>Canon de 2-pdr ou 6-pdr selon version; mitrailleuse Besa 7,92 mm</t>
        </is>
      </c>
      <c r="J47" s="8" t="inlineStr">
        <is>
          <t>Canon et Besa selon variante</t>
        </is>
      </c>
      <c r="K47" s="8" t="inlineStr">
        <is>
          <t>Partiel</t>
        </is>
      </c>
      <c r="L47" s="8" t="inlineStr">
        <is>
          <t>Non — contenu ultérieur</t>
        </is>
      </c>
      <c r="M47" s="8" t="inlineStr">
        <is>
          <t>À intégrer après validation du prototype</t>
        </is>
      </c>
    </row>
    <row r="48" ht="42" customHeight="1">
      <c r="A48" s="8" t="inlineStr">
        <is>
          <t>Churchill Mk I–III</t>
        </is>
      </c>
      <c r="B48" s="8" t="inlineStr">
        <is>
          <t>Royaume-Uni</t>
        </is>
      </c>
      <c r="C48" s="8" t="inlineStr">
        <is>
          <t>Chars d'infanterie</t>
        </is>
      </c>
      <c r="D48" s="8" t="inlineStr">
        <is>
          <t>12 cylindres essence Bedford flat-12</t>
        </is>
      </c>
      <c r="E48" s="8" t="inlineStr">
        <is>
          <t>https://tankmuseum.org/tank-nuts/tank-collection/churchill</t>
        </is>
      </c>
      <c r="F48" s="8" t="inlineStr">
        <is>
          <t>Documenté</t>
        </is>
      </c>
      <c r="G48" s="8" t="inlineStr">
        <is>
          <t>Moteur à plat 12 cylindres, architecture inhabituelle.</t>
        </is>
      </c>
      <c r="H48" s="8" t="inlineStr">
        <is>
          <t>Série</t>
        </is>
      </c>
      <c r="I48" s="8" t="inlineStr">
        <is>
          <t>Canon de 2-pdr, 6-pdr ou 75 mm selon version; mitrailleuse Besa 7,92 mm; parfois obusier de 3 pouces</t>
        </is>
      </c>
      <c r="J48" s="8" t="inlineStr">
        <is>
          <t>Canon/obusier et Besa selon variante</t>
        </is>
      </c>
      <c r="K48" s="8" t="inlineStr">
        <is>
          <t>Partiel</t>
        </is>
      </c>
      <c r="L48" s="8" t="inlineStr">
        <is>
          <t>Non — contenu ultérieur</t>
        </is>
      </c>
      <c r="M48" s="8" t="inlineStr">
        <is>
          <t>À intégrer après validation du prototype</t>
        </is>
      </c>
    </row>
    <row r="49" ht="42" customHeight="1">
      <c r="A49" s="8" t="inlineStr">
        <is>
          <t>Churchill Mk IV–VII</t>
        </is>
      </c>
      <c r="B49" s="8" t="inlineStr">
        <is>
          <t>Royaume-Uni</t>
        </is>
      </c>
      <c r="C49" s="8" t="inlineStr">
        <is>
          <t>Chars d'infanterie</t>
        </is>
      </c>
      <c r="D49" s="8" t="inlineStr">
        <is>
          <t>12 cylindres essence Bedford flat-12</t>
        </is>
      </c>
      <c r="E49" s="8" t="inlineStr">
        <is>
          <t>https://tankmuseum.org/tank-nuts/tank-collection/churchill</t>
        </is>
      </c>
      <c r="F49" s="8" t="inlineStr">
        <is>
          <t>Documenté</t>
        </is>
      </c>
      <c r="G49" s="8" t="inlineStr">
        <is>
          <t>Famille Bedford flat-12 avec variantes d'amélioration.</t>
        </is>
      </c>
      <c r="H49" s="8" t="inlineStr">
        <is>
          <t>Série</t>
        </is>
      </c>
      <c r="I49" s="8" t="inlineStr">
        <is>
          <t>Canon de 2-pdr, 6-pdr ou 75 mm selon version; mitrailleuse Besa 7,92 mm; parfois obusier de 3 pouces</t>
        </is>
      </c>
      <c r="J49" s="8" t="inlineStr">
        <is>
          <t>Canon/obusier et Besa selon variante</t>
        </is>
      </c>
      <c r="K49" s="8" t="inlineStr">
        <is>
          <t>Partiel</t>
        </is>
      </c>
      <c r="L49" s="8" t="inlineStr">
        <is>
          <t>Non — contenu ultérieur</t>
        </is>
      </c>
      <c r="M49" s="8" t="inlineStr">
        <is>
          <t>À intégrer après validation du prototype</t>
        </is>
      </c>
    </row>
    <row r="50" ht="42" customHeight="1">
      <c r="A50" s="8" t="inlineStr">
        <is>
          <t>Cromwell IV</t>
        </is>
      </c>
      <c r="B50" s="8" t="inlineStr">
        <is>
          <t>Royaume-Uni</t>
        </is>
      </c>
      <c r="C50" s="8" t="inlineStr">
        <is>
          <t>Chars de croisière</t>
        </is>
      </c>
      <c r="D50" s="8" t="inlineStr">
        <is>
          <t>V12 essence Rolls-Royce Meteor</t>
        </is>
      </c>
      <c r="E50" s="8" t="inlineStr">
        <is>
          <t>https://tankmuseum.org/tank-nuts/tank-collection/cromwell</t>
        </is>
      </c>
      <c r="F50" s="8" t="inlineStr">
        <is>
          <t>Documenté</t>
        </is>
      </c>
      <c r="G50" s="8" t="inlineStr">
        <is>
          <t>Dérivé du moteur aéronautique Merlin ; excellent moteur de jeu hautes performances.</t>
        </is>
      </c>
      <c r="H50" s="8" t="inlineStr">
        <is>
          <t>Série</t>
        </is>
      </c>
      <c r="I50" s="8" t="inlineStr">
        <is>
          <t>Canon de 6-pdr ou 75 mm selon version; mitrailleuses Besa 7,92 mm</t>
        </is>
      </c>
      <c r="J50" s="8" t="inlineStr">
        <is>
          <t>Canon et Besa selon variante</t>
        </is>
      </c>
      <c r="K50" s="8" t="inlineStr">
        <is>
          <t>Partiel</t>
        </is>
      </c>
      <c r="L50" s="8" t="inlineStr">
        <is>
          <t>Non — contenu ultérieur</t>
        </is>
      </c>
      <c r="M50" s="8" t="inlineStr">
        <is>
          <t>À intégrer après validation du prototype</t>
        </is>
      </c>
    </row>
    <row r="51" ht="42" customHeight="1">
      <c r="A51" s="8" t="inlineStr">
        <is>
          <t>Centaur IV</t>
        </is>
      </c>
      <c r="B51" s="8" t="inlineStr">
        <is>
          <t>Royaume-Uni</t>
        </is>
      </c>
      <c r="C51" s="8" t="inlineStr">
        <is>
          <t>Chars de croisière</t>
        </is>
      </c>
      <c r="D51" s="8" t="inlineStr">
        <is>
          <t>V12 essence Liberty (Centaur)</t>
        </is>
      </c>
      <c r="E51" s="8" t="inlineStr">
        <is>
          <t>https://tankmuseum.org/tank-nuts/tank-collection/centaur</t>
        </is>
      </c>
      <c r="F51" s="8" t="inlineStr">
        <is>
          <t>À vérifier</t>
        </is>
      </c>
      <c r="G51" s="8" t="inlineStr">
        <is>
          <t>À distinguer du Cromwell équipé du Meteor.</t>
        </is>
      </c>
      <c r="H51" s="8" t="inlineStr">
        <is>
          <t>Série</t>
        </is>
      </c>
      <c r="I51" s="8" t="inlineStr">
        <is>
          <t>Armement historique à déterminer précisément pour ce modèle/sa variante</t>
        </is>
      </c>
      <c r="J51" s="8" t="inlineStr">
        <is>
          <t>Ne récupérer une arme que si elle est présente, identifiable et démontable; vérifier le calibre</t>
        </is>
      </c>
      <c r="K51" s="8" t="inlineStr">
        <is>
          <t>À vérifier</t>
        </is>
      </c>
      <c r="L51" s="8" t="inlineStr">
        <is>
          <t>Non — contenu ultérieur</t>
        </is>
      </c>
      <c r="M51" s="8" t="inlineStr">
        <is>
          <t>À intégrer après validation du prototype</t>
        </is>
      </c>
    </row>
    <row r="52" ht="42" customHeight="1">
      <c r="A52" s="8" t="inlineStr">
        <is>
          <t>Comet A34</t>
        </is>
      </c>
      <c r="B52" s="8" t="inlineStr">
        <is>
          <t>Royaume-Uni</t>
        </is>
      </c>
      <c r="C52" s="8" t="inlineStr">
        <is>
          <t>Chars de croisière</t>
        </is>
      </c>
      <c r="D52" s="8" t="inlineStr">
        <is>
          <t>V12 essence Rolls-Royce Meteor</t>
        </is>
      </c>
      <c r="E52" s="8" t="inlineStr">
        <is>
          <t>https://tankmuseum.org/tank-nuts/tank-collection/comet</t>
        </is>
      </c>
      <c r="F52" s="8" t="inlineStr">
        <is>
          <t>Documenté</t>
        </is>
      </c>
      <c r="G52" s="8" t="inlineStr">
        <is>
          <t>Famille Meteor, conception antérieure à 1945.</t>
        </is>
      </c>
      <c r="H52" s="8" t="inlineStr">
        <is>
          <t>Série</t>
        </is>
      </c>
      <c r="I52" s="8" t="inlineStr">
        <is>
          <t>Armement historique à déterminer précisément pour ce modèle/sa variante</t>
        </is>
      </c>
      <c r="J52" s="8" t="inlineStr">
        <is>
          <t>Ne récupérer une arme que si elle est présente, identifiable et démontable; vérifier le calibre</t>
        </is>
      </c>
      <c r="K52" s="8" t="inlineStr">
        <is>
          <t>À vérifier</t>
        </is>
      </c>
      <c r="L52" s="8" t="inlineStr">
        <is>
          <t>Non — contenu ultérieur</t>
        </is>
      </c>
      <c r="M52" s="8" t="inlineStr">
        <is>
          <t>À intégrer après validation du prototype</t>
        </is>
      </c>
    </row>
    <row r="53" ht="42" customHeight="1">
      <c r="A53" s="8" t="inlineStr">
        <is>
          <t>Tetrarch</t>
        </is>
      </c>
      <c r="B53" s="8" t="inlineStr">
        <is>
          <t>Royaume-Uni</t>
        </is>
      </c>
      <c r="C53" s="8" t="inlineStr">
        <is>
          <t>Chars légers et chars anciens</t>
        </is>
      </c>
      <c r="D53" s="8" t="inlineStr">
        <is>
          <t>12 cylindres essence Meadows</t>
        </is>
      </c>
      <c r="E53" s="8" t="inlineStr">
        <is>
          <t>https://tankmuseum.org/tank-nuts/tank-collection/tetrarch</t>
        </is>
      </c>
      <c r="F53" s="8" t="inlineStr">
        <is>
          <t>À vérifier</t>
        </is>
      </c>
      <c r="G53" s="8" t="inlineStr">
        <is>
          <t>Char léger aéroportable.</t>
        </is>
      </c>
      <c r="H53" s="8" t="inlineStr">
        <is>
          <t>Série</t>
        </is>
      </c>
      <c r="I53" s="8" t="inlineStr">
        <is>
          <t>Armement historique à déterminer précisément pour ce modèle/sa variante</t>
        </is>
      </c>
      <c r="J53" s="8" t="inlineStr">
        <is>
          <t>Ne récupérer une arme que si elle est présente, identifiable et démontable; vérifier le calibre</t>
        </is>
      </c>
      <c r="K53" s="8" t="inlineStr">
        <is>
          <t>À vérifier</t>
        </is>
      </c>
      <c r="L53" s="8" t="inlineStr">
        <is>
          <t>Non — contenu ultérieur</t>
        </is>
      </c>
      <c r="M53" s="8" t="inlineStr">
        <is>
          <t>À intégrer après validation du prototype</t>
        </is>
      </c>
    </row>
    <row r="54" ht="42" customHeight="1">
      <c r="A54" s="8" t="inlineStr">
        <is>
          <t>Archer</t>
        </is>
      </c>
      <c r="B54" s="8" t="inlineStr">
        <is>
          <t>Royaume-Uni</t>
        </is>
      </c>
      <c r="C54" s="8" t="inlineStr">
        <is>
          <t>Chasseurs de chars et canons automoteurs</t>
        </is>
      </c>
      <c r="D54" s="8" t="inlineStr">
        <is>
          <t>6 cylindres diesel GMC (famille à confirmer)</t>
        </is>
      </c>
      <c r="E54" s="8" t="inlineStr">
        <is>
          <t>https://tankmuseum.org/tank-nuts/tank-collection/archer</t>
        </is>
      </c>
      <c r="F54" s="8" t="inlineStr">
        <is>
          <t>À vérifier</t>
        </is>
      </c>
      <c r="G54" s="8" t="inlineStr">
        <is>
          <t>Canon automoteur à canon orienté vers l'arrière.</t>
        </is>
      </c>
      <c r="H54" s="8" t="inlineStr">
        <is>
          <t>Série</t>
        </is>
      </c>
      <c r="I54" s="8" t="inlineStr">
        <is>
          <t>Armement historique à déterminer précisément pour ce modèle/sa variante</t>
        </is>
      </c>
      <c r="J54" s="8" t="inlineStr">
        <is>
          <t>Ne récupérer une arme que si elle est présente, identifiable et démontable; vérifier le calibre</t>
        </is>
      </c>
      <c r="K54" s="8" t="inlineStr">
        <is>
          <t>À vérifier</t>
        </is>
      </c>
      <c r="L54" s="8" t="inlineStr">
        <is>
          <t>Non — contenu ultérieur</t>
        </is>
      </c>
      <c r="M54" s="8" t="inlineStr">
        <is>
          <t>À intégrer après validation du prototype</t>
        </is>
      </c>
    </row>
    <row r="55" ht="42" customHeight="1">
      <c r="A55" s="8" t="inlineStr">
        <is>
          <t>Bishop</t>
        </is>
      </c>
      <c r="B55" s="8" t="inlineStr">
        <is>
          <t>Royaume-Uni</t>
        </is>
      </c>
      <c r="C55" s="8" t="inlineStr">
        <is>
          <t>Chasseurs de chars et canons automoteurs</t>
        </is>
      </c>
      <c r="D55" s="8" t="inlineStr">
        <is>
          <t>V12 essence Bedford flat-12</t>
        </is>
      </c>
      <c r="E55" s="8" t="inlineStr">
        <is>
          <t>https://tanks-encyclopedia.com/ww2/gb/bishop/</t>
        </is>
      </c>
      <c r="F55" s="8" t="inlineStr">
        <is>
          <t>À vérifier</t>
        </is>
      </c>
      <c r="G55" s="8" t="inlineStr">
        <is>
          <t>Canon automoteur sur châssis Valentine.</t>
        </is>
      </c>
      <c r="H55" s="8" t="inlineStr">
        <is>
          <t>Série</t>
        </is>
      </c>
      <c r="I55" s="8" t="inlineStr">
        <is>
          <t>Armement historique à déterminer précisément pour ce modèle/sa variante</t>
        </is>
      </c>
      <c r="J55" s="8" t="inlineStr">
        <is>
          <t>Ne récupérer une arme que si elle est présente, identifiable et démontable; vérifier le calibre</t>
        </is>
      </c>
      <c r="K55" s="8" t="inlineStr">
        <is>
          <t>À vérifier</t>
        </is>
      </c>
      <c r="L55" s="8" t="inlineStr">
        <is>
          <t>Non — contenu ultérieur</t>
        </is>
      </c>
      <c r="M55" s="8" t="inlineStr">
        <is>
          <t>À intégrer après validation du prototype</t>
        </is>
      </c>
    </row>
    <row r="56" ht="42" customHeight="1">
      <c r="A56" s="8" t="inlineStr">
        <is>
          <t>Sexton</t>
        </is>
      </c>
      <c r="B56" s="8" t="inlineStr">
        <is>
          <t>Canada/Royaume-Uni</t>
        </is>
      </c>
      <c r="C56" s="8" t="inlineStr">
        <is>
          <t>Chasseurs de chars et canons automoteurs</t>
        </is>
      </c>
      <c r="D56" s="8" t="inlineStr">
        <is>
          <t>2 moteurs 6 cylindres essence GMC 6046 sur variantes canadiennes (à confirmer)</t>
        </is>
      </c>
      <c r="E56" s="8" t="inlineStr">
        <is>
          <t>https://tanks-encyclopedia.com/ww2/canada/ram-sexton/</t>
        </is>
      </c>
      <c r="F56" s="8" t="inlineStr">
        <is>
          <t>À vérifier</t>
        </is>
      </c>
      <c r="G56" s="8" t="inlineStr">
        <is>
          <t>Châssis Ram ; distinguer variantes et groupe moteur.</t>
        </is>
      </c>
      <c r="H56" s="8" t="inlineStr">
        <is>
          <t>Série</t>
        </is>
      </c>
      <c r="I56" s="8" t="inlineStr">
        <is>
          <t>Armement historique à déterminer précisément pour ce modèle/sa variante</t>
        </is>
      </c>
      <c r="J56" s="8" t="inlineStr">
        <is>
          <t>Ne récupérer une arme que si elle est présente, identifiable et démontable; vérifier le calibre</t>
        </is>
      </c>
      <c r="K56" s="8" t="inlineStr">
        <is>
          <t>À vérifier</t>
        </is>
      </c>
      <c r="L56" s="8" t="inlineStr">
        <is>
          <t>Non — contenu ultérieur</t>
        </is>
      </c>
      <c r="M56" s="8" t="inlineStr">
        <is>
          <t>À intégrer après validation du prototype</t>
        </is>
      </c>
    </row>
    <row r="57" ht="42" customHeight="1">
      <c r="A57" s="8" t="inlineStr">
        <is>
          <t>M2 Light Tank</t>
        </is>
      </c>
      <c r="B57" s="8" t="inlineStr">
        <is>
          <t>États-Unis</t>
        </is>
      </c>
      <c r="C57" s="8" t="inlineStr">
        <is>
          <t>Chars légers et chars anciens</t>
        </is>
      </c>
      <c r="D57" s="8" t="inlineStr">
        <is>
          <t>7 cylindres en étoile essence Continental W-670</t>
        </is>
      </c>
      <c r="E57" s="8" t="inlineStr">
        <is>
          <t>https://tanks-encyclopedia.com/ww2/us/m2-light-tank/</t>
        </is>
      </c>
      <c r="F57" s="8" t="inlineStr">
        <is>
          <t>Documenté</t>
        </is>
      </c>
      <c r="G57" s="8" t="inlineStr">
        <is>
          <t>Moteur radial ; famille intéressante et visuellement distinctive.</t>
        </is>
      </c>
      <c r="H57" s="8" t="inlineStr">
        <is>
          <t>Série</t>
        </is>
      </c>
      <c r="I57" s="8" t="inlineStr">
        <is>
          <t>Mitrailleuses Browning .30; armement variable selon variante</t>
        </is>
      </c>
      <c r="J57" s="8" t="inlineStr">
        <is>
          <t>Mitrailleuses et affûts</t>
        </is>
      </c>
      <c r="K57" s="8" t="inlineStr">
        <is>
          <t>Partiel</t>
        </is>
      </c>
      <c r="L57" s="8" t="inlineStr">
        <is>
          <t>Non — contenu ultérieur</t>
        </is>
      </c>
      <c r="M57" s="8" t="inlineStr">
        <is>
          <t>À intégrer après validation du prototype</t>
        </is>
      </c>
    </row>
    <row r="58" ht="42" customHeight="1">
      <c r="A58" s="8" t="inlineStr">
        <is>
          <t>M2 Medium Tank</t>
        </is>
      </c>
      <c r="B58" s="8" t="inlineStr">
        <is>
          <t>États-Unis</t>
        </is>
      </c>
      <c r="C58" s="8" t="inlineStr">
        <is>
          <t>Chars moyens</t>
        </is>
      </c>
      <c r="D58" s="8" t="inlineStr">
        <is>
          <t>9 cylindres en étoile essence Wright R-975</t>
        </is>
      </c>
      <c r="E58" s="8" t="inlineStr">
        <is>
          <t>https://tanks-encyclopedia.com/ww2/us/m2-medium-tank/</t>
        </is>
      </c>
      <c r="F58" s="8" t="inlineStr">
        <is>
          <t>Documenté</t>
        </is>
      </c>
      <c r="G58" s="8" t="inlineStr">
        <is>
          <t>Moteur radial réutilisé sur plusieurs véhicules américains.</t>
        </is>
      </c>
      <c r="H58" s="8" t="inlineStr">
        <is>
          <t>Série</t>
        </is>
      </c>
      <c r="I58" s="8" t="inlineStr">
        <is>
          <t>Armement historique à déterminer précisément pour ce modèle/sa variante</t>
        </is>
      </c>
      <c r="J58" s="8" t="inlineStr">
        <is>
          <t>Ne récupérer une arme que si elle est présente, identifiable et démontable; vérifier le calibre</t>
        </is>
      </c>
      <c r="K58" s="8" t="inlineStr">
        <is>
          <t>À vérifier</t>
        </is>
      </c>
      <c r="L58" s="8" t="inlineStr">
        <is>
          <t>Non — contenu ultérieur</t>
        </is>
      </c>
      <c r="M58" s="8" t="inlineStr">
        <is>
          <t>À intégrer après validation du prototype</t>
        </is>
      </c>
    </row>
    <row r="59" ht="42" customHeight="1">
      <c r="A59" s="11" t="inlineStr">
        <is>
          <t>M4 Sherman M4/M4A1</t>
        </is>
      </c>
      <c r="B59" s="14" t="inlineStr">
        <is>
          <t>États-Unis</t>
        </is>
      </c>
      <c r="C59" s="14" t="inlineStr">
        <is>
          <t>Chars moyens</t>
        </is>
      </c>
      <c r="D59" s="14" t="inlineStr">
        <is>
          <t>9 cylindres en étoile Continental R-975</t>
        </is>
      </c>
      <c r="E59" s="14" t="inlineStr">
        <is>
          <t>https://www.nationalww2museum.org/visit/museum-campus-guide/us-freedom-pavilion/vehicles-war/m4-sherman-tank</t>
        </is>
      </c>
      <c r="F59" s="14" t="inlineStr">
        <is>
          <t>Documenté</t>
        </is>
      </c>
      <c r="G59" s="14" t="inlineStr">
        <is>
          <t>Moteur radial essence sur versions précoces et M4A1.</t>
        </is>
      </c>
      <c r="H59" s="14" t="inlineStr">
        <is>
          <t>Série</t>
        </is>
      </c>
      <c r="I59" s="14" t="inlineStr">
        <is>
          <t>Canon de 75 mm M3, 76 mm M1 ou obusier de 105 mm selon version; mitrailleuses Browning .30 et souvent .50</t>
        </is>
      </c>
      <c r="J59" s="14" t="inlineStr">
        <is>
          <t>Canon et mitrailleuses; identifier la tourelle/variante avant attribution</t>
        </is>
      </c>
      <c r="K59" s="14" t="inlineStr">
        <is>
          <t>Partiel</t>
        </is>
      </c>
      <c r="L59" s="11" t="inlineStr">
        <is>
          <t>OUI — PROTOTYPE</t>
        </is>
      </c>
      <c r="M59" s="14" t="inlineStr">
        <is>
          <t>Char moyen de référence</t>
        </is>
      </c>
    </row>
    <row r="60" ht="42" customHeight="1">
      <c r="A60" s="11" t="inlineStr">
        <is>
          <t>M4 Sherman M4A2</t>
        </is>
      </c>
      <c r="B60" s="14" t="inlineStr">
        <is>
          <t>États-Unis</t>
        </is>
      </c>
      <c r="C60" s="14" t="inlineStr">
        <is>
          <t>Chars moyens</t>
        </is>
      </c>
      <c r="D60" s="14" t="inlineStr">
        <is>
          <t>2 moteurs diesel 6 cylindres en ligne GM 6-71 couplés</t>
        </is>
      </c>
      <c r="E60" s="14" t="inlineStr">
        <is>
          <t>https://tanks-encyclopedia.com/ww2/us/m4-sherman/</t>
        </is>
      </c>
      <c r="F60" s="14" t="inlineStr">
        <is>
          <t>Documenté</t>
        </is>
      </c>
      <c r="G60" s="14" t="inlineStr">
        <is>
          <t>Deux diesels en tandem : exemple central pour le système multimoteur.</t>
        </is>
      </c>
      <c r="H60" s="14" t="inlineStr">
        <is>
          <t>Série</t>
        </is>
      </c>
      <c r="I60" s="14" t="inlineStr">
        <is>
          <t>Canon de 75 mm M3, 76 mm M1 ou obusier de 105 mm selon version; mitrailleuses Browning .30 et souvent .50</t>
        </is>
      </c>
      <c r="J60" s="14" t="inlineStr">
        <is>
          <t>Canon et mitrailleuses; identifier la tourelle/variante avant attribution</t>
        </is>
      </c>
      <c r="K60" s="14" t="inlineStr">
        <is>
          <t>Partiel</t>
        </is>
      </c>
      <c r="L60" s="11" t="inlineStr">
        <is>
          <t>OUI — PROTOTYPE</t>
        </is>
      </c>
      <c r="M60" s="14" t="inlineStr">
        <is>
          <t>Char moyen de référence</t>
        </is>
      </c>
    </row>
    <row r="61" ht="42" customHeight="1">
      <c r="A61" s="11" t="inlineStr">
        <is>
          <t>M4 Sherman M4A3</t>
        </is>
      </c>
      <c r="B61" s="14" t="inlineStr">
        <is>
          <t>États-Unis</t>
        </is>
      </c>
      <c r="C61" s="14" t="inlineStr">
        <is>
          <t>Chars moyens</t>
        </is>
      </c>
      <c r="D61" s="14" t="inlineStr">
        <is>
          <t>V8 essence Ford GAA</t>
        </is>
      </c>
      <c r="E61" s="14" t="inlineStr">
        <is>
          <t>https://www.nationalww2museum.org/visit/museum-campus-guide/us-freedom-pavilion/vehicles-war/m4-sherman-tank</t>
        </is>
      </c>
      <c r="F61" s="14" t="inlineStr">
        <is>
          <t>Documenté</t>
        </is>
      </c>
      <c r="G61" s="14" t="inlineStr">
        <is>
          <t>V8 Ford GAA, puissant, différent des moteurs radiaux.</t>
        </is>
      </c>
      <c r="H61" s="14" t="inlineStr">
        <is>
          <t>Série</t>
        </is>
      </c>
      <c r="I61" s="14" t="inlineStr">
        <is>
          <t>Canon de 75 mm M3, 76 mm M1 ou obusier de 105 mm selon version; mitrailleuses Browning .30 et souvent .50</t>
        </is>
      </c>
      <c r="J61" s="14" t="inlineStr">
        <is>
          <t>Canon et mitrailleuses; identifier la tourelle/variante avant attribution</t>
        </is>
      </c>
      <c r="K61" s="14" t="inlineStr">
        <is>
          <t>Partiel</t>
        </is>
      </c>
      <c r="L61" s="11" t="inlineStr">
        <is>
          <t>OUI — PROTOTYPE</t>
        </is>
      </c>
      <c r="M61" s="14" t="inlineStr">
        <is>
          <t>Char moyen de référence</t>
        </is>
      </c>
    </row>
    <row r="62" ht="42" customHeight="1">
      <c r="A62" s="11" t="inlineStr">
        <is>
          <t>M4 Sherman M4A4</t>
        </is>
      </c>
      <c r="B62" s="14" t="inlineStr">
        <is>
          <t>États-Unis</t>
        </is>
      </c>
      <c r="C62" s="14" t="inlineStr">
        <is>
          <t>Chars moyens</t>
        </is>
      </c>
      <c r="D62" s="14" t="inlineStr">
        <is>
          <t>5 moteurs 6 cylindres en ligne Chrysler A57 Multibank assemblés</t>
        </is>
      </c>
      <c r="E62" s="14" t="inlineStr">
        <is>
          <t>https://tanks-encyclopedia.com/ww2/us/m4-sherman/</t>
        </is>
      </c>
      <c r="F62" s="14" t="inlineStr">
        <is>
          <t>Documenté</t>
        </is>
      </c>
      <c r="G62" s="14" t="inlineStr">
        <is>
          <t>Configuration multibloc spectaculaire : cinq blocs I6 assemblés.</t>
        </is>
      </c>
      <c r="H62" s="14" t="inlineStr">
        <is>
          <t>Série</t>
        </is>
      </c>
      <c r="I62" s="14" t="inlineStr">
        <is>
          <t>Canon de 75 mm M3, 76 mm M1 ou obusier de 105 mm selon version; mitrailleuses Browning .30 et souvent .50</t>
        </is>
      </c>
      <c r="J62" s="14" t="inlineStr">
        <is>
          <t>Canon et mitrailleuses; identifier la tourelle/variante avant attribution</t>
        </is>
      </c>
      <c r="K62" s="14" t="inlineStr">
        <is>
          <t>Partiel</t>
        </is>
      </c>
      <c r="L62" s="11" t="inlineStr">
        <is>
          <t>OUI — PROTOTYPE</t>
        </is>
      </c>
      <c r="M62" s="14" t="inlineStr">
        <is>
          <t>Char moyen de référence</t>
        </is>
      </c>
    </row>
    <row r="63" ht="42" customHeight="1">
      <c r="A63" s="8" t="inlineStr">
        <is>
          <t>M6 Heavy Tank</t>
        </is>
      </c>
      <c r="B63" s="8" t="inlineStr">
        <is>
          <t>États-Unis</t>
        </is>
      </c>
      <c r="C63" s="8" t="inlineStr">
        <is>
          <t>Chars lourds et prototypes</t>
        </is>
      </c>
      <c r="D63" s="8" t="inlineStr">
        <is>
          <t>V8 essence Wright G-200 (famille à confirmer)</t>
        </is>
      </c>
      <c r="E63" s="8" t="inlineStr">
        <is>
          <t>https://tanks-encyclopedia.com/ww2/us/m6-heavy-tank/</t>
        </is>
      </c>
      <c r="F63" s="8" t="inlineStr">
        <is>
          <t>À vérifier</t>
        </is>
      </c>
      <c r="G63" s="8" t="inlineStr">
        <is>
          <t>Char lourd produit en faible nombre.</t>
        </is>
      </c>
      <c r="H63" s="8" t="inlineStr">
        <is>
          <t>Série</t>
        </is>
      </c>
      <c r="I63" s="8" t="inlineStr">
        <is>
          <t>Armement historique à déterminer précisément pour ce modèle/sa variante</t>
        </is>
      </c>
      <c r="J63" s="8" t="inlineStr">
        <is>
          <t>Ne récupérer une arme que si elle est présente, identifiable et démontable; vérifier le calibre</t>
        </is>
      </c>
      <c r="K63" s="8" t="inlineStr">
        <is>
          <t>À vérifier</t>
        </is>
      </c>
      <c r="L63" s="8" t="inlineStr">
        <is>
          <t>Non — contenu ultérieur</t>
        </is>
      </c>
      <c r="M63" s="8" t="inlineStr">
        <is>
          <t>À intégrer après validation du prototype</t>
        </is>
      </c>
    </row>
    <row r="64" ht="42" customHeight="1">
      <c r="A64" s="8" t="inlineStr">
        <is>
          <t>M26 Pershing</t>
        </is>
      </c>
      <c r="B64" s="8" t="inlineStr">
        <is>
          <t>États-Unis</t>
        </is>
      </c>
      <c r="C64" s="8" t="inlineStr">
        <is>
          <t>Chars lourds et prototypes</t>
        </is>
      </c>
      <c r="D64" s="8" t="inlineStr">
        <is>
          <t>V8 essence Ford GAF</t>
        </is>
      </c>
      <c r="E64" s="8" t="inlineStr">
        <is>
          <t>https://tanks-encyclopedia.com/ww2/us/m26-pershing/</t>
        </is>
      </c>
      <c r="F64" s="8" t="inlineStr">
        <is>
          <t>Documenté</t>
        </is>
      </c>
      <c r="G64" s="8" t="inlineStr">
        <is>
          <t>Conçu pendant la guerre ; service limité en 1945.</t>
        </is>
      </c>
      <c r="H64" s="8" t="inlineStr">
        <is>
          <t>Série</t>
        </is>
      </c>
      <c r="I64" s="8" t="inlineStr">
        <is>
          <t>Armement historique à déterminer précisément pour ce modèle/sa variante</t>
        </is>
      </c>
      <c r="J64" s="8" t="inlineStr">
        <is>
          <t>Ne récupérer une arme que si elle est présente, identifiable et démontable; vérifier le calibre</t>
        </is>
      </c>
      <c r="K64" s="8" t="inlineStr">
        <is>
          <t>À vérifier</t>
        </is>
      </c>
      <c r="L64" s="8" t="inlineStr">
        <is>
          <t>Non — contenu ultérieur</t>
        </is>
      </c>
      <c r="M64" s="8" t="inlineStr">
        <is>
          <t>À intégrer après validation du prototype</t>
        </is>
      </c>
    </row>
    <row r="65" ht="42" customHeight="1">
      <c r="A65" s="8" t="inlineStr">
        <is>
          <t>M7 Priest</t>
        </is>
      </c>
      <c r="B65" s="8" t="inlineStr">
        <is>
          <t>États-Unis</t>
        </is>
      </c>
      <c r="C65" s="8" t="inlineStr">
        <is>
          <t>Chasseurs de chars et canons automoteurs</t>
        </is>
      </c>
      <c r="D65" s="8" t="inlineStr">
        <is>
          <t>9 cylindres en étoile Continental R-975</t>
        </is>
      </c>
      <c r="E65" s="8" t="inlineStr">
        <is>
          <t>https://tanks-encyclopedia.com/ww2/us/m7-priest/</t>
        </is>
      </c>
      <c r="F65" s="8" t="inlineStr">
        <is>
          <t>À vérifier</t>
        </is>
      </c>
      <c r="G65" s="8" t="inlineStr">
        <is>
          <t>Canon automoteur sur châssis M3/M4.</t>
        </is>
      </c>
      <c r="H65" s="8" t="inlineStr">
        <is>
          <t>Série</t>
        </is>
      </c>
      <c r="I65" s="8" t="inlineStr">
        <is>
          <t>Armement historique à déterminer précisément pour ce modèle/sa variante</t>
        </is>
      </c>
      <c r="J65" s="8" t="inlineStr">
        <is>
          <t>Ne récupérer une arme que si elle est présente, identifiable et démontable; vérifier le calibre</t>
        </is>
      </c>
      <c r="K65" s="8" t="inlineStr">
        <is>
          <t>À vérifier</t>
        </is>
      </c>
      <c r="L65" s="8" t="inlineStr">
        <is>
          <t>Non — contenu ultérieur</t>
        </is>
      </c>
      <c r="M65" s="8" t="inlineStr">
        <is>
          <t>À intégrer après validation du prototype</t>
        </is>
      </c>
    </row>
    <row r="66" ht="42" customHeight="1">
      <c r="A66" s="8" t="inlineStr">
        <is>
          <t>M8 Scott</t>
        </is>
      </c>
      <c r="B66" s="8" t="inlineStr">
        <is>
          <t>États-Unis</t>
        </is>
      </c>
      <c r="C66" s="8" t="inlineStr">
        <is>
          <t>Chasseurs de chars et canons automoteurs</t>
        </is>
      </c>
      <c r="D66" s="8" t="inlineStr">
        <is>
          <t>9 cylindres en étoile Continental R-975</t>
        </is>
      </c>
      <c r="E66" s="8" t="inlineStr">
        <is>
          <t>https://tanks-encyclopedia.com/ww2/us/m8-scott/</t>
        </is>
      </c>
      <c r="F66" s="8" t="inlineStr">
        <is>
          <t>À vérifier</t>
        </is>
      </c>
      <c r="G66" s="8" t="inlineStr">
        <is>
          <t>Canon automoteur léger.</t>
        </is>
      </c>
      <c r="H66" s="8" t="inlineStr">
        <is>
          <t>Série</t>
        </is>
      </c>
      <c r="I66" s="8" t="inlineStr">
        <is>
          <t>Armement historique à déterminer précisément pour ce modèle/sa variante</t>
        </is>
      </c>
      <c r="J66" s="8" t="inlineStr">
        <is>
          <t>Ne récupérer une arme que si elle est présente, identifiable et démontable; vérifier le calibre</t>
        </is>
      </c>
      <c r="K66" s="8" t="inlineStr">
        <is>
          <t>À vérifier</t>
        </is>
      </c>
      <c r="L66" s="8" t="inlineStr">
        <is>
          <t>Non — contenu ultérieur</t>
        </is>
      </c>
      <c r="M66" s="8" t="inlineStr">
        <is>
          <t>À intégrer après validation du prototype</t>
        </is>
      </c>
    </row>
    <row r="67" ht="42" customHeight="1">
      <c r="A67" s="8" t="inlineStr">
        <is>
          <t>T28 / T95 Super Heavy Tank</t>
        </is>
      </c>
      <c r="B67" s="8" t="inlineStr">
        <is>
          <t>États-Unis</t>
        </is>
      </c>
      <c r="C67" s="8" t="inlineStr">
        <is>
          <t>Chars lourds et prototypes</t>
        </is>
      </c>
      <c r="D67" s="8" t="inlineStr">
        <is>
          <t>V8 essence Ford GAF</t>
        </is>
      </c>
      <c r="E67" s="8" t="inlineStr">
        <is>
          <t>https://tanks-encyclopedia.com/ww2/us/t28-super-heavy-tank/</t>
        </is>
      </c>
      <c r="F67" s="8" t="inlineStr">
        <is>
          <t>Prototype</t>
        </is>
      </c>
      <c r="G67" s="8" t="inlineStr">
        <is>
          <t>Projet développé avant 1945 ; quatre chenilles et architecture de propulsion complexe.</t>
        </is>
      </c>
      <c r="H67" s="8" t="inlineStr">
        <is>
          <t>Prototype/projet — distinguer du matériel de série</t>
        </is>
      </c>
      <c r="I67" s="8" t="inlineStr">
        <is>
          <t>Armement historique à déterminer précisément pour ce modèle/sa variante — variante/projet à confirmer</t>
        </is>
      </c>
      <c r="J67" s="8" t="inlineStr">
        <is>
          <t>Ne récupérer une arme que si elle est présente, identifiable et démontable; vérifier le calibre</t>
        </is>
      </c>
      <c r="K67" s="8" t="inlineStr">
        <is>
          <t>Projet</t>
        </is>
      </c>
      <c r="L67" s="8" t="inlineStr">
        <is>
          <t>Non — contenu ultérieur</t>
        </is>
      </c>
      <c r="M67" s="8" t="inlineStr">
        <is>
          <t>À intégrer après validation du prototype</t>
        </is>
      </c>
    </row>
    <row r="68" ht="42" customHeight="1">
      <c r="A68" s="8" t="inlineStr">
        <is>
          <t>BT-2</t>
        </is>
      </c>
      <c r="B68" s="8" t="inlineStr">
        <is>
          <t>URSS</t>
        </is>
      </c>
      <c r="C68" s="8" t="inlineStr">
        <is>
          <t>Chars légers et chars anciens</t>
        </is>
      </c>
      <c r="D68" s="8" t="inlineStr">
        <is>
          <t>12 cylindres en V essence Liberty L-12</t>
        </is>
      </c>
      <c r="E68" s="8" t="inlineStr">
        <is>
          <t>https://tanks-encyclopedia.com/ww2/soviet/bt-2/</t>
        </is>
      </c>
      <c r="F68" s="8" t="inlineStr">
        <is>
          <t>Documenté</t>
        </is>
      </c>
      <c r="G68" s="8" t="inlineStr">
        <is>
          <t>Moteur d'origine aéronautique ; variantes moteur à suivre.</t>
        </is>
      </c>
      <c r="H68" s="8" t="inlineStr">
        <is>
          <t>Série</t>
        </is>
      </c>
      <c r="I68" s="8" t="inlineStr">
        <is>
          <t>Armement historique à déterminer précisément pour ce modèle/sa variante</t>
        </is>
      </c>
      <c r="J68" s="8" t="inlineStr">
        <is>
          <t>Ne récupérer une arme que si elle est présente, identifiable et démontable; vérifier le calibre</t>
        </is>
      </c>
      <c r="K68" s="8" t="inlineStr">
        <is>
          <t>À vérifier</t>
        </is>
      </c>
      <c r="L68" s="8" t="inlineStr">
        <is>
          <t>Non — contenu ultérieur</t>
        </is>
      </c>
      <c r="M68" s="8" t="inlineStr">
        <is>
          <t>À intégrer après validation du prototype</t>
        </is>
      </c>
    </row>
    <row r="69" ht="42" customHeight="1">
      <c r="A69" s="8" t="inlineStr">
        <is>
          <t>BT-5</t>
        </is>
      </c>
      <c r="B69" s="8" t="inlineStr">
        <is>
          <t>URSS</t>
        </is>
      </c>
      <c r="C69" s="8" t="inlineStr">
        <is>
          <t>Chars légers et chars anciens</t>
        </is>
      </c>
      <c r="D69" s="8" t="inlineStr">
        <is>
          <t>12 cylindres en V essence M-5 (famille Liberty)</t>
        </is>
      </c>
      <c r="E69" s="8" t="inlineStr">
        <is>
          <t>https://tanks-encyclopedia.com/ww2/soviet/bt-5/</t>
        </is>
      </c>
      <c r="F69" s="8" t="inlineStr">
        <is>
          <t>Documenté</t>
        </is>
      </c>
      <c r="G69" s="8" t="inlineStr">
        <is>
          <t>Proche du BT-2, mais les détails de moteur et montage varient.</t>
        </is>
      </c>
      <c r="H69" s="8" t="inlineStr">
        <is>
          <t>Série</t>
        </is>
      </c>
      <c r="I69" s="8" t="inlineStr">
        <is>
          <t>Canon de 45 mm 20-K; mitrailleuse DT de 7,62 mm</t>
        </is>
      </c>
      <c r="J69" s="8" t="inlineStr">
        <is>
          <t>Canon et MG</t>
        </is>
      </c>
      <c r="K69" s="8" t="inlineStr">
        <is>
          <t>Élevé</t>
        </is>
      </c>
      <c r="L69" s="8" t="inlineStr">
        <is>
          <t>Non — contenu ultérieur</t>
        </is>
      </c>
      <c r="M69" s="8" t="inlineStr">
        <is>
          <t>À intégrer après validation du prototype</t>
        </is>
      </c>
    </row>
    <row r="70" ht="42" customHeight="1">
      <c r="A70" s="8" t="inlineStr">
        <is>
          <t>BT-7</t>
        </is>
      </c>
      <c r="B70" s="8" t="inlineStr">
        <is>
          <t>URSS</t>
        </is>
      </c>
      <c r="C70" s="8" t="inlineStr">
        <is>
          <t>Chars légers et chars anciens</t>
        </is>
      </c>
      <c r="D70" s="8" t="inlineStr">
        <is>
          <t>12 cylindres en V essence M-17T sur premières versions ; diesel sur BT-7M</t>
        </is>
      </c>
      <c r="E70" s="8" t="inlineStr">
        <is>
          <t>https://tanks-encyclopedia.com/ww2/soviet/bt-7/</t>
        </is>
      </c>
      <c r="F70" s="8" t="inlineStr">
        <is>
          <t>Documenté — variantes</t>
        </is>
      </c>
      <c r="G70" s="8" t="inlineStr">
        <is>
          <t>Important de séparer essence V12 et diesel.</t>
        </is>
      </c>
      <c r="H70" s="8" t="inlineStr">
        <is>
          <t>Série</t>
        </is>
      </c>
      <c r="I70" s="8" t="inlineStr">
        <is>
          <t>Canon de 45 mm 20-K; mitrailleuse DT de 7,62 mm</t>
        </is>
      </c>
      <c r="J70" s="8" t="inlineStr">
        <is>
          <t>Canon et MG</t>
        </is>
      </c>
      <c r="K70" s="8" t="inlineStr">
        <is>
          <t>Élevé</t>
        </is>
      </c>
      <c r="L70" s="8" t="inlineStr">
        <is>
          <t>Non — contenu ultérieur</t>
        </is>
      </c>
      <c r="M70" s="8" t="inlineStr">
        <is>
          <t>À intégrer après validation du prototype</t>
        </is>
      </c>
    </row>
    <row r="71" ht="42" customHeight="1">
      <c r="A71" s="8" t="inlineStr">
        <is>
          <t>T-28</t>
        </is>
      </c>
      <c r="B71" s="8" t="inlineStr">
        <is>
          <t>URSS</t>
        </is>
      </c>
      <c r="C71" s="8" t="inlineStr">
        <is>
          <t>Chars moyens</t>
        </is>
      </c>
      <c r="D71" s="8" t="inlineStr">
        <is>
          <t>12 cylindres en V essence M-17</t>
        </is>
      </c>
      <c r="E71" s="8" t="inlineStr">
        <is>
          <t>https://tanks-encyclopedia.com/ww2/soviet/t-28/</t>
        </is>
      </c>
      <c r="F71" s="8" t="inlineStr">
        <is>
          <t>Documenté</t>
        </is>
      </c>
      <c r="G71" s="8" t="inlineStr">
        <is>
          <t>Char moyen multi-tourelles.</t>
        </is>
      </c>
      <c r="H71" s="8" t="inlineStr">
        <is>
          <t>Série</t>
        </is>
      </c>
      <c r="I71" s="8" t="inlineStr">
        <is>
          <t>Canon de 76,2 mm KT-28 ou L-10 selon version; mitrailleuses DT</t>
        </is>
      </c>
      <c r="J71" s="8" t="inlineStr">
        <is>
          <t>Canon et MG; plusieurs tourelles</t>
        </is>
      </c>
      <c r="K71" s="8" t="inlineStr">
        <is>
          <t>Partiel</t>
        </is>
      </c>
      <c r="L71" s="8" t="inlineStr">
        <is>
          <t>Non — contenu ultérieur</t>
        </is>
      </c>
      <c r="M71" s="8" t="inlineStr">
        <is>
          <t>À intégrer après validation du prototype</t>
        </is>
      </c>
    </row>
    <row r="72" ht="42" customHeight="1">
      <c r="A72" s="8" t="inlineStr">
        <is>
          <t>T-35</t>
        </is>
      </c>
      <c r="B72" s="8" t="inlineStr">
        <is>
          <t>URSS</t>
        </is>
      </c>
      <c r="C72" s="8" t="inlineStr">
        <is>
          <t>Chars lourds et prototypes</t>
        </is>
      </c>
      <c r="D72" s="8" t="inlineStr">
        <is>
          <t>12 cylindres en V essence M-17</t>
        </is>
      </c>
      <c r="E72" s="8" t="inlineStr">
        <is>
          <t>https://tanks-encyclopedia.com/ww2/soviet/t-35/</t>
        </is>
      </c>
      <c r="F72" s="8" t="inlineStr">
        <is>
          <t>Documenté</t>
        </is>
      </c>
      <c r="G72" s="8" t="inlineStr">
        <is>
          <t>Char lourd multi-tourelles, grand encombrement.</t>
        </is>
      </c>
      <c r="H72" s="8" t="inlineStr">
        <is>
          <t>Série</t>
        </is>
      </c>
      <c r="I72" s="8" t="inlineStr">
        <is>
          <t>Canon de 76,2 mm + canons de 45 mm et mitrailleuses DT selon disposition multi-tourelles</t>
        </is>
      </c>
      <c r="J72" s="8" t="inlineStr">
        <is>
          <t>Armes multiples; démontage complexe</t>
        </is>
      </c>
      <c r="K72" s="8" t="inlineStr">
        <is>
          <t>Partiel</t>
        </is>
      </c>
      <c r="L72" s="8" t="inlineStr">
        <is>
          <t>Non — contenu ultérieur</t>
        </is>
      </c>
      <c r="M72" s="8" t="inlineStr">
        <is>
          <t>À intégrer après validation du prototype</t>
        </is>
      </c>
    </row>
    <row r="73" ht="42" customHeight="1">
      <c r="A73" s="8" t="inlineStr">
        <is>
          <t>T-37A</t>
        </is>
      </c>
      <c r="B73" s="8" t="inlineStr">
        <is>
          <t>URSS</t>
        </is>
      </c>
      <c r="C73" s="8" t="inlineStr">
        <is>
          <t>Chars amphibies et spécialisés</t>
        </is>
      </c>
      <c r="D73" s="8" t="inlineStr">
        <is>
          <t>4 cylindres essence GAZ-AA adapté</t>
        </is>
      </c>
      <c r="E73" s="8" t="inlineStr">
        <is>
          <t>https://tanks-encyclopedia.com/ww2/soviet/t-37/</t>
        </is>
      </c>
      <c r="F73" s="8" t="inlineStr">
        <is>
          <t>À vérifier</t>
        </is>
      </c>
      <c r="G73" s="8" t="inlineStr">
        <is>
          <t>Char amphibie léger.</t>
        </is>
      </c>
      <c r="H73" s="8" t="inlineStr">
        <is>
          <t>Série</t>
        </is>
      </c>
      <c r="I73" s="8" t="inlineStr">
        <is>
          <t>Armement historique à déterminer précisément pour ce modèle/sa variante</t>
        </is>
      </c>
      <c r="J73" s="8" t="inlineStr">
        <is>
          <t>Ne récupérer une arme que si elle est présente, identifiable et démontable; vérifier le calibre</t>
        </is>
      </c>
      <c r="K73" s="8" t="inlineStr">
        <is>
          <t>À vérifier</t>
        </is>
      </c>
      <c r="L73" s="8" t="inlineStr">
        <is>
          <t>Non — contenu ultérieur</t>
        </is>
      </c>
      <c r="M73" s="8" t="inlineStr">
        <is>
          <t>À intégrer après validation du prototype</t>
        </is>
      </c>
    </row>
    <row r="74" ht="42" customHeight="1">
      <c r="A74" s="8" t="inlineStr">
        <is>
          <t>T-38</t>
        </is>
      </c>
      <c r="B74" s="8" t="inlineStr">
        <is>
          <t>URSS</t>
        </is>
      </c>
      <c r="C74" s="8" t="inlineStr">
        <is>
          <t>Chars amphibies et spécialisés</t>
        </is>
      </c>
      <c r="D74" s="8" t="inlineStr">
        <is>
          <t>4 cylindres essence GAZ-AA adapté</t>
        </is>
      </c>
      <c r="E74" s="8" t="inlineStr">
        <is>
          <t>https://tanks-encyclopedia.com/ww2/soviet/t-38/</t>
        </is>
      </c>
      <c r="F74" s="8" t="inlineStr">
        <is>
          <t>À vérifier</t>
        </is>
      </c>
      <c r="G74" s="8" t="inlineStr">
        <is>
          <t>Évolution du T-37.</t>
        </is>
      </c>
      <c r="H74" s="8" t="inlineStr">
        <is>
          <t>Série</t>
        </is>
      </c>
      <c r="I74" s="8" t="inlineStr">
        <is>
          <t>Armement historique à déterminer précisément pour ce modèle/sa variante</t>
        </is>
      </c>
      <c r="J74" s="8" t="inlineStr">
        <is>
          <t>Ne récupérer une arme que si elle est présente, identifiable et démontable; vérifier le calibre</t>
        </is>
      </c>
      <c r="K74" s="8" t="inlineStr">
        <is>
          <t>À vérifier</t>
        </is>
      </c>
      <c r="L74" s="8" t="inlineStr">
        <is>
          <t>Non — contenu ultérieur</t>
        </is>
      </c>
      <c r="M74" s="8" t="inlineStr">
        <is>
          <t>À intégrer après validation du prototype</t>
        </is>
      </c>
    </row>
    <row r="75" ht="42" customHeight="1">
      <c r="A75" s="8" t="inlineStr">
        <is>
          <t>T-40</t>
        </is>
      </c>
      <c r="B75" s="8" t="inlineStr">
        <is>
          <t>URSS</t>
        </is>
      </c>
      <c r="C75" s="8" t="inlineStr">
        <is>
          <t>Chars amphibies et spécialisés</t>
        </is>
      </c>
      <c r="D75" s="8" t="inlineStr">
        <is>
          <t>6 cylindres essence GAZ-11</t>
        </is>
      </c>
      <c r="E75" s="8" t="inlineStr">
        <is>
          <t>https://tanks-encyclopedia.com/ww2/soviet/t-40/</t>
        </is>
      </c>
      <c r="F75" s="8" t="inlineStr">
        <is>
          <t>À vérifier</t>
        </is>
      </c>
      <c r="G75" s="8" t="inlineStr">
        <is>
          <t>Char amphibie ; moteur plus puissant.</t>
        </is>
      </c>
      <c r="H75" s="8" t="inlineStr">
        <is>
          <t>Série</t>
        </is>
      </c>
      <c r="I75" s="8" t="inlineStr">
        <is>
          <t>Armement historique à déterminer précisément pour ce modèle/sa variante</t>
        </is>
      </c>
      <c r="J75" s="8" t="inlineStr">
        <is>
          <t>Ne récupérer une arme que si elle est présente, identifiable et démontable; vérifier le calibre</t>
        </is>
      </c>
      <c r="K75" s="8" t="inlineStr">
        <is>
          <t>À vérifier</t>
        </is>
      </c>
      <c r="L75" s="8" t="inlineStr">
        <is>
          <t>Non — contenu ultérieur</t>
        </is>
      </c>
      <c r="M75" s="8" t="inlineStr">
        <is>
          <t>À intégrer après validation du prototype</t>
        </is>
      </c>
    </row>
    <row r="76" ht="42" customHeight="1">
      <c r="A76" s="8" t="inlineStr">
        <is>
          <t>T-50</t>
        </is>
      </c>
      <c r="B76" s="8" t="inlineStr">
        <is>
          <t>URSS</t>
        </is>
      </c>
      <c r="C76" s="8" t="inlineStr">
        <is>
          <t>Chars légers et chars anciens</t>
        </is>
      </c>
      <c r="D76" s="8" t="inlineStr">
        <is>
          <t>6 cylindres diesel V-4</t>
        </is>
      </c>
      <c r="E76" s="8" t="inlineStr">
        <is>
          <t>https://tanks-encyclopedia.com/ww2/soviet/t-50/</t>
        </is>
      </c>
      <c r="F76" s="8" t="inlineStr">
        <is>
          <t>Documenté</t>
        </is>
      </c>
      <c r="G76" s="8" t="inlineStr">
        <is>
          <t>Diesel compact, famille différente du V-2.</t>
        </is>
      </c>
      <c r="H76" s="8" t="inlineStr">
        <is>
          <t>Série</t>
        </is>
      </c>
      <c r="I76" s="8" t="inlineStr">
        <is>
          <t>Armement historique à déterminer précisément pour ce modèle/sa variante</t>
        </is>
      </c>
      <c r="J76" s="8" t="inlineStr">
        <is>
          <t>Ne récupérer une arme que si elle est présente, identifiable et démontable; vérifier le calibre</t>
        </is>
      </c>
      <c r="K76" s="8" t="inlineStr">
        <is>
          <t>À vérifier</t>
        </is>
      </c>
      <c r="L76" s="8" t="inlineStr">
        <is>
          <t>Non — contenu ultérieur</t>
        </is>
      </c>
      <c r="M76" s="8" t="inlineStr">
        <is>
          <t>À intégrer après validation du prototype</t>
        </is>
      </c>
    </row>
    <row r="77" ht="42" customHeight="1">
      <c r="A77" s="8" t="inlineStr">
        <is>
          <t>T-80 light tank</t>
        </is>
      </c>
      <c r="B77" s="8" t="inlineStr">
        <is>
          <t>URSS</t>
        </is>
      </c>
      <c r="C77" s="8" t="inlineStr">
        <is>
          <t>Chars légers et chars anciens</t>
        </is>
      </c>
      <c r="D77" s="8" t="inlineStr">
        <is>
          <t>6 cylindres essence GAZ-203, ensemble de deux moteurs</t>
        </is>
      </c>
      <c r="E77" s="8" t="inlineStr">
        <is>
          <t>https://tanks-encyclopedia.com/ww2/soviet/t-80/</t>
        </is>
      </c>
      <c r="F77" s="8" t="inlineStr">
        <is>
          <t>À vérifier</t>
        </is>
      </c>
      <c r="G77" s="8" t="inlineStr">
        <is>
          <t>Variante tardive du T-70.</t>
        </is>
      </c>
      <c r="H77" s="8" t="inlineStr">
        <is>
          <t>Série</t>
        </is>
      </c>
      <c r="I77" s="8" t="inlineStr">
        <is>
          <t>Armement historique à déterminer précisément pour ce modèle/sa variante</t>
        </is>
      </c>
      <c r="J77" s="8" t="inlineStr">
        <is>
          <t>Ne récupérer une arme que si elle est présente, identifiable et démontable; vérifier le calibre</t>
        </is>
      </c>
      <c r="K77" s="8" t="inlineStr">
        <is>
          <t>À vérifier</t>
        </is>
      </c>
      <c r="L77" s="8" t="inlineStr">
        <is>
          <t>Non — contenu ultérieur</t>
        </is>
      </c>
      <c r="M77" s="8" t="inlineStr">
        <is>
          <t>À intégrer après validation du prototype</t>
        </is>
      </c>
    </row>
    <row r="78" ht="42" customHeight="1">
      <c r="A78" s="8" t="inlineStr">
        <is>
          <t>T-34/76</t>
        </is>
      </c>
      <c r="B78" s="8" t="inlineStr">
        <is>
          <t>URSS</t>
        </is>
      </c>
      <c r="C78" s="8" t="inlineStr">
        <is>
          <t>Chars moyens</t>
        </is>
      </c>
      <c r="D78" s="8" t="inlineStr">
        <is>
          <t>V12 diesel V-2</t>
        </is>
      </c>
      <c r="E78" s="8" t="inlineStr">
        <is>
          <t>https://tanks-encyclopedia.com/ww2/soviet/t-34/</t>
        </is>
      </c>
      <c r="F78" s="8" t="inlineStr">
        <is>
          <t>Documenté</t>
        </is>
      </c>
      <c r="G78" s="8" t="inlineStr">
        <is>
          <t>Famille V12 diesel très importante pour le catalogue.</t>
        </is>
      </c>
      <c r="H78" s="8" t="inlineStr">
        <is>
          <t>Série</t>
        </is>
      </c>
      <c r="I78" s="8" t="inlineStr">
        <is>
          <t>Canon de 76,2 mm L-11/F-34 selon modèle; 2 mitrailleuses DT de 7,62 mm</t>
        </is>
      </c>
      <c r="J78" s="8" t="inlineStr">
        <is>
          <t>Canon et MG; variante précise importante</t>
        </is>
      </c>
      <c r="K78" s="8" t="inlineStr">
        <is>
          <t>Élevé</t>
        </is>
      </c>
      <c r="L78" s="8" t="inlineStr">
        <is>
          <t>Non — contenu ultérieur</t>
        </is>
      </c>
      <c r="M78" s="8" t="inlineStr">
        <is>
          <t>À intégrer après validation du prototype</t>
        </is>
      </c>
    </row>
    <row r="79" ht="42" customHeight="1">
      <c r="A79" s="8" t="inlineStr">
        <is>
          <t>T-34/85</t>
        </is>
      </c>
      <c r="B79" s="8" t="inlineStr">
        <is>
          <t>URSS</t>
        </is>
      </c>
      <c r="C79" s="8" t="inlineStr">
        <is>
          <t>Chars moyens</t>
        </is>
      </c>
      <c r="D79" s="8" t="inlineStr">
        <is>
          <t>V12 diesel V-2-34</t>
        </is>
      </c>
      <c r="E79" s="8" t="inlineStr">
        <is>
          <t>https://tanks-encyclopedia.com/ww2/soviet/t-34-85/</t>
        </is>
      </c>
      <c r="F79" s="8" t="inlineStr">
        <is>
          <t>Documenté</t>
        </is>
      </c>
      <c r="G79" s="8" t="inlineStr">
        <is>
          <t>Évolution tardive du T-34.</t>
        </is>
      </c>
      <c r="H79" s="8" t="inlineStr">
        <is>
          <t>Série</t>
        </is>
      </c>
      <c r="I79" s="8" t="inlineStr">
        <is>
          <t>Canon de 76,2 mm L-11/F-34 selon modèle; 2 mitrailleuses DT de 7,62 mm</t>
        </is>
      </c>
      <c r="J79" s="8" t="inlineStr">
        <is>
          <t>Canon et MG; variante précise importante</t>
        </is>
      </c>
      <c r="K79" s="8" t="inlineStr">
        <is>
          <t>Élevé</t>
        </is>
      </c>
      <c r="L79" s="8" t="inlineStr">
        <is>
          <t>Non — contenu ultérieur</t>
        </is>
      </c>
      <c r="M79" s="8" t="inlineStr">
        <is>
          <t>À intégrer après validation du prototype</t>
        </is>
      </c>
    </row>
    <row r="80" ht="42" customHeight="1">
      <c r="A80" s="8" t="inlineStr">
        <is>
          <t>KV-1</t>
        </is>
      </c>
      <c r="B80" s="8" t="inlineStr">
        <is>
          <t>URSS</t>
        </is>
      </c>
      <c r="C80" s="8" t="inlineStr">
        <is>
          <t>Chars lourds et prototypes</t>
        </is>
      </c>
      <c r="D80" s="8" t="inlineStr">
        <is>
          <t>V12 diesel V-2K</t>
        </is>
      </c>
      <c r="E80" s="8" t="inlineStr">
        <is>
          <t>https://tanks-encyclopedia.com/ww2/soviet/kv-1/</t>
        </is>
      </c>
      <c r="F80" s="8" t="inlineStr">
        <is>
          <t>Documenté</t>
        </is>
      </c>
      <c r="G80" s="8" t="inlineStr">
        <is>
          <t>Famille diesel apparentée au V-2 du T-34, réglage différent.</t>
        </is>
      </c>
      <c r="H80" s="8" t="inlineStr">
        <is>
          <t>Série</t>
        </is>
      </c>
      <c r="I80" s="8" t="inlineStr">
        <is>
          <t>Canon de 76,2 mm (L-11, F-32 ou F-34 selon version); mitrailleuses DT de 7,62 mm</t>
        </is>
      </c>
      <c r="J80" s="8" t="inlineStr">
        <is>
          <t>Canon et MG</t>
        </is>
      </c>
      <c r="K80" s="8" t="inlineStr">
        <is>
          <t>Partiel</t>
        </is>
      </c>
      <c r="L80" s="8" t="inlineStr">
        <is>
          <t>Non — contenu ultérieur</t>
        </is>
      </c>
      <c r="M80" s="8" t="inlineStr">
        <is>
          <t>À intégrer après validation du prototype</t>
        </is>
      </c>
    </row>
    <row r="81" ht="42" customHeight="1">
      <c r="A81" s="8" t="inlineStr">
        <is>
          <t>KV-2</t>
        </is>
      </c>
      <c r="B81" s="8" t="inlineStr">
        <is>
          <t>URSS</t>
        </is>
      </c>
      <c r="C81" s="8" t="inlineStr">
        <is>
          <t>Chars lourds et prototypes</t>
        </is>
      </c>
      <c r="D81" s="8" t="inlineStr">
        <is>
          <t>V12 diesel V-2K</t>
        </is>
      </c>
      <c r="E81" s="8" t="inlineStr">
        <is>
          <t>https://tanks-encyclopedia.com/ww2/soviet/kv-2/</t>
        </is>
      </c>
      <c r="F81" s="8" t="inlineStr">
        <is>
          <t>Documenté</t>
        </is>
      </c>
      <c r="G81" s="8" t="inlineStr">
        <is>
          <t>Châssis KV avec tourelle très lourde.</t>
        </is>
      </c>
      <c r="H81" s="8" t="inlineStr">
        <is>
          <t>Série</t>
        </is>
      </c>
      <c r="I81" s="8" t="inlineStr">
        <is>
          <t>Obusier de 152 mm M-10T; mitrailleuses DT de 7,62 mm</t>
        </is>
      </c>
      <c r="J81" s="8" t="inlineStr">
        <is>
          <t>Obusier très lourd et MG</t>
        </is>
      </c>
      <c r="K81" s="8" t="inlineStr">
        <is>
          <t>Élevé</t>
        </is>
      </c>
      <c r="L81" s="8" t="inlineStr">
        <is>
          <t>Non — contenu ultérieur</t>
        </is>
      </c>
      <c r="M81" s="8" t="inlineStr">
        <is>
          <t>À intégrer après validation du prototype</t>
        </is>
      </c>
    </row>
    <row r="82" ht="42" customHeight="1">
      <c r="A82" s="8" t="inlineStr">
        <is>
          <t>KV-1S</t>
        </is>
      </c>
      <c r="B82" s="8" t="inlineStr">
        <is>
          <t>URSS</t>
        </is>
      </c>
      <c r="C82" s="8" t="inlineStr">
        <is>
          <t>Chars lourds et prototypes</t>
        </is>
      </c>
      <c r="D82" s="8" t="inlineStr">
        <is>
          <t>V12 diesel V-2K</t>
        </is>
      </c>
      <c r="E82" s="8" t="inlineStr">
        <is>
          <t>https://tanks-encyclopedia.com/ww2/soviet/kv-1s/</t>
        </is>
      </c>
      <c r="F82" s="8" t="inlineStr">
        <is>
          <t>Documenté</t>
        </is>
      </c>
      <c r="G82" s="8" t="inlineStr">
        <is>
          <t>Version allégée du KV-1.</t>
        </is>
      </c>
      <c r="H82" s="8" t="inlineStr">
        <is>
          <t>Série</t>
        </is>
      </c>
      <c r="I82" s="8" t="inlineStr">
        <is>
          <t>Canon de 76,2 mm (L-11, F-32 ou F-34 selon version); mitrailleuses DT de 7,62 mm</t>
        </is>
      </c>
      <c r="J82" s="8" t="inlineStr">
        <is>
          <t>Canon et MG</t>
        </is>
      </c>
      <c r="K82" s="8" t="inlineStr">
        <is>
          <t>Partiel</t>
        </is>
      </c>
      <c r="L82" s="8" t="inlineStr">
        <is>
          <t>Non — contenu ultérieur</t>
        </is>
      </c>
      <c r="M82" s="8" t="inlineStr">
        <is>
          <t>À intégrer après validation du prototype</t>
        </is>
      </c>
    </row>
    <row r="83" ht="42" customHeight="1">
      <c r="A83" s="8" t="inlineStr">
        <is>
          <t>KV-85</t>
        </is>
      </c>
      <c r="B83" s="8" t="inlineStr">
        <is>
          <t>URSS</t>
        </is>
      </c>
      <c r="C83" s="8" t="inlineStr">
        <is>
          <t>Chars lourds et prototypes</t>
        </is>
      </c>
      <c r="D83" s="8" t="inlineStr">
        <is>
          <t>V12 diesel V-2K</t>
        </is>
      </c>
      <c r="E83" s="8" t="inlineStr">
        <is>
          <t>https://tanks-encyclopedia.com/ww2/soviet/kv-85/</t>
        </is>
      </c>
      <c r="F83" s="8" t="inlineStr">
        <is>
          <t>Documenté</t>
        </is>
      </c>
      <c r="G83" s="8" t="inlineStr">
        <is>
          <t>Modèle de transition vers la série IS.</t>
        </is>
      </c>
      <c r="H83" s="8" t="inlineStr">
        <is>
          <t>Série</t>
        </is>
      </c>
      <c r="I83" s="8" t="inlineStr">
        <is>
          <t>Armement historique à déterminer précisément pour ce modèle/sa variante</t>
        </is>
      </c>
      <c r="J83" s="8" t="inlineStr">
        <is>
          <t>Ne récupérer une arme que si elle est présente, identifiable et démontable; vérifier le calibre</t>
        </is>
      </c>
      <c r="K83" s="8" t="inlineStr">
        <is>
          <t>À vérifier</t>
        </is>
      </c>
      <c r="L83" s="8" t="inlineStr">
        <is>
          <t>Non — contenu ultérieur</t>
        </is>
      </c>
      <c r="M83" s="8" t="inlineStr">
        <is>
          <t>À intégrer après validation du prototype</t>
        </is>
      </c>
    </row>
    <row r="84" ht="42" customHeight="1">
      <c r="A84" s="8" t="inlineStr">
        <is>
          <t>IS-1</t>
        </is>
      </c>
      <c r="B84" s="8" t="inlineStr">
        <is>
          <t>URSS</t>
        </is>
      </c>
      <c r="C84" s="8" t="inlineStr">
        <is>
          <t>Chars lourds et prototypes</t>
        </is>
      </c>
      <c r="D84" s="8" t="inlineStr">
        <is>
          <t>V12 diesel V-2-IS</t>
        </is>
      </c>
      <c r="E84" s="8" t="inlineStr">
        <is>
          <t>https://tanks-encyclopedia.com/ww2/soviet/is-1/</t>
        </is>
      </c>
      <c r="F84" s="8" t="inlineStr">
        <is>
          <t>À vérifier</t>
        </is>
      </c>
      <c r="G84" s="8" t="inlineStr">
        <is>
          <t>Char lourd de transition.</t>
        </is>
      </c>
      <c r="H84" s="8" t="inlineStr">
        <is>
          <t>Série</t>
        </is>
      </c>
      <c r="I84" s="8" t="inlineStr">
        <is>
          <t>Armement historique à déterminer précisément pour ce modèle/sa variante</t>
        </is>
      </c>
      <c r="J84" s="8" t="inlineStr">
        <is>
          <t>Ne récupérer une arme que si elle est présente, identifiable et démontable; vérifier le calibre</t>
        </is>
      </c>
      <c r="K84" s="8" t="inlineStr">
        <is>
          <t>À vérifier</t>
        </is>
      </c>
      <c r="L84" s="8" t="inlineStr">
        <is>
          <t>Non — contenu ultérieur</t>
        </is>
      </c>
      <c r="M84" s="8" t="inlineStr">
        <is>
          <t>À intégrer après validation du prototype</t>
        </is>
      </c>
    </row>
    <row r="85" ht="42" customHeight="1">
      <c r="A85" s="8" t="inlineStr">
        <is>
          <t>SU-100</t>
        </is>
      </c>
      <c r="B85" s="8" t="inlineStr">
        <is>
          <t>URSS</t>
        </is>
      </c>
      <c r="C85" s="8" t="inlineStr">
        <is>
          <t>Chasseurs de chars et canons automoteurs</t>
        </is>
      </c>
      <c r="D85" s="8" t="inlineStr">
        <is>
          <t>V12 diesel V-2-34</t>
        </is>
      </c>
      <c r="E85" s="8" t="inlineStr">
        <is>
          <t>https://tanks-encyclopedia.com/ww2/soviet/su-100/</t>
        </is>
      </c>
      <c r="F85" s="8" t="inlineStr">
        <is>
          <t>Documenté</t>
        </is>
      </c>
      <c r="G85" s="8" t="inlineStr">
        <is>
          <t>Canon automoteur tardif ; conception antérieure à 1945.</t>
        </is>
      </c>
      <c r="H85" s="8" t="inlineStr">
        <is>
          <t>Série</t>
        </is>
      </c>
      <c r="I85" s="8" t="inlineStr">
        <is>
          <t>Canon antichar de 100 mm D-10S</t>
        </is>
      </c>
      <c r="J85" s="8" t="inlineStr">
        <is>
          <t>Canon principal; pas de MG fixe standard</t>
        </is>
      </c>
      <c r="K85" s="8" t="inlineStr">
        <is>
          <t>Élevé</t>
        </is>
      </c>
      <c r="L85" s="8" t="inlineStr">
        <is>
          <t>Non — contenu ultérieur</t>
        </is>
      </c>
      <c r="M85" s="8" t="inlineStr">
        <is>
          <t>À intégrer après validation du prototype</t>
        </is>
      </c>
    </row>
    <row r="86" ht="42" customHeight="1">
      <c r="A86" s="8" t="inlineStr">
        <is>
          <t>SU-122</t>
        </is>
      </c>
      <c r="B86" s="8" t="inlineStr">
        <is>
          <t>URSS</t>
        </is>
      </c>
      <c r="C86" s="8" t="inlineStr">
        <is>
          <t>Chasseurs de chars et canons automoteurs</t>
        </is>
      </c>
      <c r="D86" s="8" t="inlineStr">
        <is>
          <t>V12 diesel V-2</t>
        </is>
      </c>
      <c r="E86" s="8" t="inlineStr">
        <is>
          <t>https://tanks-encyclopedia.com/ww2/soviet/su-122/</t>
        </is>
      </c>
      <c r="F86" s="8" t="inlineStr">
        <is>
          <t>Documenté</t>
        </is>
      </c>
      <c r="G86" s="8" t="inlineStr">
        <is>
          <t>Dérivé du T-34.</t>
        </is>
      </c>
      <c r="H86" s="8" t="inlineStr">
        <is>
          <t>Série</t>
        </is>
      </c>
      <c r="I86" s="8" t="inlineStr">
        <is>
          <t>Armement historique à déterminer précisément pour ce modèle/sa variante</t>
        </is>
      </c>
      <c r="J86" s="8" t="inlineStr">
        <is>
          <t>Ne récupérer une arme que si elle est présente, identifiable et démontable; vérifier le calibre</t>
        </is>
      </c>
      <c r="K86" s="8" t="inlineStr">
        <is>
          <t>À vérifier</t>
        </is>
      </c>
      <c r="L86" s="8" t="inlineStr">
        <is>
          <t>Non — contenu ultérieur</t>
        </is>
      </c>
      <c r="M86" s="8" t="inlineStr">
        <is>
          <t>À intégrer après validation du prototype</t>
        </is>
      </c>
    </row>
    <row r="87" ht="42" customHeight="1">
      <c r="A87" s="8" t="inlineStr">
        <is>
          <t>SU-152</t>
        </is>
      </c>
      <c r="B87" s="8" t="inlineStr">
        <is>
          <t>URSS</t>
        </is>
      </c>
      <c r="C87" s="8" t="inlineStr">
        <is>
          <t>Chasseurs de chars et canons automoteurs</t>
        </is>
      </c>
      <c r="D87" s="8" t="inlineStr">
        <is>
          <t>V12 diesel V-2K</t>
        </is>
      </c>
      <c r="E87" s="8" t="inlineStr">
        <is>
          <t>https://tanks-encyclopedia.com/ww2/soviet/su-152/</t>
        </is>
      </c>
      <c r="F87" s="8" t="inlineStr">
        <is>
          <t>Documenté</t>
        </is>
      </c>
      <c r="G87" s="8" t="inlineStr">
        <is>
          <t>Dérivé du châssis KV.</t>
        </is>
      </c>
      <c r="H87" s="8" t="inlineStr">
        <is>
          <t>Série</t>
        </is>
      </c>
      <c r="I87" s="8" t="inlineStr">
        <is>
          <t>Obusier-canon de 152 mm ML-20S</t>
        </is>
      </c>
      <c r="J87" s="8" t="inlineStr">
        <is>
          <t>Arme principale lourde</t>
        </is>
      </c>
      <c r="K87" s="8" t="inlineStr">
        <is>
          <t>Élevé</t>
        </is>
      </c>
      <c r="L87" s="8" t="inlineStr">
        <is>
          <t>Non — contenu ultérieur</t>
        </is>
      </c>
      <c r="M87" s="8" t="inlineStr">
        <is>
          <t>À intégrer après validation du prototype</t>
        </is>
      </c>
    </row>
    <row r="88" ht="42" customHeight="1">
      <c r="A88" s="8" t="inlineStr">
        <is>
          <t>ISU-122</t>
        </is>
      </c>
      <c r="B88" s="8" t="inlineStr">
        <is>
          <t>URSS</t>
        </is>
      </c>
      <c r="C88" s="8" t="inlineStr">
        <is>
          <t>Chasseurs de chars et canons automoteurs</t>
        </is>
      </c>
      <c r="D88" s="8" t="inlineStr">
        <is>
          <t>V12 diesel V-2-IS</t>
        </is>
      </c>
      <c r="E88" s="8" t="inlineStr">
        <is>
          <t>https://tanks-encyclopedia.com/ww2/soviet/isu-122/</t>
        </is>
      </c>
      <c r="F88" s="8" t="inlineStr">
        <is>
          <t>À vérifier</t>
        </is>
      </c>
      <c r="G88" s="8" t="inlineStr">
        <is>
          <t>Châssis IS, groupe moteur de la famille V-2.</t>
        </is>
      </c>
      <c r="H88" s="8" t="inlineStr">
        <is>
          <t>Série</t>
        </is>
      </c>
      <c r="I88" s="8" t="inlineStr">
        <is>
          <t>Canon de 122 mm A-19S ou D-25S selon version</t>
        </is>
      </c>
      <c r="J88" s="8" t="inlineStr">
        <is>
          <t>Canon principal lourd</t>
        </is>
      </c>
      <c r="K88" s="8" t="inlineStr">
        <is>
          <t>Partiel</t>
        </is>
      </c>
      <c r="L88" s="8" t="inlineStr">
        <is>
          <t>Non — contenu ultérieur</t>
        </is>
      </c>
      <c r="M88" s="8" t="inlineStr">
        <is>
          <t>À intégrer après validation du prototype</t>
        </is>
      </c>
    </row>
    <row r="89" ht="42" customHeight="1">
      <c r="A89" s="8" t="inlineStr">
        <is>
          <t>ISU-152</t>
        </is>
      </c>
      <c r="B89" s="8" t="inlineStr">
        <is>
          <t>URSS</t>
        </is>
      </c>
      <c r="C89" s="8" t="inlineStr">
        <is>
          <t>Chasseurs de chars et canons automoteurs</t>
        </is>
      </c>
      <c r="D89" s="8" t="inlineStr">
        <is>
          <t>V12 diesel V-2-IS</t>
        </is>
      </c>
      <c r="E89" s="8" t="inlineStr">
        <is>
          <t>https://tanks-encyclopedia.com/ww2/soviet/isu-152/</t>
        </is>
      </c>
      <c r="F89" s="8" t="inlineStr">
        <is>
          <t>Documenté</t>
        </is>
      </c>
      <c r="G89" s="8" t="inlineStr">
        <is>
          <t>Châssis IS lourd.</t>
        </is>
      </c>
      <c r="H89" s="8" t="inlineStr">
        <is>
          <t>Série</t>
        </is>
      </c>
      <c r="I89" s="8" t="inlineStr">
        <is>
          <t>Obusier-canon de 152 mm ML-20S</t>
        </is>
      </c>
      <c r="J89" s="8" t="inlineStr">
        <is>
          <t>Arme principale lourde</t>
        </is>
      </c>
      <c r="K89" s="8" t="inlineStr">
        <is>
          <t>Élevé</t>
        </is>
      </c>
      <c r="L89" s="8" t="inlineStr">
        <is>
          <t>Non — contenu ultérieur</t>
        </is>
      </c>
      <c r="M89" s="8" t="inlineStr">
        <is>
          <t>À intégrer après validation du prototype</t>
        </is>
      </c>
    </row>
    <row r="90" ht="42" customHeight="1">
      <c r="A90" s="8" t="inlineStr">
        <is>
          <t>Type 89 I-Go</t>
        </is>
      </c>
      <c r="B90" s="8" t="inlineStr">
        <is>
          <t>Japon</t>
        </is>
      </c>
      <c r="C90" s="8" t="inlineStr">
        <is>
          <t>Chars légers et chars anciens</t>
        </is>
      </c>
      <c r="D90" s="8" t="inlineStr">
        <is>
          <t>6 cylindres essence / diesel selon variante (à préciser)</t>
        </is>
      </c>
      <c r="E90" s="8" t="inlineStr">
        <is>
          <t>https://onwar.com/wwii/tanks/japan/index.html</t>
        </is>
      </c>
      <c r="F90" s="8" t="inlineStr">
        <is>
          <t>À vérifier</t>
        </is>
      </c>
      <c r="G90" s="8" t="inlineStr">
        <is>
          <t>Ancien char moyen ; différencier Type 89A et 89B.</t>
        </is>
      </c>
      <c r="H90" s="8" t="inlineStr">
        <is>
          <t>Série</t>
        </is>
      </c>
      <c r="I90" s="8" t="inlineStr">
        <is>
          <t>Armement historique à déterminer précisément pour ce modèle/sa variante</t>
        </is>
      </c>
      <c r="J90" s="8" t="inlineStr">
        <is>
          <t>Ne récupérer une arme que si elle est présente, identifiable et démontable; vérifier le calibre</t>
        </is>
      </c>
      <c r="K90" s="8" t="inlineStr">
        <is>
          <t>À vérifier</t>
        </is>
      </c>
      <c r="L90" s="8" t="inlineStr">
        <is>
          <t>Non — contenu ultérieur</t>
        </is>
      </c>
      <c r="M90" s="8" t="inlineStr">
        <is>
          <t>À intégrer après validation du prototype</t>
        </is>
      </c>
    </row>
    <row r="91" ht="42" customHeight="1">
      <c r="A91" s="8" t="inlineStr">
        <is>
          <t>Type 92 Jyu-Sokosha</t>
        </is>
      </c>
      <c r="B91" s="8" t="inlineStr">
        <is>
          <t>Japon</t>
        </is>
      </c>
      <c r="C91" s="8" t="inlineStr">
        <is>
          <t>Chars légers et chars anciens</t>
        </is>
      </c>
      <c r="D91" s="8" t="inlineStr">
        <is>
          <t>4 cylindres essence (à confirmer)</t>
        </is>
      </c>
      <c r="E91" s="8" t="inlineStr">
        <is>
          <t>https://onwar.com/wwii/tanks/japan/index.html</t>
        </is>
      </c>
      <c r="F91" s="8" t="inlineStr">
        <is>
          <t>À vérifier</t>
        </is>
      </c>
      <c r="G91" s="8" t="inlineStr">
        <is>
          <t>Tankette de cavalerie.</t>
        </is>
      </c>
      <c r="H91" s="8" t="inlineStr">
        <is>
          <t>Série</t>
        </is>
      </c>
      <c r="I91" s="8" t="inlineStr">
        <is>
          <t>Armement historique à déterminer précisément pour ce modèle/sa variante</t>
        </is>
      </c>
      <c r="J91" s="8" t="inlineStr">
        <is>
          <t>Ne récupérer une arme que si elle est présente, identifiable et démontable; vérifier le calibre</t>
        </is>
      </c>
      <c r="K91" s="8" t="inlineStr">
        <is>
          <t>À vérifier</t>
        </is>
      </c>
      <c r="L91" s="8" t="inlineStr">
        <is>
          <t>Non — contenu ultérieur</t>
        </is>
      </c>
      <c r="M91" s="8" t="inlineStr">
        <is>
          <t>À intégrer après validation du prototype</t>
        </is>
      </c>
    </row>
    <row r="92" ht="42" customHeight="1">
      <c r="A92" s="8" t="inlineStr">
        <is>
          <t>Type 94 tankette</t>
        </is>
      </c>
      <c r="B92" s="8" t="inlineStr">
        <is>
          <t>Japon</t>
        </is>
      </c>
      <c r="C92" s="8" t="inlineStr">
        <is>
          <t>Chars légers et chars anciens</t>
        </is>
      </c>
      <c r="D92" s="8" t="inlineStr">
        <is>
          <t>4 cylindres essence (à confirmer)</t>
        </is>
      </c>
      <c r="E92" s="8" t="inlineStr">
        <is>
          <t>https://onwar.com/wwii/tanks/japan/index.html</t>
        </is>
      </c>
      <c r="F92" s="8" t="inlineStr">
        <is>
          <t>À vérifier</t>
        </is>
      </c>
      <c r="G92" s="8" t="inlineStr">
        <is>
          <t>Très petit châssis de reconnaissance.</t>
        </is>
      </c>
      <c r="H92" s="8" t="inlineStr">
        <is>
          <t>Série</t>
        </is>
      </c>
      <c r="I92" s="8" t="inlineStr">
        <is>
          <t>Armement historique à déterminer précisément pour ce modèle/sa variante</t>
        </is>
      </c>
      <c r="J92" s="8" t="inlineStr">
        <is>
          <t>Ne récupérer une arme que si elle est présente, identifiable et démontable; vérifier le calibre</t>
        </is>
      </c>
      <c r="K92" s="8" t="inlineStr">
        <is>
          <t>À vérifier</t>
        </is>
      </c>
      <c r="L92" s="8" t="inlineStr">
        <is>
          <t>Non — contenu ultérieur</t>
        </is>
      </c>
      <c r="M92" s="8" t="inlineStr">
        <is>
          <t>À intégrer après validation du prototype</t>
        </is>
      </c>
    </row>
    <row r="93" ht="42" customHeight="1">
      <c r="A93" s="8" t="inlineStr">
        <is>
          <t>Type 95 Ha-Go</t>
        </is>
      </c>
      <c r="B93" s="8" t="inlineStr">
        <is>
          <t>Japon</t>
        </is>
      </c>
      <c r="C93" s="8" t="inlineStr">
        <is>
          <t>Chars légers et chars anciens</t>
        </is>
      </c>
      <c r="D93" s="8" t="inlineStr">
        <is>
          <t>6 cylindres diesel Mitsubishi A6120VD</t>
        </is>
      </c>
      <c r="E93" s="8" t="inlineStr">
        <is>
          <t>https://worldoftanks.com/en/news/general-news/about-ha-go/</t>
        </is>
      </c>
      <c r="F93" s="8" t="inlineStr">
        <is>
          <t>Documenté</t>
        </is>
      </c>
      <c r="G93" s="8" t="inlineStr">
        <is>
          <t>Moteur diesel japonais, famille spécifique.</t>
        </is>
      </c>
      <c r="H93" s="8" t="inlineStr">
        <is>
          <t>Série</t>
        </is>
      </c>
      <c r="I93" s="8" t="inlineStr">
        <is>
          <t>Canon de 37 mm Type 94 ou 37 mm Type 98 selon version; mitrailleuses Type 97 de 7,7 mm</t>
        </is>
      </c>
      <c r="J93" s="8" t="inlineStr">
        <is>
          <t>Canon et mitrailleuses selon variante</t>
        </is>
      </c>
      <c r="K93" s="8" t="inlineStr">
        <is>
          <t>Partiel</t>
        </is>
      </c>
      <c r="L93" s="8" t="inlineStr">
        <is>
          <t>Non — contenu ultérieur</t>
        </is>
      </c>
      <c r="M93" s="8" t="inlineStr">
        <is>
          <t>À intégrer après validation du prototype</t>
        </is>
      </c>
    </row>
    <row r="94" ht="42" customHeight="1">
      <c r="A94" s="8" t="inlineStr">
        <is>
          <t>Type 97 Shinhoto Chi-Ha</t>
        </is>
      </c>
      <c r="B94" s="8" t="inlineStr">
        <is>
          <t>Japon</t>
        </is>
      </c>
      <c r="C94" s="8" t="inlineStr">
        <is>
          <t>Chars moyens</t>
        </is>
      </c>
      <c r="D94" s="8" t="inlineStr">
        <is>
          <t>V12 diesel Mitsubishi (famille Chi-Ha, code à confirmer)</t>
        </is>
      </c>
      <c r="E94" s="8" t="inlineStr">
        <is>
          <t>https://onwar.com/wwii/tanks/japan/index.html</t>
        </is>
      </c>
      <c r="F94" s="8" t="inlineStr">
        <is>
          <t>À vérifier</t>
        </is>
      </c>
      <c r="G94" s="8" t="inlineStr">
        <is>
          <t>Variante tardive avec tourelle différente.</t>
        </is>
      </c>
      <c r="H94" s="8" t="inlineStr">
        <is>
          <t>Série</t>
        </is>
      </c>
      <c r="I94" s="8" t="inlineStr">
        <is>
          <t>Armement historique à déterminer précisément pour ce modèle/sa variante</t>
        </is>
      </c>
      <c r="J94" s="8" t="inlineStr">
        <is>
          <t>Ne récupérer une arme que si elle est présente, identifiable et démontable; vérifier le calibre</t>
        </is>
      </c>
      <c r="K94" s="8" t="inlineStr">
        <is>
          <t>À vérifier</t>
        </is>
      </c>
      <c r="L94" s="8" t="inlineStr">
        <is>
          <t>Non — contenu ultérieur</t>
        </is>
      </c>
      <c r="M94" s="8" t="inlineStr">
        <is>
          <t>À intégrer après validation du prototype</t>
        </is>
      </c>
    </row>
    <row r="95" ht="42" customHeight="1">
      <c r="A95" s="8" t="inlineStr">
        <is>
          <t>Type 1 Chi-He</t>
        </is>
      </c>
      <c r="B95" s="8" t="inlineStr">
        <is>
          <t>Japon</t>
        </is>
      </c>
      <c r="C95" s="8" t="inlineStr">
        <is>
          <t>Chars moyens</t>
        </is>
      </c>
      <c r="D95" s="8" t="inlineStr">
        <is>
          <t>V12 diesel Mitsubishi (famille à confirmer)</t>
        </is>
      </c>
      <c r="E95" s="8" t="inlineStr">
        <is>
          <t>https://onwar.com/wwii/tanks/japan/index.html</t>
        </is>
      </c>
      <c r="F95" s="8" t="inlineStr">
        <is>
          <t>À vérifier</t>
        </is>
      </c>
      <c r="G95" s="8" t="inlineStr">
        <is>
          <t>Évolution du Chi-Ha.</t>
        </is>
      </c>
      <c r="H95" s="8" t="inlineStr">
        <is>
          <t>Série</t>
        </is>
      </c>
      <c r="I95" s="8" t="inlineStr">
        <is>
          <t>Canon de 47 mm Type 1; mitrailleuses Type 97 de 7,7 mm</t>
        </is>
      </c>
      <c r="J95" s="8" t="inlineStr">
        <is>
          <t>Canon et MG</t>
        </is>
      </c>
      <c r="K95" s="8" t="inlineStr">
        <is>
          <t>Partiel</t>
        </is>
      </c>
      <c r="L95" s="8" t="inlineStr">
        <is>
          <t>Non — contenu ultérieur</t>
        </is>
      </c>
      <c r="M95" s="8" t="inlineStr">
        <is>
          <t>À intégrer après validation du prototype</t>
        </is>
      </c>
    </row>
    <row r="96" ht="42" customHeight="1">
      <c r="A96" s="8" t="inlineStr">
        <is>
          <t>Type 2 Ho-I</t>
        </is>
      </c>
      <c r="B96" s="8" t="inlineStr">
        <is>
          <t>Japon</t>
        </is>
      </c>
      <c r="C96" s="8" t="inlineStr">
        <is>
          <t>Chasseurs de chars et canons automoteurs</t>
        </is>
      </c>
      <c r="D96" s="8" t="inlineStr">
        <is>
          <t>V12 diesel Mitsubishi (à confirmer)</t>
        </is>
      </c>
      <c r="E96" s="8" t="inlineStr">
        <is>
          <t>https://onwar.com/wwii/tanks/japan/index.html</t>
        </is>
      </c>
      <c r="F96" s="8" t="inlineStr">
        <is>
          <t>Prototype / à vérifier</t>
        </is>
      </c>
      <c r="G96" s="8" t="inlineStr">
        <is>
          <t>Char d'appui rapproché, production très limitée.</t>
        </is>
      </c>
      <c r="H96" s="8" t="inlineStr">
        <is>
          <t>Prototype/projet — distinguer du matériel de série</t>
        </is>
      </c>
      <c r="I96" s="8" t="inlineStr">
        <is>
          <t>Armement historique à déterminer précisément pour ce modèle/sa variante — variante/projet à confirmer</t>
        </is>
      </c>
      <c r="J96" s="8" t="inlineStr">
        <is>
          <t>Ne récupérer une arme que si elle est présente, identifiable et démontable; vérifier le calibre</t>
        </is>
      </c>
      <c r="K96" s="8" t="inlineStr">
        <is>
          <t>Projet</t>
        </is>
      </c>
      <c r="L96" s="8" t="inlineStr">
        <is>
          <t>Non — contenu ultérieur</t>
        </is>
      </c>
      <c r="M96" s="8" t="inlineStr">
        <is>
          <t>À intégrer après validation du prototype</t>
        </is>
      </c>
    </row>
    <row r="97" ht="42" customHeight="1">
      <c r="A97" s="8" t="inlineStr">
        <is>
          <t>Type 3 Chi-Nu</t>
        </is>
      </c>
      <c r="B97" s="8" t="inlineStr">
        <is>
          <t>Japon</t>
        </is>
      </c>
      <c r="C97" s="8" t="inlineStr">
        <is>
          <t>Chars moyens</t>
        </is>
      </c>
      <c r="D97" s="8" t="inlineStr">
        <is>
          <t>V12 diesel Mitsubishi (famille à confirmer)</t>
        </is>
      </c>
      <c r="E97" s="8" t="inlineStr">
        <is>
          <t>https://onwar.com/wwii/tanks/japan/index.html</t>
        </is>
      </c>
      <c r="F97" s="8" t="inlineStr">
        <is>
          <t>À vérifier</t>
        </is>
      </c>
      <c r="G97" s="8" t="inlineStr">
        <is>
          <t>Char moyen tardif.</t>
        </is>
      </c>
      <c r="H97" s="8" t="inlineStr">
        <is>
          <t>Série</t>
        </is>
      </c>
      <c r="I97" s="8" t="inlineStr">
        <is>
          <t>Canon de 75 mm Type 3; mitrailleuse Type 97 de 7,7 mm</t>
        </is>
      </c>
      <c r="J97" s="8" t="inlineStr">
        <is>
          <t>Canon et MG</t>
        </is>
      </c>
      <c r="K97" s="8" t="inlineStr">
        <is>
          <t>Partiel</t>
        </is>
      </c>
      <c r="L97" s="8" t="inlineStr">
        <is>
          <t>Non — contenu ultérieur</t>
        </is>
      </c>
      <c r="M97" s="8" t="inlineStr">
        <is>
          <t>À intégrer après validation du prototype</t>
        </is>
      </c>
    </row>
    <row r="98" ht="42" customHeight="1">
      <c r="A98" s="8" t="inlineStr">
        <is>
          <t>Type 4 Chi-To</t>
        </is>
      </c>
      <c r="B98" s="8" t="inlineStr">
        <is>
          <t>Japon</t>
        </is>
      </c>
      <c r="C98" s="8" t="inlineStr">
        <is>
          <t>Chars moyens</t>
        </is>
      </c>
      <c r="D98" s="8" t="inlineStr">
        <is>
          <t>V12 diesel Mitsubishi (prototype, détails à confirmer)</t>
        </is>
      </c>
      <c r="E98" s="8" t="inlineStr">
        <is>
          <t>https://onwar.com/wwii/tanks/japan/index.html</t>
        </is>
      </c>
      <c r="F98" s="8" t="inlineStr">
        <is>
          <t>Prototype / à vérifier</t>
        </is>
      </c>
      <c r="G98" s="8" t="inlineStr">
        <is>
          <t>Prototype conçu pendant la guerre.</t>
        </is>
      </c>
      <c r="H98" s="8" t="inlineStr">
        <is>
          <t>Prototype/projet — distinguer du matériel de série</t>
        </is>
      </c>
      <c r="I98" s="8" t="inlineStr">
        <is>
          <t>Canon de 75 mm Type 5; mitrailleuse Type 97 de 7,7 mm prévue — variante/projet à confirmer</t>
        </is>
      </c>
      <c r="J98" s="8" t="inlineStr">
        <is>
          <t>Prototype; armement prévu, montage réel variable</t>
        </is>
      </c>
      <c r="K98" s="8" t="inlineStr">
        <is>
          <t>Projet</t>
        </is>
      </c>
      <c r="L98" s="8" t="inlineStr">
        <is>
          <t>Non — contenu ultérieur</t>
        </is>
      </c>
      <c r="M98" s="8" t="inlineStr">
        <is>
          <t>À intégrer après validation du prototype</t>
        </is>
      </c>
    </row>
    <row r="99" ht="42" customHeight="1">
      <c r="A99" s="8" t="inlineStr">
        <is>
          <t>Type 5 Chi-Ri</t>
        </is>
      </c>
      <c r="B99" s="8" t="inlineStr">
        <is>
          <t>Japon</t>
        </is>
      </c>
      <c r="C99" s="8" t="inlineStr">
        <is>
          <t>Chars lourds et prototypes</t>
        </is>
      </c>
      <c r="D99" s="8" t="inlineStr">
        <is>
          <t>V12 essence BMW / Kawasaki prévu, motorisation exacte à vérifier</t>
        </is>
      </c>
      <c r="E99" s="8" t="inlineStr">
        <is>
          <t>https://onwar.com/wwii/tanks/japan/index.html</t>
        </is>
      </c>
      <c r="F99" s="8" t="inlineStr">
        <is>
          <t>Prototype / à vérifier</t>
        </is>
      </c>
      <c r="G99" s="8" t="inlineStr">
        <is>
          <t>Prototype inachevé ; distinguer moteur prévu et moteur opérationnel.</t>
        </is>
      </c>
      <c r="H99" s="8" t="inlineStr">
        <is>
          <t>Prototype/projet — distinguer du matériel de série</t>
        </is>
      </c>
      <c r="I99" s="8" t="inlineStr">
        <is>
          <t>Armement historique à déterminer précisément pour ce modèle/sa variante — variante/projet à confirmer</t>
        </is>
      </c>
      <c r="J99" s="8" t="inlineStr">
        <is>
          <t>Ne récupérer une arme que si elle est présente, identifiable et démontable; vérifier le calibre</t>
        </is>
      </c>
      <c r="K99" s="8" t="inlineStr">
        <is>
          <t>Projet</t>
        </is>
      </c>
      <c r="L99" s="8" t="inlineStr">
        <is>
          <t>Non — contenu ultérieur</t>
        </is>
      </c>
      <c r="M99" s="8" t="inlineStr">
        <is>
          <t>À intégrer après validation du prototype</t>
        </is>
      </c>
    </row>
    <row r="100" ht="42" customHeight="1">
      <c r="A100" s="8" t="inlineStr">
        <is>
          <t>Type 2 Ka-Mi</t>
        </is>
      </c>
      <c r="B100" s="8" t="inlineStr">
        <is>
          <t>Japon</t>
        </is>
      </c>
      <c r="C100" s="8" t="inlineStr">
        <is>
          <t>Chars amphibies et spécialisés</t>
        </is>
      </c>
      <c r="D100" s="8" t="inlineStr">
        <is>
          <t>V12 diesel Mitsubishi (famille à confirmer)</t>
        </is>
      </c>
      <c r="E100" s="8" t="inlineStr">
        <is>
          <t>https://onwar.com/wwii/tanks/japan/index.html</t>
        </is>
      </c>
      <c r="F100" s="8" t="inlineStr">
        <is>
          <t>À vérifier</t>
        </is>
      </c>
      <c r="G100" s="8" t="inlineStr">
        <is>
          <t>Char amphibie à flotteurs démontables.</t>
        </is>
      </c>
      <c r="H100" s="8" t="inlineStr">
        <is>
          <t>Série</t>
        </is>
      </c>
      <c r="I100" s="8" t="inlineStr">
        <is>
          <t>Armement historique à déterminer précisément pour ce modèle/sa variante</t>
        </is>
      </c>
      <c r="J100" s="8" t="inlineStr">
        <is>
          <t>Ne récupérer une arme que si elle est présente, identifiable et démontable; vérifier le calibre</t>
        </is>
      </c>
      <c r="K100" s="8" t="inlineStr">
        <is>
          <t>À vérifier</t>
        </is>
      </c>
      <c r="L100" s="8" t="inlineStr">
        <is>
          <t>Non — contenu ultérieur</t>
        </is>
      </c>
      <c r="M100" s="8" t="inlineStr">
        <is>
          <t>À intégrer après validation du prototype</t>
        </is>
      </c>
    </row>
    <row r="101" ht="42" customHeight="1">
      <c r="A101" s="8" t="inlineStr">
        <is>
          <t>Type 3 Ka-Chi</t>
        </is>
      </c>
      <c r="B101" s="8" t="inlineStr">
        <is>
          <t>Japon</t>
        </is>
      </c>
      <c r="C101" s="8" t="inlineStr">
        <is>
          <t>Chars amphibies et spécialisés</t>
        </is>
      </c>
      <c r="D101" s="8" t="inlineStr">
        <is>
          <t>V12 diesel Mitsubishi (famille à confirmer)</t>
        </is>
      </c>
      <c r="E101" s="8" t="inlineStr">
        <is>
          <t>https://onwar.com/wwii/tanks/japan/index.html</t>
        </is>
      </c>
      <c r="F101" s="8" t="inlineStr">
        <is>
          <t>Prototype / à vérifier</t>
        </is>
      </c>
      <c r="G101" s="8" t="inlineStr">
        <is>
          <t>Char amphibie plus grand.</t>
        </is>
      </c>
      <c r="H101" s="8" t="inlineStr">
        <is>
          <t>Prototype/projet — distinguer du matériel de série</t>
        </is>
      </c>
      <c r="I101" s="8" t="inlineStr">
        <is>
          <t>Armement historique à déterminer précisément pour ce modèle/sa variante — variante/projet à confirmer</t>
        </is>
      </c>
      <c r="J101" s="8" t="inlineStr">
        <is>
          <t>Ne récupérer une arme que si elle est présente, identifiable et démontable; vérifier le calibre</t>
        </is>
      </c>
      <c r="K101" s="8" t="inlineStr">
        <is>
          <t>Projet</t>
        </is>
      </c>
      <c r="L101" s="8" t="inlineStr">
        <is>
          <t>Non — contenu ultérieur</t>
        </is>
      </c>
      <c r="M101" s="8" t="inlineStr">
        <is>
          <t>À intégrer après validation du prototype</t>
        </is>
      </c>
    </row>
    <row r="102" ht="42" customHeight="1">
      <c r="A102" s="8" t="inlineStr">
        <is>
          <t>Ho-Ni I</t>
        </is>
      </c>
      <c r="B102" s="8" t="inlineStr">
        <is>
          <t>Japon</t>
        </is>
      </c>
      <c r="C102" s="8" t="inlineStr">
        <is>
          <t>Chasseurs de chars et canons automoteurs</t>
        </is>
      </c>
      <c r="D102" s="8" t="inlineStr">
        <is>
          <t>V12 diesel Mitsubishi (famille Chi-Ha)</t>
        </is>
      </c>
      <c r="E102" s="8" t="inlineStr">
        <is>
          <t>https://onwar.com/wwii/tanks/japan/index.html</t>
        </is>
      </c>
      <c r="F102" s="8" t="inlineStr">
        <is>
          <t>À vérifier</t>
        </is>
      </c>
      <c r="G102" s="8" t="inlineStr">
        <is>
          <t>Canon automoteur sur châssis Chi-Ha.</t>
        </is>
      </c>
      <c r="H102" s="8" t="inlineStr">
        <is>
          <t>Série</t>
        </is>
      </c>
      <c r="I102" s="8" t="inlineStr">
        <is>
          <t>Armement historique à déterminer précisément pour ce modèle/sa variante</t>
        </is>
      </c>
      <c r="J102" s="8" t="inlineStr">
        <is>
          <t>Ne récupérer une arme que si elle est présente, identifiable et démontable; vérifier le calibre</t>
        </is>
      </c>
      <c r="K102" s="8" t="inlineStr">
        <is>
          <t>À vérifier</t>
        </is>
      </c>
      <c r="L102" s="8" t="inlineStr">
        <is>
          <t>Non — contenu ultérieur</t>
        </is>
      </c>
      <c r="M102" s="8" t="inlineStr">
        <is>
          <t>À intégrer après validation du prototype</t>
        </is>
      </c>
    </row>
    <row r="103" ht="42" customHeight="1">
      <c r="A103" s="8" t="inlineStr">
        <is>
          <t>L3/33</t>
        </is>
      </c>
      <c r="B103" s="8" t="inlineStr">
        <is>
          <t>Italie</t>
        </is>
      </c>
      <c r="C103" s="8" t="inlineStr">
        <is>
          <t>Chars légers et chars anciens</t>
        </is>
      </c>
      <c r="D103" s="8" t="inlineStr">
        <is>
          <t>4 cylindres essence Fiat</t>
        </is>
      </c>
      <c r="E103" s="8" t="inlineStr">
        <is>
          <t>https://onwar.com/tanks/italy/index.htm</t>
        </is>
      </c>
      <c r="F103" s="8" t="inlineStr">
        <is>
          <t>À vérifier</t>
        </is>
      </c>
      <c r="G103" s="8" t="inlineStr">
        <is>
          <t>Tankette légère.</t>
        </is>
      </c>
      <c r="H103" s="8" t="inlineStr">
        <is>
          <t>Série</t>
        </is>
      </c>
      <c r="I103" s="8" t="inlineStr">
        <is>
          <t>Armement historique à déterminer précisément pour ce modèle/sa variante</t>
        </is>
      </c>
      <c r="J103" s="8" t="inlineStr">
        <is>
          <t>Ne récupérer une arme que si elle est présente, identifiable et démontable; vérifier le calibre</t>
        </is>
      </c>
      <c r="K103" s="8" t="inlineStr">
        <is>
          <t>À vérifier</t>
        </is>
      </c>
      <c r="L103" s="8" t="inlineStr">
        <is>
          <t>Non — contenu ultérieur</t>
        </is>
      </c>
      <c r="M103" s="8" t="inlineStr">
        <is>
          <t>À intégrer après validation du prototype</t>
        </is>
      </c>
    </row>
    <row r="104" ht="42" customHeight="1">
      <c r="A104" s="8" t="inlineStr">
        <is>
          <t>L3/35</t>
        </is>
      </c>
      <c r="B104" s="8" t="inlineStr">
        <is>
          <t>Italie</t>
        </is>
      </c>
      <c r="C104" s="8" t="inlineStr">
        <is>
          <t>Chars légers et chars anciens</t>
        </is>
      </c>
      <c r="D104" s="8" t="inlineStr">
        <is>
          <t>4 cylindres essence Fiat</t>
        </is>
      </c>
      <c r="E104" s="8" t="inlineStr">
        <is>
          <t>https://onwar.com/tanks/italy/index.htm</t>
        </is>
      </c>
      <c r="F104" s="8" t="inlineStr">
        <is>
          <t>À vérifier</t>
        </is>
      </c>
      <c r="G104" s="8" t="inlineStr">
        <is>
          <t>Évolution du L3/33.</t>
        </is>
      </c>
      <c r="H104" s="8" t="inlineStr">
        <is>
          <t>Série</t>
        </is>
      </c>
      <c r="I104" s="8" t="inlineStr">
        <is>
          <t>Armement historique à déterminer précisément pour ce modèle/sa variante</t>
        </is>
      </c>
      <c r="J104" s="8" t="inlineStr">
        <is>
          <t>Ne récupérer une arme que si elle est présente, identifiable et démontable; vérifier le calibre</t>
        </is>
      </c>
      <c r="K104" s="8" t="inlineStr">
        <is>
          <t>À vérifier</t>
        </is>
      </c>
      <c r="L104" s="8" t="inlineStr">
        <is>
          <t>Non — contenu ultérieur</t>
        </is>
      </c>
      <c r="M104" s="8" t="inlineStr">
        <is>
          <t>À intégrer après validation du prototype</t>
        </is>
      </c>
    </row>
    <row r="105" ht="42" customHeight="1">
      <c r="A105" s="8" t="inlineStr">
        <is>
          <t>L6/40</t>
        </is>
      </c>
      <c r="B105" s="8" t="inlineStr">
        <is>
          <t>Italie</t>
        </is>
      </c>
      <c r="C105" s="8" t="inlineStr">
        <is>
          <t>Chars légers et chars anciens</t>
        </is>
      </c>
      <c r="D105" s="8" t="inlineStr">
        <is>
          <t>4 cylindres diesel SPA 18T</t>
        </is>
      </c>
      <c r="E105" s="8" t="inlineStr">
        <is>
          <t>https://onwar.com/tanks/italy/index.htm</t>
        </is>
      </c>
      <c r="F105" s="8" t="inlineStr">
        <is>
          <t>À vérifier</t>
        </is>
      </c>
      <c r="G105" s="8" t="inlineStr">
        <is>
          <t>Char léger à moteur diesel.</t>
        </is>
      </c>
      <c r="H105" s="8" t="inlineStr">
        <is>
          <t>Série</t>
        </is>
      </c>
      <c r="I105" s="8" t="inlineStr">
        <is>
          <t>Armement historique à déterminer précisément pour ce modèle/sa variante</t>
        </is>
      </c>
      <c r="J105" s="8" t="inlineStr">
        <is>
          <t>Ne récupérer une arme que si elle est présente, identifiable et démontable; vérifier le calibre</t>
        </is>
      </c>
      <c r="K105" s="8" t="inlineStr">
        <is>
          <t>À vérifier</t>
        </is>
      </c>
      <c r="L105" s="8" t="inlineStr">
        <is>
          <t>Non — contenu ultérieur</t>
        </is>
      </c>
      <c r="M105" s="8" t="inlineStr">
        <is>
          <t>À intégrer après validation du prototype</t>
        </is>
      </c>
    </row>
    <row r="106" ht="42" customHeight="1">
      <c r="A106" s="8" t="inlineStr">
        <is>
          <t>M11/39</t>
        </is>
      </c>
      <c r="B106" s="8" t="inlineStr">
        <is>
          <t>Italie</t>
        </is>
      </c>
      <c r="C106" s="8" t="inlineStr">
        <is>
          <t>Chars moyens</t>
        </is>
      </c>
      <c r="D106" s="8" t="inlineStr">
        <is>
          <t>8 cylindres diesel SPA 8T</t>
        </is>
      </c>
      <c r="E106" s="8" t="inlineStr">
        <is>
          <t>https://onwar.com/tanks/italy/index.htm</t>
        </is>
      </c>
      <c r="F106" s="8" t="inlineStr">
        <is>
          <t>À vérifier</t>
        </is>
      </c>
      <c r="G106" s="8" t="inlineStr">
        <is>
          <t>Char moyen initial.</t>
        </is>
      </c>
      <c r="H106" s="8" t="inlineStr">
        <is>
          <t>Série</t>
        </is>
      </c>
      <c r="I106" s="8" t="inlineStr">
        <is>
          <t>Armement historique à déterminer précisément pour ce modèle/sa variante</t>
        </is>
      </c>
      <c r="J106" s="8" t="inlineStr">
        <is>
          <t>Ne récupérer une arme que si elle est présente, identifiable et démontable; vérifier le calibre</t>
        </is>
      </c>
      <c r="K106" s="8" t="inlineStr">
        <is>
          <t>À vérifier</t>
        </is>
      </c>
      <c r="L106" s="8" t="inlineStr">
        <is>
          <t>Non — contenu ultérieur</t>
        </is>
      </c>
      <c r="M106" s="8" t="inlineStr">
        <is>
          <t>À intégrer après validation du prototype</t>
        </is>
      </c>
    </row>
    <row r="107" ht="42" customHeight="1">
      <c r="A107" s="8" t="inlineStr">
        <is>
          <t>M14/41</t>
        </is>
      </c>
      <c r="B107" s="8" t="inlineStr">
        <is>
          <t>Italie</t>
        </is>
      </c>
      <c r="C107" s="8" t="inlineStr">
        <is>
          <t>Chars moyens</t>
        </is>
      </c>
      <c r="D107" s="8" t="inlineStr">
        <is>
          <t>8 cylindres diesel SPA 15T</t>
        </is>
      </c>
      <c r="E107" s="8" t="inlineStr">
        <is>
          <t>https://onwar.com/tanks/italy/index.htm</t>
        </is>
      </c>
      <c r="F107" s="8" t="inlineStr">
        <is>
          <t>À vérifier</t>
        </is>
      </c>
      <c r="G107" s="8" t="inlineStr">
        <is>
          <t>Évolution du M13/40.</t>
        </is>
      </c>
      <c r="H107" s="8" t="inlineStr">
        <is>
          <t>Série</t>
        </is>
      </c>
      <c r="I107" s="8" t="inlineStr">
        <is>
          <t>Canon de 47/32 mm; mitrailleuses Breda 8 mm</t>
        </is>
      </c>
      <c r="J107" s="8" t="inlineStr">
        <is>
          <t>Canon et mitrailleuses selon version</t>
        </is>
      </c>
      <c r="K107" s="8" t="inlineStr">
        <is>
          <t>Partiel</t>
        </is>
      </c>
      <c r="L107" s="8" t="inlineStr">
        <is>
          <t>Non — contenu ultérieur</t>
        </is>
      </c>
      <c r="M107" s="8" t="inlineStr">
        <is>
          <t>À intégrer après validation du prototype</t>
        </is>
      </c>
    </row>
    <row r="108" ht="42" customHeight="1">
      <c r="A108" s="8" t="inlineStr">
        <is>
          <t>P26/40</t>
        </is>
      </c>
      <c r="B108" s="8" t="inlineStr">
        <is>
          <t>Italie</t>
        </is>
      </c>
      <c r="C108" s="8" t="inlineStr">
        <is>
          <t>Chars lourds et prototypes</t>
        </is>
      </c>
      <c r="D108" s="8" t="inlineStr">
        <is>
          <t>12 cylindres diesel SPA 342</t>
        </is>
      </c>
      <c r="E108" s="8" t="inlineStr">
        <is>
          <t>https://onwar.com/tanks/italy/index.htm</t>
        </is>
      </c>
      <c r="F108" s="8" t="inlineStr">
        <is>
          <t>À vérifier</t>
        </is>
      </c>
      <c r="G108" s="8" t="inlineStr">
        <is>
          <t>Char lourd italien ; production très limitée.</t>
        </is>
      </c>
      <c r="H108" s="8" t="inlineStr">
        <is>
          <t>Série</t>
        </is>
      </c>
      <c r="I108" s="8" t="inlineStr">
        <is>
          <t>Armement historique à déterminer précisément pour ce modèle/sa variante</t>
        </is>
      </c>
      <c r="J108" s="8" t="inlineStr">
        <is>
          <t>Ne récupérer une arme que si elle est présente, identifiable et démontable; vérifier le calibre</t>
        </is>
      </c>
      <c r="K108" s="8" t="inlineStr">
        <is>
          <t>À vérifier</t>
        </is>
      </c>
      <c r="L108" s="8" t="inlineStr">
        <is>
          <t>Non — contenu ultérieur</t>
        </is>
      </c>
      <c r="M108" s="8" t="inlineStr">
        <is>
          <t>À intégrer après validation du prototype</t>
        </is>
      </c>
    </row>
    <row r="109" ht="42" customHeight="1">
      <c r="A109" s="8" t="inlineStr">
        <is>
          <t>Semovente L40 da 47/32</t>
        </is>
      </c>
      <c r="B109" s="8" t="inlineStr">
        <is>
          <t>Italie</t>
        </is>
      </c>
      <c r="C109" s="8" t="inlineStr">
        <is>
          <t>Chasseurs de chars et canons automoteurs</t>
        </is>
      </c>
      <c r="D109" s="8" t="inlineStr">
        <is>
          <t>4 cylindres diesel SPA 18T</t>
        </is>
      </c>
      <c r="E109" s="8" t="inlineStr">
        <is>
          <t>https://onwar.com/tanks/italy/index.htm</t>
        </is>
      </c>
      <c r="F109" s="8" t="inlineStr">
        <is>
          <t>À vérifier</t>
        </is>
      </c>
      <c r="G109" s="8" t="inlineStr">
        <is>
          <t>Châssis L6/40 adapté.</t>
        </is>
      </c>
      <c r="H109" s="8" t="inlineStr">
        <is>
          <t>Série</t>
        </is>
      </c>
      <c r="I109" s="8" t="inlineStr">
        <is>
          <t>Armement historique à déterminer précisément pour ce modèle/sa variante</t>
        </is>
      </c>
      <c r="J109" s="8" t="inlineStr">
        <is>
          <t>Ne récupérer une arme que si elle est présente, identifiable et démontable; vérifier le calibre</t>
        </is>
      </c>
      <c r="K109" s="8" t="inlineStr">
        <is>
          <t>À vérifier</t>
        </is>
      </c>
      <c r="L109" s="8" t="inlineStr">
        <is>
          <t>Non — contenu ultérieur</t>
        </is>
      </c>
      <c r="M109" s="8" t="inlineStr">
        <is>
          <t>À intégrer après validation du prototype</t>
        </is>
      </c>
    </row>
    <row r="110" ht="42" customHeight="1">
      <c r="A110" s="8" t="inlineStr">
        <is>
          <t>Semovente M40/M41 da 75/18</t>
        </is>
      </c>
      <c r="B110" s="8" t="inlineStr">
        <is>
          <t>Italie</t>
        </is>
      </c>
      <c r="C110" s="8" t="inlineStr">
        <is>
          <t>Chasseurs de chars et canons automoteurs</t>
        </is>
      </c>
      <c r="D110" s="8" t="inlineStr">
        <is>
          <t>8 cylindres diesel SPA 8T / 15T selon châssis</t>
        </is>
      </c>
      <c r="E110" s="8" t="inlineStr">
        <is>
          <t>https://onwar.com/tanks/italy/index.htm</t>
        </is>
      </c>
      <c r="F110" s="8" t="inlineStr">
        <is>
          <t>À vérifier</t>
        </is>
      </c>
      <c r="G110" s="8" t="inlineStr">
        <is>
          <t>Variantes sur M13/40 et M14/41.</t>
        </is>
      </c>
      <c r="H110" s="8" t="inlineStr">
        <is>
          <t>Série</t>
        </is>
      </c>
      <c r="I110" s="8" t="inlineStr">
        <is>
          <t>Armement historique à déterminer précisément pour ce modèle/sa variante</t>
        </is>
      </c>
      <c r="J110" s="8" t="inlineStr">
        <is>
          <t>Ne récupérer une arme que si elle est présente, identifiable et démontable; vérifier le calibre</t>
        </is>
      </c>
      <c r="K110" s="8" t="inlineStr">
        <is>
          <t>À vérifier</t>
        </is>
      </c>
      <c r="L110" s="8" t="inlineStr">
        <is>
          <t>Non — contenu ultérieur</t>
        </is>
      </c>
      <c r="M110" s="8" t="inlineStr">
        <is>
          <t>À intégrer après validation du prototype</t>
        </is>
      </c>
    </row>
    <row r="111" ht="42" customHeight="1">
      <c r="A111" s="8" t="inlineStr">
        <is>
          <t>Semovente M42 da 75/34</t>
        </is>
      </c>
      <c r="B111" s="8" t="inlineStr">
        <is>
          <t>Italie</t>
        </is>
      </c>
      <c r="C111" s="8" t="inlineStr">
        <is>
          <t>Chasseurs de chars et canons automoteurs</t>
        </is>
      </c>
      <c r="D111" s="8" t="inlineStr">
        <is>
          <t>8 cylindres diesel SPA 15T</t>
        </is>
      </c>
      <c r="E111" s="8" t="inlineStr">
        <is>
          <t>https://onwar.com/tanks/italy/index.htm</t>
        </is>
      </c>
      <c r="F111" s="8" t="inlineStr">
        <is>
          <t>À vérifier</t>
        </is>
      </c>
      <c r="G111" s="8" t="inlineStr">
        <is>
          <t>Canon automoteur sur châssis M15/42.</t>
        </is>
      </c>
      <c r="H111" s="8" t="inlineStr">
        <is>
          <t>Série</t>
        </is>
      </c>
      <c r="I111" s="8" t="inlineStr">
        <is>
          <t>Armement historique à déterminer précisément pour ce modèle/sa variante</t>
        </is>
      </c>
      <c r="J111" s="8" t="inlineStr">
        <is>
          <t>Ne récupérer une arme que si elle est présente, identifiable et démontable; vérifier le calibre</t>
        </is>
      </c>
      <c r="K111" s="8" t="inlineStr">
        <is>
          <t>À vérifier</t>
        </is>
      </c>
      <c r="L111" s="8" t="inlineStr">
        <is>
          <t>Non — contenu ultérieur</t>
        </is>
      </c>
      <c r="M111" s="8" t="inlineStr">
        <is>
          <t>À intégrer après validation du prototype</t>
        </is>
      </c>
    </row>
    <row r="112" ht="42" customHeight="1">
      <c r="A112" s="8" t="inlineStr">
        <is>
          <t>Semovente M43 da 105/25</t>
        </is>
      </c>
      <c r="B112" s="8" t="inlineStr">
        <is>
          <t>Italie</t>
        </is>
      </c>
      <c r="C112" s="8" t="inlineStr">
        <is>
          <t>Chasseurs de chars et canons automoteurs</t>
        </is>
      </c>
      <c r="D112" s="8" t="inlineStr">
        <is>
          <t>8 cylindres essence/diesel selon châssis, à vérifier</t>
        </is>
      </c>
      <c r="E112" s="8" t="inlineStr">
        <is>
          <t>https://onwar.com/tanks/italy/index.htm</t>
        </is>
      </c>
      <c r="F112" s="8" t="inlineStr">
        <is>
          <t>À vérifier</t>
        </is>
      </c>
      <c r="G112" s="8" t="inlineStr">
        <is>
          <t>Variante tardive ; moteur à confirmer.</t>
        </is>
      </c>
      <c r="H112" s="8" t="inlineStr">
        <is>
          <t>Série</t>
        </is>
      </c>
      <c r="I112" s="8" t="inlineStr">
        <is>
          <t>Armement historique à déterminer précisément pour ce modèle/sa variante</t>
        </is>
      </c>
      <c r="J112" s="8" t="inlineStr">
        <is>
          <t>Ne récupérer une arme que si elle est présente, identifiable et démontable; vérifier le calibre</t>
        </is>
      </c>
      <c r="K112" s="8" t="inlineStr">
        <is>
          <t>À vérifier</t>
        </is>
      </c>
      <c r="L112" s="8" t="inlineStr">
        <is>
          <t>Non — contenu ultérieur</t>
        </is>
      </c>
      <c r="M112" s="8" t="inlineStr">
        <is>
          <t>À intégrer après validation du prototype</t>
        </is>
      </c>
    </row>
    <row r="113" ht="42" customHeight="1">
      <c r="A113" s="8" t="inlineStr">
        <is>
          <t>TK-3</t>
        </is>
      </c>
      <c r="B113" s="8" t="inlineStr">
        <is>
          <t>Pologne</t>
        </is>
      </c>
      <c r="C113" s="8" t="inlineStr">
        <is>
          <t>Chars légers et chars anciens</t>
        </is>
      </c>
      <c r="D113" s="8" t="inlineStr">
        <is>
          <t>4 cylindres essence Ford A (famille à confirmer)</t>
        </is>
      </c>
      <c r="E113" s="8" t="inlineStr">
        <is>
          <t>https://tanks-encyclopedia.com/ww2/polish/tk-3-tks/</t>
        </is>
      </c>
      <c r="F113" s="8" t="inlineStr">
        <is>
          <t>À vérifier</t>
        </is>
      </c>
      <c r="G113" s="8" t="inlineStr">
        <is>
          <t>Tankette ; faible masse et petite mécanique.</t>
        </is>
      </c>
      <c r="H113" s="8" t="inlineStr">
        <is>
          <t>Série</t>
        </is>
      </c>
      <c r="I113" s="8" t="inlineStr">
        <is>
          <t>Armement historique à déterminer précisément pour ce modèle/sa variante</t>
        </is>
      </c>
      <c r="J113" s="8" t="inlineStr">
        <is>
          <t>Ne récupérer une arme que si elle est présente, identifiable et démontable; vérifier le calibre</t>
        </is>
      </c>
      <c r="K113" s="8" t="inlineStr">
        <is>
          <t>À vérifier</t>
        </is>
      </c>
      <c r="L113" s="8" t="inlineStr">
        <is>
          <t>Non — contenu ultérieur</t>
        </is>
      </c>
      <c r="M113" s="8" t="inlineStr">
        <is>
          <t>À intégrer après validation du prototype</t>
        </is>
      </c>
    </row>
    <row r="114" ht="42" customHeight="1">
      <c r="A114" s="8" t="inlineStr">
        <is>
          <t>TKS</t>
        </is>
      </c>
      <c r="B114" s="8" t="inlineStr">
        <is>
          <t>Pologne</t>
        </is>
      </c>
      <c r="C114" s="8" t="inlineStr">
        <is>
          <t>Chars légers et chars anciens</t>
        </is>
      </c>
      <c r="D114" s="8" t="inlineStr">
        <is>
          <t>4 cylindres essence Polski Fiat (selon série)</t>
        </is>
      </c>
      <c r="E114" s="8" t="inlineStr">
        <is>
          <t>https://tanks-encyclopedia.com/ww2/polish/tk-3-tks/</t>
        </is>
      </c>
      <c r="F114" s="8" t="inlineStr">
        <is>
          <t>À vérifier</t>
        </is>
      </c>
      <c r="G114" s="8" t="inlineStr">
        <is>
          <t>Variantes moteur selon production.</t>
        </is>
      </c>
      <c r="H114" s="8" t="inlineStr">
        <is>
          <t>Série</t>
        </is>
      </c>
      <c r="I114" s="8" t="inlineStr">
        <is>
          <t>Armement historique à déterminer précisément pour ce modèle/sa variante</t>
        </is>
      </c>
      <c r="J114" s="8" t="inlineStr">
        <is>
          <t>Ne récupérer une arme que si elle est présente, identifiable et démontable; vérifier le calibre</t>
        </is>
      </c>
      <c r="K114" s="8" t="inlineStr">
        <is>
          <t>À vérifier</t>
        </is>
      </c>
      <c r="L114" s="8" t="inlineStr">
        <is>
          <t>Non — contenu ultérieur</t>
        </is>
      </c>
      <c r="M114" s="8" t="inlineStr">
        <is>
          <t>À intégrer après validation du prototype</t>
        </is>
      </c>
    </row>
    <row r="115" ht="42" customHeight="1">
      <c r="A115" s="8" t="inlineStr">
        <is>
          <t>7TP</t>
        </is>
      </c>
      <c r="B115" s="8" t="inlineStr">
        <is>
          <t>Pologne</t>
        </is>
      </c>
      <c r="C115" s="8" t="inlineStr">
        <is>
          <t>Chars légers et chars anciens</t>
        </is>
      </c>
      <c r="D115" s="8" t="inlineStr">
        <is>
          <t>6 cylindres diesel Saurer VBLDb</t>
        </is>
      </c>
      <c r="E115" s="8" t="inlineStr">
        <is>
          <t>https://tanks-encyclopedia.com/ww2/polish/7tp/</t>
        </is>
      </c>
      <c r="F115" s="8" t="inlineStr">
        <is>
          <t>Documenté</t>
        </is>
      </c>
      <c r="G115" s="8" t="inlineStr">
        <is>
          <t>Un des moteurs diesel précoces intéressants du catalogue.</t>
        </is>
      </c>
      <c r="H115" s="8" t="inlineStr">
        <is>
          <t>Série</t>
        </is>
      </c>
      <c r="I115" s="8" t="inlineStr">
        <is>
          <t>Armement historique à déterminer précisément pour ce modèle/sa variante</t>
        </is>
      </c>
      <c r="J115" s="8" t="inlineStr">
        <is>
          <t>Ne récupérer une arme que si elle est présente, identifiable et démontable; vérifier le calibre</t>
        </is>
      </c>
      <c r="K115" s="8" t="inlineStr">
        <is>
          <t>À vérifier</t>
        </is>
      </c>
      <c r="L115" s="8" t="inlineStr">
        <is>
          <t>Non — contenu ultérieur</t>
        </is>
      </c>
      <c r="M115" s="8" t="inlineStr">
        <is>
          <t>À intégrer après validation du prototype</t>
        </is>
      </c>
    </row>
    <row r="116" ht="42" customHeight="1">
      <c r="A116" s="8" t="inlineStr">
        <is>
          <t>10TP</t>
        </is>
      </c>
      <c r="B116" s="8" t="inlineStr">
        <is>
          <t>Pologne</t>
        </is>
      </c>
      <c r="C116" s="8" t="inlineStr">
        <is>
          <t>Chars de cavalerie et prototypes</t>
        </is>
      </c>
      <c r="D116" s="8" t="inlineStr">
        <is>
          <t>12 cylindres essence American LaFrance (famille à confirmer)</t>
        </is>
      </c>
      <c r="E116" s="8" t="inlineStr">
        <is>
          <t>https://tanks-encyclopedia.com/ww2/polish/10tp/</t>
        </is>
      </c>
      <c r="F116" s="8" t="inlineStr">
        <is>
          <t>Prototype / à vérifier</t>
        </is>
      </c>
      <c r="G116" s="8" t="inlineStr">
        <is>
          <t>Prototype à roues/chenilles, conçu avant la guerre.</t>
        </is>
      </c>
      <c r="H116" s="8" t="inlineStr">
        <is>
          <t>Prototype/projet — distinguer du matériel de série</t>
        </is>
      </c>
      <c r="I116" s="8" t="inlineStr">
        <is>
          <t>Armement historique à déterminer précisément pour ce modèle/sa variante — variante/projet à confirmer</t>
        </is>
      </c>
      <c r="J116" s="8" t="inlineStr">
        <is>
          <t>Ne récupérer une arme que si elle est présente, identifiable et démontable; vérifier le calibre</t>
        </is>
      </c>
      <c r="K116" s="8" t="inlineStr">
        <is>
          <t>Projet</t>
        </is>
      </c>
      <c r="L116" s="8" t="inlineStr">
        <is>
          <t>Non — contenu ultérieur</t>
        </is>
      </c>
      <c r="M116" s="8" t="inlineStr">
        <is>
          <t>À intégrer après validation du prototype</t>
        </is>
      </c>
    </row>
    <row r="117" ht="42" customHeight="1">
      <c r="A117" s="8" t="inlineStr">
        <is>
          <t>14TP</t>
        </is>
      </c>
      <c r="B117" s="8" t="inlineStr">
        <is>
          <t>Pologne</t>
        </is>
      </c>
      <c r="C117" s="8" t="inlineStr">
        <is>
          <t>Chars de cavalerie et prototypes</t>
        </is>
      </c>
      <c r="D117" s="8" t="inlineStr">
        <is>
          <t>12 cylindres essence prévu, type à confirmer</t>
        </is>
      </c>
      <c r="E117" s="8" t="inlineStr">
        <is>
          <t>https://tanks-encyclopedia.com/ww2/polish/14tp/</t>
        </is>
      </c>
      <c r="F117" s="8" t="inlineStr">
        <is>
          <t>Projet / à vérifier</t>
        </is>
      </c>
      <c r="G117" s="8" t="inlineStr">
        <is>
          <t>Projet interrompu ; ne pas compter comme véhicule de série.</t>
        </is>
      </c>
      <c r="H117" s="8" t="inlineStr">
        <is>
          <t>Prototype/projet — distinguer du matériel de série</t>
        </is>
      </c>
      <c r="I117" s="8" t="inlineStr">
        <is>
          <t>Armement historique à déterminer précisément pour ce modèle/sa variante — variante/projet à confirmer</t>
        </is>
      </c>
      <c r="J117" s="8" t="inlineStr">
        <is>
          <t>Ne récupérer une arme que si elle est présente, identifiable et démontable; vérifier le calibre</t>
        </is>
      </c>
      <c r="K117" s="8" t="inlineStr">
        <is>
          <t>Projet</t>
        </is>
      </c>
      <c r="L117" s="8" t="inlineStr">
        <is>
          <t>Non — contenu ultérieur</t>
        </is>
      </c>
      <c r="M117" s="8" t="inlineStr">
        <is>
          <t>À intégrer après validation du prototype</t>
        </is>
      </c>
    </row>
    <row r="118" ht="42" customHeight="1">
      <c r="A118" s="8" t="inlineStr">
        <is>
          <t>LT vz. 34</t>
        </is>
      </c>
      <c r="B118" s="8" t="inlineStr">
        <is>
          <t>Tchécoslovaquie</t>
        </is>
      </c>
      <c r="C118" s="8" t="inlineStr">
        <is>
          <t>Chars légers et chars anciens</t>
        </is>
      </c>
      <c r="D118" s="8" t="inlineStr">
        <is>
          <t>4 cylindres essence Praga</t>
        </is>
      </c>
      <c r="E118" s="8" t="inlineStr">
        <is>
          <t>https://tanks-encyclopedia.com/ww2/czechoslovakia/lt-vz-34/</t>
        </is>
      </c>
      <c r="F118" s="8" t="inlineStr">
        <is>
          <t>À vérifier</t>
        </is>
      </c>
      <c r="G118" s="8" t="inlineStr">
        <is>
          <t>Char léger de l'entre-deux-guerres.</t>
        </is>
      </c>
      <c r="H118" s="8" t="inlineStr">
        <is>
          <t>Série</t>
        </is>
      </c>
      <c r="I118" s="8" t="inlineStr">
        <is>
          <t>Armement historique à déterminer précisément pour ce modèle/sa variante</t>
        </is>
      </c>
      <c r="J118" s="8" t="inlineStr">
        <is>
          <t>Ne récupérer une arme que si elle est présente, identifiable et démontable; vérifier le calibre</t>
        </is>
      </c>
      <c r="K118" s="8" t="inlineStr">
        <is>
          <t>À vérifier</t>
        </is>
      </c>
      <c r="L118" s="8" t="inlineStr">
        <is>
          <t>Non — contenu ultérieur</t>
        </is>
      </c>
      <c r="M118" s="8" t="inlineStr">
        <is>
          <t>À intégrer après validation du prototype</t>
        </is>
      </c>
    </row>
    <row r="119" ht="42" customHeight="1">
      <c r="A119" s="8" t="inlineStr">
        <is>
          <t>LT vz. 35 / Panzer 35(t)</t>
        </is>
      </c>
      <c r="B119" s="8" t="inlineStr">
        <is>
          <t>Tchécoslovaquie</t>
        </is>
      </c>
      <c r="C119" s="8" t="inlineStr">
        <is>
          <t>Chars légers et chars anciens</t>
        </is>
      </c>
      <c r="D119" s="8" t="inlineStr">
        <is>
          <t>6 cylindres essence Škoda T-11</t>
        </is>
      </c>
      <c r="E119" s="8" t="inlineStr">
        <is>
          <t>https://tanks-encyclopedia.com/ww2/czechoslovakia/lt-vz-35/</t>
        </is>
      </c>
      <c r="F119" s="8" t="inlineStr">
        <is>
          <t>Documenté</t>
        </is>
      </c>
      <c r="G119" s="8" t="inlineStr">
        <is>
          <t>Famille Škoda ; versions export et allemandes.</t>
        </is>
      </c>
      <c r="H119" s="8" t="inlineStr">
        <is>
          <t>Série</t>
        </is>
      </c>
      <c r="I119" s="8" t="inlineStr">
        <is>
          <t>Armement historique à déterminer précisément pour ce modèle/sa variante</t>
        </is>
      </c>
      <c r="J119" s="8" t="inlineStr">
        <is>
          <t>Ne récupérer une arme que si elle est présente, identifiable et démontable; vérifier le calibre</t>
        </is>
      </c>
      <c r="K119" s="8" t="inlineStr">
        <is>
          <t>À vérifier</t>
        </is>
      </c>
      <c r="L119" s="8" t="inlineStr">
        <is>
          <t>Non — contenu ultérieur</t>
        </is>
      </c>
      <c r="M119" s="8" t="inlineStr">
        <is>
          <t>À intégrer après validation du prototype</t>
        </is>
      </c>
    </row>
    <row r="120" ht="42" customHeight="1">
      <c r="A120" s="8" t="inlineStr">
        <is>
          <t>LT vz. 38 / Panzer 38(t)</t>
        </is>
      </c>
      <c r="B120" s="8" t="inlineStr">
        <is>
          <t>Tchécoslovaquie</t>
        </is>
      </c>
      <c r="C120" s="8" t="inlineStr">
        <is>
          <t>Chars légers et chars anciens</t>
        </is>
      </c>
      <c r="D120" s="8" t="inlineStr">
        <is>
          <t>6 cylindres essence Praga EPA</t>
        </is>
      </c>
      <c r="E120" s="8" t="inlineStr">
        <is>
          <t>https://tanks-encyclopedia.com/ww2/czechoslovakia/lt-vz-38/</t>
        </is>
      </c>
      <c r="F120" s="8" t="inlineStr">
        <is>
          <t>Documenté</t>
        </is>
      </c>
      <c r="G120" s="8" t="inlineStr">
        <is>
          <t>Famille moteur Praga réutilisée sur plusieurs dérivés.</t>
        </is>
      </c>
      <c r="H120" s="8" t="inlineStr">
        <is>
          <t>Série</t>
        </is>
      </c>
      <c r="I120" s="8" t="inlineStr">
        <is>
          <t>Armement historique à déterminer précisément pour ce modèle/sa variante</t>
        </is>
      </c>
      <c r="J120" s="8" t="inlineStr">
        <is>
          <t>Ne récupérer une arme que si elle est présente, identifiable et démontable; vérifier le calibre</t>
        </is>
      </c>
      <c r="K120" s="8" t="inlineStr">
        <is>
          <t>À vérifier</t>
        </is>
      </c>
      <c r="L120" s="8" t="inlineStr">
        <is>
          <t>Non — contenu ultérieur</t>
        </is>
      </c>
      <c r="M120" s="8" t="inlineStr">
        <is>
          <t>À intégrer après validation du prototype</t>
        </is>
      </c>
    </row>
    <row r="121" ht="42" customHeight="1">
      <c r="A121" s="8" t="inlineStr">
        <is>
          <t>AH-IV</t>
        </is>
      </c>
      <c r="B121" s="8" t="inlineStr">
        <is>
          <t>Tchécoslovaquie</t>
        </is>
      </c>
      <c r="C121" s="8" t="inlineStr">
        <is>
          <t>Chars légers et chars anciens</t>
        </is>
      </c>
      <c r="D121" s="8" t="inlineStr">
        <is>
          <t>6 cylindres essence Praga (à confirmer)</t>
        </is>
      </c>
      <c r="E121" s="8" t="inlineStr">
        <is>
          <t>https://tanks-encyclopedia.com/ww2/czechoslovakia/ah-iv/</t>
        </is>
      </c>
      <c r="F121" s="8" t="inlineStr">
        <is>
          <t>À vérifier</t>
        </is>
      </c>
      <c r="G121" s="8" t="inlineStr">
        <is>
          <t>Tankette exportée et utilisée par plusieurs pays.</t>
        </is>
      </c>
      <c r="H121" s="8" t="inlineStr">
        <is>
          <t>Série</t>
        </is>
      </c>
      <c r="I121" s="8" t="inlineStr">
        <is>
          <t>Armement historique à déterminer précisément pour ce modèle/sa variante</t>
        </is>
      </c>
      <c r="J121" s="8" t="inlineStr">
        <is>
          <t>Ne récupérer une arme que si elle est présente, identifiable et démontable; vérifier le calibre</t>
        </is>
      </c>
      <c r="K121" s="8" t="inlineStr">
        <is>
          <t>À vérifier</t>
        </is>
      </c>
      <c r="L121" s="8" t="inlineStr">
        <is>
          <t>Non — contenu ultérieur</t>
        </is>
      </c>
      <c r="M121" s="8" t="inlineStr">
        <is>
          <t>À intégrer après validation du prototype</t>
        </is>
      </c>
    </row>
    <row r="122" ht="42" customHeight="1">
      <c r="A122" s="8" t="inlineStr">
        <is>
          <t>Strv m/38 (L-60)</t>
        </is>
      </c>
      <c r="B122" s="8" t="inlineStr">
        <is>
          <t>Suède</t>
        </is>
      </c>
      <c r="C122" s="8" t="inlineStr">
        <is>
          <t>Chars légers et chars anciens</t>
        </is>
      </c>
      <c r="D122" s="8" t="inlineStr">
        <is>
          <t>8 cylindres essence Scania-Vabis (type à confirmer)</t>
        </is>
      </c>
      <c r="E122" s="8" t="inlineStr">
        <is>
          <t>https://www.militaryfactory.com/armor/ww2-swedish-tanks.php</t>
        </is>
      </c>
      <c r="F122" s="8" t="inlineStr">
        <is>
          <t>À vérifier</t>
        </is>
      </c>
      <c r="G122" s="8" t="inlineStr">
        <is>
          <t>Famille suédoise ; variantes m/38–m/40 à distinguer.</t>
        </is>
      </c>
      <c r="H122" s="8" t="inlineStr">
        <is>
          <t>Série</t>
        </is>
      </c>
      <c r="I122" s="8" t="inlineStr">
        <is>
          <t>Armement historique à déterminer précisément pour ce modèle/sa variante</t>
        </is>
      </c>
      <c r="J122" s="8" t="inlineStr">
        <is>
          <t>Ne récupérer une arme que si elle est présente, identifiable et démontable; vérifier le calibre</t>
        </is>
      </c>
      <c r="K122" s="8" t="inlineStr">
        <is>
          <t>À vérifier</t>
        </is>
      </c>
      <c r="L122" s="8" t="inlineStr">
        <is>
          <t>Non — contenu ultérieur</t>
        </is>
      </c>
      <c r="M122" s="8" t="inlineStr">
        <is>
          <t>À intégrer après validation du prototype</t>
        </is>
      </c>
    </row>
    <row r="123" ht="42" customHeight="1">
      <c r="A123" s="8" t="inlineStr">
        <is>
          <t>Strv m/39</t>
        </is>
      </c>
      <c r="B123" s="8" t="inlineStr">
        <is>
          <t>Suède</t>
        </is>
      </c>
      <c r="C123" s="8" t="inlineStr">
        <is>
          <t>Chars légers et chars anciens</t>
        </is>
      </c>
      <c r="D123" s="8" t="inlineStr">
        <is>
          <t>8 cylindres essence Scania-Vabis (à confirmer)</t>
        </is>
      </c>
      <c r="E123" s="8" t="inlineStr">
        <is>
          <t>https://www.militaryfactory.com/armor/ww2-swedish-tanks.php</t>
        </is>
      </c>
      <c r="F123" s="8" t="inlineStr">
        <is>
          <t>À vérifier</t>
        </is>
      </c>
      <c r="G123" s="8" t="inlineStr">
        <is>
          <t>Évolution du Strv m/38.</t>
        </is>
      </c>
      <c r="H123" s="8" t="inlineStr">
        <is>
          <t>Série</t>
        </is>
      </c>
      <c r="I123" s="8" t="inlineStr">
        <is>
          <t>Armement historique à déterminer précisément pour ce modèle/sa variante</t>
        </is>
      </c>
      <c r="J123" s="8" t="inlineStr">
        <is>
          <t>Ne récupérer une arme que si elle est présente, identifiable et démontable; vérifier le calibre</t>
        </is>
      </c>
      <c r="K123" s="8" t="inlineStr">
        <is>
          <t>À vérifier</t>
        </is>
      </c>
      <c r="L123" s="8" t="inlineStr">
        <is>
          <t>Non — contenu ultérieur</t>
        </is>
      </c>
      <c r="M123" s="8" t="inlineStr">
        <is>
          <t>À intégrer après validation du prototype</t>
        </is>
      </c>
    </row>
    <row r="124" ht="42" customHeight="1">
      <c r="A124" s="8" t="inlineStr">
        <is>
          <t>Strv m/40</t>
        </is>
      </c>
      <c r="B124" s="8" t="inlineStr">
        <is>
          <t>Suède</t>
        </is>
      </c>
      <c r="C124" s="8" t="inlineStr">
        <is>
          <t>Chars légers et chars anciens</t>
        </is>
      </c>
      <c r="D124" s="8" t="inlineStr">
        <is>
          <t>8 cylindres essence Scania-Vabis (à confirmer)</t>
        </is>
      </c>
      <c r="E124" s="8" t="inlineStr">
        <is>
          <t>https://www.militaryfactory.com/armor/ww2-swedish-tanks.php</t>
        </is>
      </c>
      <c r="F124" s="8" t="inlineStr">
        <is>
          <t>À vérifier</t>
        </is>
      </c>
      <c r="G124" s="8" t="inlineStr">
        <is>
          <t>Évolution du L-60.</t>
        </is>
      </c>
      <c r="H124" s="8" t="inlineStr">
        <is>
          <t>Série</t>
        </is>
      </c>
      <c r="I124" s="8" t="inlineStr">
        <is>
          <t>Armement historique à déterminer précisément pour ce modèle/sa variante</t>
        </is>
      </c>
      <c r="J124" s="8" t="inlineStr">
        <is>
          <t>Ne récupérer une arme que si elle est présente, identifiable et démontable; vérifier le calibre</t>
        </is>
      </c>
      <c r="K124" s="8" t="inlineStr">
        <is>
          <t>À vérifier</t>
        </is>
      </c>
      <c r="L124" s="8" t="inlineStr">
        <is>
          <t>Non — contenu ultérieur</t>
        </is>
      </c>
      <c r="M124" s="8" t="inlineStr">
        <is>
          <t>À intégrer après validation du prototype</t>
        </is>
      </c>
    </row>
    <row r="125" ht="42" customHeight="1">
      <c r="A125" s="8" t="inlineStr">
        <is>
          <t>Strv m/42</t>
        </is>
      </c>
      <c r="B125" s="8" t="inlineStr">
        <is>
          <t>Suède</t>
        </is>
      </c>
      <c r="C125" s="8" t="inlineStr">
        <is>
          <t>Chars moyens</t>
        </is>
      </c>
      <c r="D125" s="8" t="inlineStr">
        <is>
          <t>6 cylindres essence Scania-Vabis typiquement (selon version)</t>
        </is>
      </c>
      <c r="E125" s="8" t="inlineStr">
        <is>
          <t>https://www.militaryfactory.com/armor/ww2-swedish-tanks.php</t>
        </is>
      </c>
      <c r="F125" s="8" t="inlineStr">
        <is>
          <t>À vérifier</t>
        </is>
      </c>
      <c r="G125" s="8" t="inlineStr">
        <is>
          <t>Certaines versions peuvent employer deux moteurs ; vérifier par variante.</t>
        </is>
      </c>
      <c r="H125" s="8" t="inlineStr">
        <is>
          <t>Série</t>
        </is>
      </c>
      <c r="I125" s="8" t="inlineStr">
        <is>
          <t>Armement historique à déterminer précisément pour ce modèle/sa variante</t>
        </is>
      </c>
      <c r="J125" s="8" t="inlineStr">
        <is>
          <t>Ne récupérer une arme que si elle est présente, identifiable et démontable; vérifier le calibre</t>
        </is>
      </c>
      <c r="K125" s="8" t="inlineStr">
        <is>
          <t>À vérifier</t>
        </is>
      </c>
      <c r="L125" s="8" t="inlineStr">
        <is>
          <t>Non — contenu ultérieur</t>
        </is>
      </c>
      <c r="M125" s="8" t="inlineStr">
        <is>
          <t>À intégrer après validation du prototype</t>
        </is>
      </c>
    </row>
    <row r="126" ht="42" customHeight="1">
      <c r="A126" s="8" t="inlineStr">
        <is>
          <t>Toldi I / II / III</t>
        </is>
      </c>
      <c r="B126" s="8" t="inlineStr">
        <is>
          <t>Hongrie</t>
        </is>
      </c>
      <c r="C126" s="8" t="inlineStr">
        <is>
          <t>Chars légers et chars anciens</t>
        </is>
      </c>
      <c r="D126" s="8" t="inlineStr">
        <is>
          <t>8 cylindres essence Bussing-NAG / Ganz selon variantes</t>
        </is>
      </c>
      <c r="E126" s="8" t="inlineStr">
        <is>
          <t>https://generalstab.org/military_history/second_world_war/barbarossa-axis-allies/hungarian-weapons-statistics/</t>
        </is>
      </c>
      <c r="F126" s="8" t="inlineStr">
        <is>
          <t>Documenté — variantes</t>
        </is>
      </c>
      <c r="G126" s="8" t="inlineStr">
        <is>
          <t>Distinguer les moteurs selon sous-modèle et licence.</t>
        </is>
      </c>
      <c r="H126" s="8" t="inlineStr">
        <is>
          <t>Série</t>
        </is>
      </c>
      <c r="I126" s="8" t="inlineStr">
        <is>
          <t>Armement historique à déterminer précisément pour ce modèle/sa variante</t>
        </is>
      </c>
      <c r="J126" s="8" t="inlineStr">
        <is>
          <t>Ne récupérer une arme que si elle est présente, identifiable et démontable; vérifier le calibre</t>
        </is>
      </c>
      <c r="K126" s="8" t="inlineStr">
        <is>
          <t>À vérifier</t>
        </is>
      </c>
      <c r="L126" s="8" t="inlineStr">
        <is>
          <t>Non — contenu ultérieur</t>
        </is>
      </c>
      <c r="M126" s="8" t="inlineStr">
        <is>
          <t>À intégrer après validation du prototype</t>
        </is>
      </c>
    </row>
    <row r="127" ht="42" customHeight="1">
      <c r="A127" s="8" t="inlineStr">
        <is>
          <t>Turan I / II</t>
        </is>
      </c>
      <c r="B127" s="8" t="inlineStr">
        <is>
          <t>Hongrie</t>
        </is>
      </c>
      <c r="C127" s="8" t="inlineStr">
        <is>
          <t>Chars moyens</t>
        </is>
      </c>
      <c r="D127" s="8" t="inlineStr">
        <is>
          <t>8 cylindres essence Weiss Manfréd V-8H (type à confirmer)</t>
        </is>
      </c>
      <c r="E127" s="8" t="inlineStr">
        <is>
          <t>https://generalstab.org/military_history/second_world_war/barbarossa-axis-allies/hungarian-weapons-statistics/</t>
        </is>
      </c>
      <c r="F127" s="8" t="inlineStr">
        <is>
          <t>À vérifier</t>
        </is>
      </c>
      <c r="G127" s="8" t="inlineStr">
        <is>
          <t>Char moyen hongrois, variantes de tourelle et armement.</t>
        </is>
      </c>
      <c r="H127" s="8" t="inlineStr">
        <is>
          <t>Série</t>
        </is>
      </c>
      <c r="I127" s="8" t="inlineStr">
        <is>
          <t>Armement historique à déterminer précisément pour ce modèle/sa variante</t>
        </is>
      </c>
      <c r="J127" s="8" t="inlineStr">
        <is>
          <t>Ne récupérer une arme que si elle est présente, identifiable et démontable; vérifier le calibre</t>
        </is>
      </c>
      <c r="K127" s="8" t="inlineStr">
        <is>
          <t>À vérifier</t>
        </is>
      </c>
      <c r="L127" s="8" t="inlineStr">
        <is>
          <t>Non — contenu ultérieur</t>
        </is>
      </c>
      <c r="M127" s="8" t="inlineStr">
        <is>
          <t>À intégrer après validation du prototype</t>
        </is>
      </c>
    </row>
    <row r="128" ht="42" customHeight="1">
      <c r="A128" s="8" t="inlineStr">
        <is>
          <t>Zrínyi II</t>
        </is>
      </c>
      <c r="B128" s="8" t="inlineStr">
        <is>
          <t>Hongrie</t>
        </is>
      </c>
      <c r="C128" s="8" t="inlineStr">
        <is>
          <t>Chasseurs de chars et canons automoteurs</t>
        </is>
      </c>
      <c r="D128" s="8" t="inlineStr">
        <is>
          <t>8 cylindres essence famille Turán (à confirmer)</t>
        </is>
      </c>
      <c r="E128" s="8" t="inlineStr">
        <is>
          <t>https://epa.oszk.hu/02400/02463/00042/pdf/EPA02463_hadtudomanyi_szemle_2019_ksz_235-248.pdf</t>
        </is>
      </c>
      <c r="F128" s="8" t="inlineStr">
        <is>
          <t>À vérifier</t>
        </is>
      </c>
      <c r="G128" s="8" t="inlineStr">
        <is>
          <t>Canon d'assaut sur châssis Turán.</t>
        </is>
      </c>
      <c r="H128" s="8" t="inlineStr">
        <is>
          <t>Série</t>
        </is>
      </c>
      <c r="I128" s="8" t="inlineStr">
        <is>
          <t>Armement historique à déterminer précisément pour ce modèle/sa variante</t>
        </is>
      </c>
      <c r="J128" s="8" t="inlineStr">
        <is>
          <t>Ne récupérer une arme que si elle est présente, identifiable et démontable; vérifier le calibre</t>
        </is>
      </c>
      <c r="K128" s="8" t="inlineStr">
        <is>
          <t>À vérifier</t>
        </is>
      </c>
      <c r="L128" s="8" t="inlineStr">
        <is>
          <t>Non — contenu ultérieur</t>
        </is>
      </c>
      <c r="M128" s="8" t="inlineStr">
        <is>
          <t>À intégrer après validation du prototype</t>
        </is>
      </c>
    </row>
    <row r="129" ht="42" customHeight="1">
      <c r="A129" s="8" t="inlineStr">
        <is>
          <t>Nimród</t>
        </is>
      </c>
      <c r="B129" s="8" t="inlineStr">
        <is>
          <t>Hongrie</t>
        </is>
      </c>
      <c r="C129" s="8" t="inlineStr">
        <is>
          <t>Chasseurs de chars et canons automoteurs</t>
        </is>
      </c>
      <c r="D129" s="8" t="inlineStr">
        <is>
          <t>8 cylindres essence Büssing-NAG (à confirmer)</t>
        </is>
      </c>
      <c r="E129" s="8" t="inlineStr">
        <is>
          <t>https://generalstab.org/military_history/second_world_war/barbarossa-axis-allies/hungarian-weapons-statistics/</t>
        </is>
      </c>
      <c r="F129" s="8" t="inlineStr">
        <is>
          <t>À vérifier</t>
        </is>
      </c>
      <c r="G129" s="8" t="inlineStr">
        <is>
          <t>Automoteur antiaérien dérivé du Landsverk L-62.</t>
        </is>
      </c>
      <c r="H129" s="8" t="inlineStr">
        <is>
          <t>Série</t>
        </is>
      </c>
      <c r="I129" s="8" t="inlineStr">
        <is>
          <t>Armement historique à déterminer précisément pour ce modèle/sa variante</t>
        </is>
      </c>
      <c r="J129" s="8" t="inlineStr">
        <is>
          <t>Ne récupérer une arme que si elle est présente, identifiable et démontable; vérifier le calibre</t>
        </is>
      </c>
      <c r="K129" s="8" t="inlineStr">
        <is>
          <t>À vérifier</t>
        </is>
      </c>
      <c r="L129" s="8" t="inlineStr">
        <is>
          <t>Non — contenu ultérieur</t>
        </is>
      </c>
      <c r="M129" s="8" t="inlineStr">
        <is>
          <t>À intégrer après validation du prototype</t>
        </is>
      </c>
    </row>
    <row r="130" ht="42" customHeight="1">
      <c r="A130" s="8" t="inlineStr">
        <is>
          <t>TACAM R-2</t>
        </is>
      </c>
      <c r="B130" s="8" t="inlineStr">
        <is>
          <t>Roumanie</t>
        </is>
      </c>
      <c r="C130" s="8" t="inlineStr">
        <is>
          <t>Chasseurs de chars et canons automoteurs</t>
        </is>
      </c>
      <c r="D130" s="8" t="inlineStr">
        <is>
          <t>6 cylindres essence Škoda T-11</t>
        </is>
      </c>
      <c r="E130" s="8" t="inlineStr">
        <is>
          <t>https://www.worldwar2.ro/arme/?article=242&amp;language=ro</t>
        </is>
      </c>
      <c r="F130" s="8" t="inlineStr">
        <is>
          <t>Documenté</t>
        </is>
      </c>
      <c r="G130" s="8" t="inlineStr">
        <is>
          <t>Conversion roumaine sur châssis R-2/Panzer 35(t).</t>
        </is>
      </c>
      <c r="H130" s="8" t="inlineStr">
        <is>
          <t>Série</t>
        </is>
      </c>
      <c r="I130" s="8" t="inlineStr">
        <is>
          <t>Canon antichar soviétique de 76,2 mm F-22 ou ZiS-3 selon version</t>
        </is>
      </c>
      <c r="J130" s="8" t="inlineStr">
        <is>
          <t>Canon antichar; montage en casemate ouverte</t>
        </is>
      </c>
      <c r="K130" s="8" t="inlineStr">
        <is>
          <t>Partiel</t>
        </is>
      </c>
      <c r="L130" s="8" t="inlineStr">
        <is>
          <t>Non — contenu ultérieur</t>
        </is>
      </c>
      <c r="M130" s="8" t="inlineStr">
        <is>
          <t>À intégrer après validation du prototype</t>
        </is>
      </c>
    </row>
    <row r="131" ht="42" customHeight="1">
      <c r="A131" s="8" t="inlineStr">
        <is>
          <t>TACAM T-60</t>
        </is>
      </c>
      <c r="B131" s="8" t="inlineStr">
        <is>
          <t>Roumanie</t>
        </is>
      </c>
      <c r="C131" s="8" t="inlineStr">
        <is>
          <t>Chasseurs de chars et canons automoteurs</t>
        </is>
      </c>
      <c r="D131" s="8" t="inlineStr">
        <is>
          <t>6 cylindres essence GAZ-202 (famille à confirmer)</t>
        </is>
      </c>
      <c r="E131" s="8" t="inlineStr">
        <is>
          <t>https://onwar.com/wwii/tanks/romania/index.html</t>
        </is>
      </c>
      <c r="F131" s="8" t="inlineStr">
        <is>
          <t>À vérifier</t>
        </is>
      </c>
      <c r="G131" s="8" t="inlineStr">
        <is>
          <t>Conversion d'un châssis soviétique capturé.</t>
        </is>
      </c>
      <c r="H131" s="8" t="inlineStr">
        <is>
          <t>Série</t>
        </is>
      </c>
      <c r="I131" s="8" t="inlineStr">
        <is>
          <t>Canon antichar soviétique de 76,2 mm F-22 ou ZiS-3 selon version</t>
        </is>
      </c>
      <c r="J131" s="8" t="inlineStr">
        <is>
          <t>Canon antichar; montage en casemate ouverte</t>
        </is>
      </c>
      <c r="K131" s="8" t="inlineStr">
        <is>
          <t>Partiel</t>
        </is>
      </c>
      <c r="L131" s="8" t="inlineStr">
        <is>
          <t>Non — contenu ultérieur</t>
        </is>
      </c>
      <c r="M131" s="8" t="inlineStr">
        <is>
          <t>À intégrer après validation du prototype</t>
        </is>
      </c>
    </row>
    <row r="132" ht="42" customHeight="1">
      <c r="A132" s="8" t="inlineStr">
        <is>
          <t>Vanatorul de care R-35</t>
        </is>
      </c>
      <c r="B132" s="8" t="inlineStr">
        <is>
          <t>Roumanie</t>
        </is>
      </c>
      <c r="C132" s="8" t="inlineStr">
        <is>
          <t>Chasseurs de chars et canons automoteurs</t>
        </is>
      </c>
      <c r="D132" s="8" t="inlineStr">
        <is>
          <t>4 cylindres essence Renault du R-35</t>
        </is>
      </c>
      <c r="E132" s="8" t="inlineStr">
        <is>
          <t>https://onwar.com/wwii/tanks/romania/index.html</t>
        </is>
      </c>
      <c r="F132" s="8" t="inlineStr">
        <is>
          <t>À vérifier</t>
        </is>
      </c>
      <c r="G132" s="8" t="inlineStr">
        <is>
          <t>Châssis français modifié avec canon différent.</t>
        </is>
      </c>
      <c r="H132" s="8" t="inlineStr">
        <is>
          <t>Série</t>
        </is>
      </c>
      <c r="I132" s="8" t="inlineStr">
        <is>
          <t>Armement historique à déterminer précisément pour ce modèle/sa variante</t>
        </is>
      </c>
      <c r="J132" s="8" t="inlineStr">
        <is>
          <t>Ne récupérer une arme que si elle est présente, identifiable et démontable; vérifier le calibre</t>
        </is>
      </c>
      <c r="K132" s="8" t="inlineStr">
        <is>
          <t>À vérifier</t>
        </is>
      </c>
      <c r="L132" s="8" t="inlineStr">
        <is>
          <t>Non — contenu ultérieur</t>
        </is>
      </c>
      <c r="M132" s="8" t="inlineStr">
        <is>
          <t>À intégrer après validation du prototype</t>
        </is>
      </c>
    </row>
    <row r="133" ht="42" customHeight="1">
      <c r="A133" s="8" t="inlineStr">
        <is>
          <t>BT-42</t>
        </is>
      </c>
      <c r="B133" s="8" t="inlineStr">
        <is>
          <t>Finlande</t>
        </is>
      </c>
      <c r="C133" s="8" t="inlineStr">
        <is>
          <t>Chasseurs de chars et canons automoteurs</t>
        </is>
      </c>
      <c r="D133" s="8" t="inlineStr">
        <is>
          <t>12 cylindres essence M-17, famille de BT-7</t>
        </is>
      </c>
      <c r="E133" s="8" t="inlineStr">
        <is>
          <t>https://tanks-encyclopedia.com/ww2/finland/bt-42/</t>
        </is>
      </c>
      <c r="F133" s="8" t="inlineStr">
        <is>
          <t>À vérifier</t>
        </is>
      </c>
      <c r="G133" s="8" t="inlineStr">
        <is>
          <t>Conversion finlandaise d'un châssis soviétique.</t>
        </is>
      </c>
      <c r="H133" s="8" t="inlineStr">
        <is>
          <t>Série</t>
        </is>
      </c>
      <c r="I133" s="8" t="inlineStr">
        <is>
          <t>Armement historique à déterminer précisément pour ce modèle/sa variante</t>
        </is>
      </c>
      <c r="J133" s="8" t="inlineStr">
        <is>
          <t>Ne récupérer une arme que si elle est présente, identifiable et démontable; vérifier le calibre</t>
        </is>
      </c>
      <c r="K133" s="8" t="inlineStr">
        <is>
          <t>À vérifier</t>
        </is>
      </c>
      <c r="L133" s="8" t="inlineStr">
        <is>
          <t>Non — contenu ultérieur</t>
        </is>
      </c>
      <c r="M133" s="8" t="inlineStr">
        <is>
          <t>À intégrer après validation du prototype</t>
        </is>
      </c>
    </row>
    <row r="134" ht="42" customHeight="1">
      <c r="A134" s="8" t="inlineStr">
        <is>
          <t>Vickers 6-Ton</t>
        </is>
      </c>
      <c r="B134" s="8" t="inlineStr">
        <is>
          <t>Royaume-Uni / export</t>
        </is>
      </c>
      <c r="C134" s="8" t="inlineStr">
        <is>
          <t>Chars légers et chars anciens</t>
        </is>
      </c>
      <c r="D134" s="8" t="inlineStr">
        <is>
          <t>4 cylindres essence Armstrong Siddeley (selon version)</t>
        </is>
      </c>
      <c r="E134" s="8" t="inlineStr">
        <is>
          <t>https://tanks-encyclopedia.com/ww2/uk/vickers-6-ton/</t>
        </is>
      </c>
      <c r="F134" s="8" t="inlineStr">
        <is>
          <t>À vérifier</t>
        </is>
      </c>
      <c r="G134" s="8" t="inlineStr">
        <is>
          <t>Base de plusieurs conceptions étrangères.</t>
        </is>
      </c>
      <c r="H134" s="8" t="inlineStr">
        <is>
          <t>Série</t>
        </is>
      </c>
      <c r="I134" s="8" t="inlineStr">
        <is>
          <t>Armement historique à déterminer précisément pour ce modèle/sa variante</t>
        </is>
      </c>
      <c r="J134" s="8" t="inlineStr">
        <is>
          <t>Ne récupérer une arme que si elle est présente, identifiable et démontable; vérifier le calibre</t>
        </is>
      </c>
      <c r="K134" s="8" t="inlineStr">
        <is>
          <t>À vérifier</t>
        </is>
      </c>
      <c r="L134" s="8" t="inlineStr">
        <is>
          <t>Non — contenu ultérieur</t>
        </is>
      </c>
      <c r="M134" s="8" t="inlineStr">
        <is>
          <t>À intégrer après validation du prototype</t>
        </is>
      </c>
    </row>
    <row r="135" ht="42" customHeight="1">
      <c r="A135" s="8" t="inlineStr">
        <is>
          <t>T-13 B1/B2</t>
        </is>
      </c>
      <c r="B135" s="8" t="inlineStr">
        <is>
          <t>Belgique</t>
        </is>
      </c>
      <c r="C135" s="8" t="inlineStr">
        <is>
          <t>Chasseurs de chars et canons automoteurs</t>
        </is>
      </c>
      <c r="D135" s="8" t="inlineStr">
        <is>
          <t>4 cylindres essence Vickers / Meadows (selon série à confirmer)</t>
        </is>
      </c>
      <c r="E135" s="8" t="inlineStr">
        <is>
          <t>https://tanks-encyclopedia.com/ww2/belgium/t13/</t>
        </is>
      </c>
      <c r="F135" s="8" t="inlineStr">
        <is>
          <t>À vérifier</t>
        </is>
      </c>
      <c r="G135" s="8" t="inlineStr">
        <is>
          <t>Chasseur de chars léger belge.</t>
        </is>
      </c>
      <c r="H135" s="8" t="inlineStr">
        <is>
          <t>Série</t>
        </is>
      </c>
      <c r="I135" s="8" t="inlineStr">
        <is>
          <t>Armement historique à déterminer précisément pour ce modèle/sa variante</t>
        </is>
      </c>
      <c r="J135" s="8" t="inlineStr">
        <is>
          <t>Ne récupérer une arme que si elle est présente, identifiable et démontable; vérifier le calibre</t>
        </is>
      </c>
      <c r="K135" s="8" t="inlineStr">
        <is>
          <t>À vérifier</t>
        </is>
      </c>
      <c r="L135" s="8" t="inlineStr">
        <is>
          <t>Non — contenu ultérieur</t>
        </is>
      </c>
      <c r="M135" s="8" t="inlineStr">
        <is>
          <t>À intégrer après validation du prototype</t>
        </is>
      </c>
    </row>
    <row r="136" ht="42" customHeight="1">
      <c r="A136" s="8" t="inlineStr">
        <is>
          <t>T-15</t>
        </is>
      </c>
      <c r="B136" s="8" t="inlineStr">
        <is>
          <t>Belgique</t>
        </is>
      </c>
      <c r="C136" s="8" t="inlineStr">
        <is>
          <t>Chars légers et chars anciens</t>
        </is>
      </c>
      <c r="D136" s="8" t="inlineStr">
        <is>
          <t>4 cylindres essence Meadows (à confirmer)</t>
        </is>
      </c>
      <c r="E136" s="8" t="inlineStr">
        <is>
          <t>https://tanks-encyclopedia.com/ww2/belgium/t15/</t>
        </is>
      </c>
      <c r="F136" s="8" t="inlineStr">
        <is>
          <t>À vérifier</t>
        </is>
      </c>
      <c r="G136" s="8" t="inlineStr">
        <is>
          <t>Char léger belge dérivé de conception britannique.</t>
        </is>
      </c>
      <c r="H136" s="8" t="inlineStr">
        <is>
          <t>Série</t>
        </is>
      </c>
      <c r="I136" s="8" t="inlineStr">
        <is>
          <t>Armement historique à déterminer précisément pour ce modèle/sa variante</t>
        </is>
      </c>
      <c r="J136" s="8" t="inlineStr">
        <is>
          <t>Ne récupérer une arme que si elle est présente, identifiable et démontable; vérifier le calibre</t>
        </is>
      </c>
      <c r="K136" s="8" t="inlineStr">
        <is>
          <t>À vérifier</t>
        </is>
      </c>
      <c r="L136" s="8" t="inlineStr">
        <is>
          <t>Non — contenu ultérieur</t>
        </is>
      </c>
      <c r="M136" s="8" t="inlineStr">
        <is>
          <t>À intégrer après validation du prototype</t>
        </is>
      </c>
    </row>
  </sheetData>
  <autoFilter ref="A1:M13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9"/>
  <sheetViews>
    <sheetView showGridLines="0" workbookViewId="0">
      <pane ySplit="1" topLeftCell="A2" activePane="bottomLeft" state="frozen"/>
      <selection pane="bottomLeft" activeCell="A1" sqref="A1"/>
    </sheetView>
  </sheetViews>
  <sheetFormatPr baseColWidth="8" defaultRowHeight="15"/>
  <cols>
    <col width="20" customWidth="1" min="1" max="1"/>
    <col width="29" customWidth="1" min="2" max="2"/>
    <col width="48" customWidth="1" min="3" max="3"/>
    <col width="29" customWidth="1" min="4" max="4"/>
    <col width="48" customWidth="1" min="5" max="5"/>
    <col width="48" customWidth="1" min="6" max="6"/>
  </cols>
  <sheetData>
    <row r="1">
      <c r="A1" s="9" t="inlineStr">
        <is>
          <t>Famille provisoire</t>
        </is>
      </c>
      <c r="B1" s="9" t="inlineStr">
        <is>
          <t>Architecture / type</t>
        </is>
      </c>
      <c r="C1" s="9" t="inlineStr">
        <is>
          <t>Exemples de véhicules</t>
        </is>
      </c>
      <c r="D1" s="9" t="inlineStr">
        <is>
          <t>Carburant / refroidissement</t>
        </is>
      </c>
      <c r="E1" s="9" t="inlineStr">
        <is>
          <t>Règle gameplay recommandée</t>
        </is>
      </c>
      <c r="F1" s="9" t="inlineStr">
        <is>
          <t>Vérification</t>
        </is>
      </c>
    </row>
    <row r="2">
      <c r="A2" s="8" t="inlineStr">
        <is>
          <t>MAYBACH-HL120</t>
        </is>
      </c>
      <c r="B2" s="8" t="inlineStr">
        <is>
          <t>V12</t>
        </is>
      </c>
      <c r="C2" s="8" t="inlineStr">
        <is>
          <t>Panzer III tardif, Panzer IV tardif, StuG III/IV, Jagdpanzer IV, Brummbär, Nashorn (selon variantes)</t>
        </is>
      </c>
      <c r="D2" s="8" t="inlineStr">
        <is>
          <t>Essence, liquide</t>
        </is>
      </c>
      <c r="E2" s="8" t="inlineStr">
        <is>
          <t>Famille commune possible, mais supports, embrayage, boîte et implantation à vérifier.</t>
        </is>
      </c>
      <c r="F2" s="8" t="inlineStr">
        <is>
          <t>Plusieurs modèles documentés ; compatibilités précises à contrôler.</t>
        </is>
      </c>
    </row>
    <row r="3">
      <c r="A3" s="8" t="inlineStr">
        <is>
          <t>MAYBACH-HL230</t>
        </is>
      </c>
      <c r="B3" s="8" t="inlineStr">
        <is>
          <t>V12</t>
        </is>
      </c>
      <c r="C3" s="8" t="inlineStr">
        <is>
          <t>Panther, Tiger II, Jagdpanther, Sturmtiger</t>
        </is>
      </c>
      <c r="D3" s="8" t="inlineStr">
        <is>
          <t>Essence, liquide</t>
        </is>
      </c>
      <c r="E3" s="8" t="inlineStr">
        <is>
          <t>Moteur lourd et puissant ; exige refroidissement et transmission adaptés.</t>
        </is>
      </c>
      <c r="F3" s="8" t="inlineStr">
        <is>
          <t>Documenté sur plusieurs familles.</t>
        </is>
      </c>
    </row>
    <row r="4">
      <c r="A4" s="8" t="inlineStr">
        <is>
          <t>MAYBACH-HL210</t>
        </is>
      </c>
      <c r="B4" s="8" t="inlineStr">
        <is>
          <t>V12</t>
        </is>
      </c>
      <c r="C4" s="8" t="inlineStr">
        <is>
          <t>Premiers Tiger I</t>
        </is>
      </c>
      <c r="D4" s="8" t="inlineStr">
        <is>
          <t>Essence, liquide</t>
        </is>
      </c>
      <c r="E4" s="8" t="inlineStr">
        <is>
          <t>Variante distincte du HL230, même famille générale mais pièces non garanties interchangeables.</t>
        </is>
      </c>
      <c r="F4" s="8" t="inlineStr">
        <is>
          <t>À distinguer par série.</t>
        </is>
      </c>
    </row>
    <row r="5">
      <c r="A5" s="8" t="inlineStr">
        <is>
          <t>FORD-GAA</t>
        </is>
      </c>
      <c r="B5" s="8" t="inlineStr">
        <is>
          <t>V8</t>
        </is>
      </c>
      <c r="C5" s="8" t="inlineStr">
        <is>
          <t>M4A3 Sherman, M36 Jackson, T28/T95 projet</t>
        </is>
      </c>
      <c r="D5" s="8" t="inlineStr">
        <is>
          <t>Essence, liquide</t>
        </is>
      </c>
      <c r="E5" s="8" t="inlineStr">
        <is>
          <t>V8 puissant, large et lourd ; bon moteur de véhicule lourd.</t>
        </is>
      </c>
      <c r="F5" s="8" t="inlineStr">
        <is>
          <t>M4A3 documenté par National WWII Museum.</t>
        </is>
      </c>
    </row>
    <row r="6">
      <c r="A6" s="8" t="inlineStr">
        <is>
          <t>CONTINENTAL-R975</t>
        </is>
      </c>
      <c r="B6" s="8" t="inlineStr">
        <is>
          <t>9 cylindres en étoile</t>
        </is>
      </c>
      <c r="C6" s="8" t="inlineStr">
        <is>
          <t>M4/M4A1 Sherman, M3 Lee/Grant, M18 Hellcat, M7 Priest, M8 Scott</t>
        </is>
      </c>
      <c r="D6" s="8" t="inlineStr">
        <is>
          <t>Essence, air</t>
        </is>
      </c>
      <c r="E6" s="8" t="inlineStr">
        <is>
          <t>Moteur radial : silhouette et refroidissement différents d'un moteur en ligne.</t>
        </is>
      </c>
      <c r="F6" s="8" t="inlineStr">
        <is>
          <t>Famille utilisée dans plusieurs véhicules ; vérifier chaque version.</t>
        </is>
      </c>
    </row>
    <row r="7">
      <c r="A7" s="8" t="inlineStr">
        <is>
          <t>GM-6046</t>
        </is>
      </c>
      <c r="B7" s="8" t="inlineStr">
        <is>
          <t>2 x 6 cylindres en ligne</t>
        </is>
      </c>
      <c r="C7" s="8" t="inlineStr">
        <is>
          <t>M4A2 Sherman, M10 selon variante, Sexton selon version</t>
        </is>
      </c>
      <c r="D7" s="8" t="inlineStr">
        <is>
          <t>Diesel, liquide</t>
        </is>
      </c>
      <c r="E7" s="8" t="inlineStr">
        <is>
          <t>Deux blocs couplés ; dans le jeu, représenter comme un ensemble multimoteur ou deux modules appariés.</t>
        </is>
      </c>
      <c r="F7" s="8" t="inlineStr">
        <is>
          <t>Variantes par véhicule à vérifier.</t>
        </is>
      </c>
    </row>
    <row r="8">
      <c r="A8" s="8" t="inlineStr">
        <is>
          <t>CADILLAC-V8-TWIN</t>
        </is>
      </c>
      <c r="B8" s="8" t="inlineStr">
        <is>
          <t>2 V8</t>
        </is>
      </c>
      <c r="C8" s="8" t="inlineStr">
        <is>
          <t>M5 Stuart, M24 Chaffee</t>
        </is>
      </c>
      <c r="D8" s="8" t="inlineStr">
        <is>
          <t>Essence, liquide</t>
        </is>
      </c>
      <c r="E8" s="8" t="inlineStr">
        <is>
          <t>Deux moteurs V8 compacts avec transmission adaptée ; une excellente mécanique de construction personnalisée.</t>
        </is>
      </c>
      <c r="F8" s="8" t="inlineStr">
        <is>
          <t>Famille à vérifier par variante.</t>
        </is>
      </c>
    </row>
    <row r="9">
      <c r="A9" s="8" t="inlineStr">
        <is>
          <t>BEDFORD-FLAT12</t>
        </is>
      </c>
      <c r="B9" s="8" t="inlineStr">
        <is>
          <t>12 cylindres à plat</t>
        </is>
      </c>
      <c r="C9" s="8" t="inlineStr">
        <is>
          <t>Churchill, Bishop (selon variantes)</t>
        </is>
      </c>
      <c r="D9" s="8" t="inlineStr">
        <is>
          <t>Essence, liquide</t>
        </is>
      </c>
      <c r="E9" s="8" t="inlineStr">
        <is>
          <t>Moteur bas et large ; compatibilité limitée par l'encombrement.</t>
        </is>
      </c>
      <c r="F9" s="8" t="inlineStr">
        <is>
          <t>Famille documentée sur les Churchill.</t>
        </is>
      </c>
    </row>
    <row r="10">
      <c r="A10" s="8" t="inlineStr">
        <is>
          <t>ROLLS-ROYCE-METEOR</t>
        </is>
      </c>
      <c r="B10" s="8" t="inlineStr">
        <is>
          <t>V12 dérivé aviation</t>
        </is>
      </c>
      <c r="C10" s="8" t="inlineStr">
        <is>
          <t>Cromwell, Comet</t>
        </is>
      </c>
      <c r="D10" s="8" t="inlineStr">
        <is>
          <t>Essence, liquide</t>
        </is>
      </c>
      <c r="E10" s="8" t="inlineStr">
        <is>
          <t>Moteur de forte puissance ; famille emblématique à rendre rare et recherchée.</t>
        </is>
      </c>
      <c r="F10" s="8" t="inlineStr">
        <is>
          <t>Documenté.</t>
        </is>
      </c>
    </row>
    <row r="11">
      <c r="A11" s="8" t="inlineStr">
        <is>
          <t>V-2-DIESEL</t>
        </is>
      </c>
      <c r="B11" s="8" t="inlineStr">
        <is>
          <t>V12</t>
        </is>
      </c>
      <c r="C11" s="8" t="inlineStr">
        <is>
          <t>T-34, SU-85, SU-100, SU-122, plusieurs variantes soviétiques</t>
        </is>
      </c>
      <c r="D11" s="8" t="inlineStr">
        <is>
          <t>Diesel, liquide</t>
        </is>
      </c>
      <c r="E11" s="8" t="inlineStr">
        <is>
          <t>Famille soviétique majeure ; variations V-2, V-2-34, V-2K et V-2-IS à conserver comme sous-versions.</t>
        </is>
      </c>
      <c r="F11" s="8" t="inlineStr">
        <is>
          <t>Documenté mais codes de variante à détailler.</t>
        </is>
      </c>
    </row>
    <row r="12">
      <c r="A12" s="8" t="inlineStr">
        <is>
          <t>GAZ-203</t>
        </is>
      </c>
      <c r="B12" s="8" t="inlineStr">
        <is>
          <t>2 x 6 cylindres en ligne</t>
        </is>
      </c>
      <c r="C12" s="8" t="inlineStr">
        <is>
          <t>T-70, T-80, SU-76</t>
        </is>
      </c>
      <c r="D12" s="8" t="inlineStr">
        <is>
          <t>Essence, liquide</t>
        </is>
      </c>
      <c r="E12" s="8" t="inlineStr">
        <is>
          <t>Deux moteurs d'automobile couplés ; modèle intéressant de propulsion multimoteur.</t>
        </is>
      </c>
      <c r="F12" s="8" t="inlineStr">
        <is>
          <t>Documenté sur T-70/SU-76, vérifier sous-versions.</t>
        </is>
      </c>
    </row>
    <row r="13">
      <c r="A13" s="8" t="inlineStr">
        <is>
          <t>LIBERTY-L12</t>
        </is>
      </c>
      <c r="B13" s="8" t="inlineStr">
        <is>
          <t>V12</t>
        </is>
      </c>
      <c r="C13" s="8" t="inlineStr">
        <is>
          <t>BT-2/BT-5/BT-7 premières variantes, chars de croisière britanniques selon modèle</t>
        </is>
      </c>
      <c r="D13" s="8" t="inlineStr">
        <is>
          <t>Essence, liquide</t>
        </is>
      </c>
      <c r="E13" s="8" t="inlineStr">
        <is>
          <t>Moteur d'origine aéronautique ; vérifier chaque application et sa variante.</t>
        </is>
      </c>
      <c r="F13" s="8" t="inlineStr">
        <is>
          <t>Compatibilités historiques hétérogènes.</t>
        </is>
      </c>
    </row>
    <row r="14">
      <c r="A14" s="8" t="inlineStr">
        <is>
          <t>PRAGA-EPA</t>
        </is>
      </c>
      <c r="B14" s="8" t="inlineStr">
        <is>
          <t>6 cylindres en ligne</t>
        </is>
      </c>
      <c r="C14" s="8" t="inlineStr">
        <is>
          <t>Panzer 38(t), Hetzer, Marder III et variantes</t>
        </is>
      </c>
      <c r="D14" s="8" t="inlineStr">
        <is>
          <t>Essence, liquide</t>
        </is>
      </c>
      <c r="E14" s="8" t="inlineStr">
        <is>
          <t>Famille tchèque pouvant être partagée dans le jeu entre véhicules sur base 38(t), avec interfaces contrôlées.</t>
        </is>
      </c>
      <c r="F14" s="8" t="inlineStr">
        <is>
          <t>Documenté sur plusieurs dérivés.</t>
        </is>
      </c>
    </row>
    <row r="15">
      <c r="A15" s="8" t="inlineStr">
        <is>
          <t>SKODA-T11</t>
        </is>
      </c>
      <c r="B15" s="8" t="inlineStr">
        <is>
          <t>6 cylindres en ligne</t>
        </is>
      </c>
      <c r="C15" s="8" t="inlineStr">
        <is>
          <t>LT vz. 35, Panzer 35(t), TACAM R-2</t>
        </is>
      </c>
      <c r="D15" s="8" t="inlineStr">
        <is>
          <t>Essence, liquide</t>
        </is>
      </c>
      <c r="E15" s="8" t="inlineStr">
        <is>
          <t>Famille tchèque ; utile pour récupérer des pièces sur véhicules capturés.</t>
        </is>
      </c>
      <c r="F15" s="8" t="inlineStr">
        <is>
          <t>Documenté.</t>
        </is>
      </c>
    </row>
    <row r="16">
      <c r="A16" s="8" t="inlineStr">
        <is>
          <t>MITSUBISHI-A6120VD</t>
        </is>
      </c>
      <c r="B16" s="8" t="inlineStr">
        <is>
          <t>6 cylindres en ligne diesel</t>
        </is>
      </c>
      <c r="C16" s="8" t="inlineStr">
        <is>
          <t>Type 95 Ha-Go</t>
        </is>
      </c>
      <c r="D16" s="8" t="inlineStr">
        <is>
          <t>Diesel, liquide</t>
        </is>
      </c>
      <c r="E16" s="8" t="inlineStr">
        <is>
          <t>Famille japonaise spécifique ; pièces rares hors zones de provenance.</t>
        </is>
      </c>
      <c r="F16" s="8" t="inlineStr">
        <is>
          <t>Documenté.</t>
        </is>
      </c>
    </row>
    <row r="17">
      <c r="A17" s="8" t="inlineStr">
        <is>
          <t>SPA-8T</t>
        </is>
      </c>
      <c r="B17" s="8" t="inlineStr">
        <is>
          <t>8 cylindres en V diesel</t>
        </is>
      </c>
      <c r="C17" s="8" t="inlineStr">
        <is>
          <t>M11/39, M13/40, certaines versions Semovente</t>
        </is>
      </c>
      <c r="D17" s="8" t="inlineStr">
        <is>
          <t>Diesel, liquide</t>
        </is>
      </c>
      <c r="E17" s="8" t="inlineStr">
        <is>
          <t>Famille italienne partagée par châssis apparentés, sous-versions à distinguer.</t>
        </is>
      </c>
      <c r="F17" s="8" t="inlineStr">
        <is>
          <t>À vérifier précisément.</t>
        </is>
      </c>
    </row>
    <row r="18">
      <c r="A18" s="8" t="inlineStr">
        <is>
          <t>SAURER-VBLDB</t>
        </is>
      </c>
      <c r="B18" s="8" t="inlineStr">
        <is>
          <t>6 cylindres en ligne diesel</t>
        </is>
      </c>
      <c r="C18" s="8" t="inlineStr">
        <is>
          <t>7TP polonais</t>
        </is>
      </c>
      <c r="D18" s="8" t="inlineStr">
        <is>
          <t>Diesel, liquide</t>
        </is>
      </c>
      <c r="E18" s="8" t="inlineStr">
        <is>
          <t>Moteur diesel compact pour char léger ; pièce rare et recherchée.</t>
        </is>
      </c>
      <c r="F18" s="8" t="inlineStr">
        <is>
          <t>Documenté en première passe.</t>
        </is>
      </c>
    </row>
    <row r="19">
      <c r="A19" s="8" t="inlineStr">
        <is>
          <t>WEISS-MANFRED</t>
        </is>
      </c>
      <c r="B19" s="8" t="inlineStr">
        <is>
          <t>V8 essence</t>
        </is>
      </c>
      <c r="C19" s="8" t="inlineStr">
        <is>
          <t>Toldi/Turán selon variante</t>
        </is>
      </c>
      <c r="D19" s="8" t="inlineStr">
        <is>
          <t>Essence, liquide</t>
        </is>
      </c>
      <c r="E19" s="8" t="inlineStr">
        <is>
          <t>Famille hongroise à détailler par modèle et licence de moteur.</t>
        </is>
      </c>
      <c r="F19" s="8" t="inlineStr">
        <is>
          <t>À vérifier.</t>
        </is>
      </c>
    </row>
  </sheetData>
  <autoFilter ref="A1:F1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3"/>
  <sheetViews>
    <sheetView showGridLines="0" workbookViewId="0">
      <pane ySplit="1" topLeftCell="A2" activePane="bottomLeft" state="frozen"/>
      <selection pane="bottomLeft" activeCell="A1" sqref="A1"/>
    </sheetView>
  </sheetViews>
  <sheetFormatPr baseColWidth="8" defaultRowHeight="15"/>
  <cols>
    <col width="46" customWidth="1" min="1" max="1"/>
    <col width="48" customWidth="1" min="2" max="2"/>
    <col width="48" customWidth="1" min="3" max="3"/>
  </cols>
  <sheetData>
    <row r="1">
      <c r="A1" s="9" t="inlineStr">
        <is>
          <t>Source / organisme</t>
        </is>
      </c>
      <c r="B1" s="9" t="inlineStr">
        <is>
          <t>Sujet / usage</t>
        </is>
      </c>
      <c r="C1" s="9" t="inlineStr">
        <is>
          <t>URL</t>
        </is>
      </c>
    </row>
    <row r="2">
      <c r="A2" s="8" t="inlineStr">
        <is>
          <t>Musée des Blindés / Ministère des Armées</t>
        </is>
      </c>
      <c r="B2" s="8" t="inlineStr">
        <is>
          <t>Blindés français et étrangers, chars de 1917 à aujourd'hui</t>
        </is>
      </c>
      <c r="C2" s="8" t="inlineStr">
        <is>
          <t>https://www.defense.gouv.fr/chemins-memoire/tourisme-memoire/lieux-memoire/musees-du-ministere-armees-anciens-combattants/musee-blindes</t>
        </is>
      </c>
    </row>
    <row r="3">
      <c r="A3" s="8" t="inlineStr">
        <is>
          <t>Musée des Blindés — inventaire des véhicules</t>
        </is>
      </c>
      <c r="B3" s="8" t="inlineStr">
        <is>
          <t>Renault FT, R35/R39, H35/H39, SOMUA S35, B1 bis, Panther, Sherman et autres</t>
        </is>
      </c>
      <c r="C3" s="8" t="inlineStr">
        <is>
          <t>https://museedesblindes.fr/le-musee/nos-vehicules/</t>
        </is>
      </c>
    </row>
    <row r="4">
      <c r="A4" s="8" t="inlineStr">
        <is>
          <t>The Tank Museum</t>
        </is>
      </c>
      <c r="B4" s="8" t="inlineStr">
        <is>
          <t>Fiches de collection britanniques et alliées : Valentine, Churchill, Cromwell, Comet</t>
        </is>
      </c>
      <c r="C4" s="8" t="inlineStr">
        <is>
          <t>https://tankmuseum.org/tank-nuts/tank-collection/</t>
        </is>
      </c>
    </row>
    <row r="5">
      <c r="A5" s="8" t="inlineStr">
        <is>
          <t>The National WWII Museum</t>
        </is>
      </c>
      <c r="B5" s="8" t="inlineStr">
        <is>
          <t>M4 Sherman et véhicules américains, dont moteur Ford GAA sur M4A3</t>
        </is>
      </c>
      <c r="C5" s="8" t="inlineStr">
        <is>
          <t>https://www.nationalww2museum.org/visit/museum-campus-guide/us-freedom-pavilion/vehicles-war/m4-sherman-tank</t>
        </is>
      </c>
    </row>
    <row r="6">
      <c r="A6" s="8" t="inlineStr">
        <is>
          <t>National Museum of Military Vehicles</t>
        </is>
      </c>
      <c r="B6" s="8" t="inlineStr">
        <is>
          <t>Contexte des chasseurs de chars américains M10/M18/M36</t>
        </is>
      </c>
      <c r="C6" s="8" t="inlineStr">
        <is>
          <t>https://nmmv.org/museum-insights/</t>
        </is>
      </c>
    </row>
    <row r="7">
      <c r="A7" s="8" t="inlineStr">
        <is>
          <t>Tank Encyclopedia</t>
        </is>
      </c>
      <c r="B7" s="8" t="inlineStr">
        <is>
          <t>Données techniques, variantes, motorisations et prototypes de blindés par pays</t>
        </is>
      </c>
      <c r="C7" s="8" t="inlineStr">
        <is>
          <t>https://tanks-encyclopedia.com/world-war-ii-tanks.php</t>
        </is>
      </c>
    </row>
    <row r="8">
      <c r="A8" s="8" t="inlineStr">
        <is>
          <t>Tankopedia</t>
        </is>
      </c>
      <c r="B8" s="8" t="inlineStr">
        <is>
          <t>Catalogue de blindés de 1939-1945, utile pour recoupement des modèles</t>
        </is>
      </c>
      <c r="C8" s="8" t="inlineStr">
        <is>
          <t>https://tankopedia.co.uk/eras/ww2</t>
        </is>
      </c>
    </row>
    <row r="9">
      <c r="A9" s="8" t="inlineStr">
        <is>
          <t>World of Tanks — Type 95 Ha-Go</t>
        </is>
      </c>
      <c r="B9" s="8" t="inlineStr">
        <is>
          <t>Motorisation diesel Mitsubishi A6120VD du Type 95</t>
        </is>
      </c>
      <c r="C9" s="8" t="inlineStr">
        <is>
          <t>https://worldoftanks.com/en/news/general-news/about-ha-go/</t>
        </is>
      </c>
    </row>
    <row r="10">
      <c r="A10" s="8" t="inlineStr">
        <is>
          <t>General Staff Archives</t>
        </is>
      </c>
      <c r="B10" s="8" t="inlineStr">
        <is>
          <t>Blindés hongrois et tableaux de variantes</t>
        </is>
      </c>
      <c r="C10" s="8" t="inlineStr">
        <is>
          <t>https://generalstab.org/military_history/second_world_war/barbarossa-axis-allies/hungarian-weapons-statistics/</t>
        </is>
      </c>
    </row>
    <row r="11">
      <c r="A11" s="8" t="inlineStr">
        <is>
          <t>WorldWar2.ro</t>
        </is>
      </c>
      <c r="B11" s="8" t="inlineStr">
        <is>
          <t>TACAM R-2 : conversion roumaine et moteur Škoda T-11</t>
        </is>
      </c>
      <c r="C11" s="8" t="inlineStr">
        <is>
          <t>https://www.worldwar2.ro/arme/?article=242&amp;language=ro</t>
        </is>
      </c>
    </row>
    <row r="12">
      <c r="A12" s="8" t="inlineStr">
        <is>
          <t>OnWar — blindés italiens</t>
        </is>
      </c>
      <c r="B12" s="8" t="inlineStr">
        <is>
          <t>Catalogue de chars et canons automoteurs italiens</t>
        </is>
      </c>
      <c r="C12" s="8" t="inlineStr">
        <is>
          <t>https://www.onwar.com/tanks/italy/index.htm</t>
        </is>
      </c>
    </row>
    <row r="13">
      <c r="A13" s="8" t="inlineStr">
        <is>
          <t>OnWar — blindés japonais</t>
        </is>
      </c>
      <c r="B13" s="8" t="inlineStr">
        <is>
          <t>Catalogue de chars, tankettes et véhicules amphibies japonais</t>
        </is>
      </c>
      <c r="C13" s="8" t="inlineStr">
        <is>
          <t>https://onwar.com/wwii/tanks/japan/index.html</t>
        </is>
      </c>
    </row>
    <row r="14">
      <c r="A14" s="8" t="inlineStr">
        <is>
          <t>OnWar — blindés roumains</t>
        </is>
      </c>
      <c r="B14" s="8" t="inlineStr">
        <is>
          <t>R-1, TACAM R-2, TACAM T-60 et autres véhicules roumains</t>
        </is>
      </c>
      <c r="C14" s="8" t="inlineStr">
        <is>
          <t>https://onwar.com/wwii/tanks/romania/index.html</t>
        </is>
      </c>
    </row>
    <row r="15">
      <c r="A15" s="8" t="inlineStr">
        <is>
          <t>Military Factory — blindés suédois</t>
        </is>
      </c>
      <c r="B15" s="8" t="inlineStr">
        <is>
          <t>Strv m/31, m/38, m/39, m/40 et m/42</t>
        </is>
      </c>
      <c r="C15" s="8" t="inlineStr">
        <is>
          <t>https://www.militaryfactory.com/armor/ww2-swedish-tanks.php</t>
        </is>
      </c>
    </row>
    <row r="16">
      <c r="A16" s="8" t="inlineStr">
        <is>
          <t>Tank Encyclopedia — blindés polonais</t>
        </is>
      </c>
      <c r="B16" s="8" t="inlineStr">
        <is>
          <t>TK-3/TKS, 7TP, 10TP et autres véhicules polonais</t>
        </is>
      </c>
      <c r="C16" s="8" t="inlineStr">
        <is>
          <t>https://tanks-encyclopedia.com/ww2/polish/</t>
        </is>
      </c>
    </row>
    <row r="17">
      <c r="A17" s="8" t="inlineStr">
        <is>
          <t>Tank Encyclopedia — blindés français</t>
        </is>
      </c>
      <c r="B17" s="8" t="inlineStr">
        <is>
          <t>Chars et prototypes français</t>
        </is>
      </c>
      <c r="C17" s="8" t="inlineStr">
        <is>
          <t>https://tanks-encyclopedia.com/ww2/france/</t>
        </is>
      </c>
    </row>
    <row r="18">
      <c r="A18" s="8" t="inlineStr">
        <is>
          <t>Tank Encyclopedia — blindés allemands</t>
        </is>
      </c>
      <c r="B18" s="8" t="inlineStr">
        <is>
          <t>Chars allemands, chasseurs de chars et canons automoteurs</t>
        </is>
      </c>
      <c r="C18" s="8" t="inlineStr">
        <is>
          <t>https://tanks-encyclopedia.com/ww2/germany/</t>
        </is>
      </c>
    </row>
    <row r="19">
      <c r="A19" s="8" t="inlineStr">
        <is>
          <t>Tank Encyclopedia — blindés soviétiques</t>
        </is>
      </c>
      <c r="B19" s="8" t="inlineStr">
        <is>
          <t>Chars et canons automoteurs soviétiques</t>
        </is>
      </c>
      <c r="C19" s="8" t="inlineStr">
        <is>
          <t>https://tanks-encyclopedia.com/ww2/soviet/</t>
        </is>
      </c>
    </row>
    <row r="20">
      <c r="A20" s="8" t="inlineStr">
        <is>
          <t>Tank Encyclopedia — blindés américains</t>
        </is>
      </c>
      <c r="B20" s="8" t="inlineStr">
        <is>
          <t>Chars, chasseurs de chars et canons automoteurs américains</t>
        </is>
      </c>
      <c r="C20" s="8" t="inlineStr">
        <is>
          <t>https://tanks-encyclopedia.com/ww2/us/</t>
        </is>
      </c>
    </row>
    <row r="21">
      <c r="A21" s="8" t="inlineStr">
        <is>
          <t>Tank Encyclopedia — blindés britanniques</t>
        </is>
      </c>
      <c r="B21" s="8" t="inlineStr">
        <is>
          <t>Chars britanniques et canons automoteurs</t>
        </is>
      </c>
      <c r="C21" s="8" t="inlineStr">
        <is>
          <t>https://tanks-encyclopedia.com/ww2/gb/</t>
        </is>
      </c>
    </row>
    <row r="22">
      <c r="A22" s="8" t="inlineStr">
        <is>
          <t>Tank Encyclopedia — blindés tchèques</t>
        </is>
      </c>
      <c r="B22" s="8" t="inlineStr">
        <is>
          <t>LT vz. 34/35/38, Praga et Škoda</t>
        </is>
      </c>
      <c r="C22" s="8" t="inlineStr">
        <is>
          <t>https://tanks-encyclopedia.com/ww2/czechoslovakia/</t>
        </is>
      </c>
    </row>
    <row r="23">
      <c r="A23" s="8" t="inlineStr">
        <is>
          <t>Tank Encyclopedia — blindés belges</t>
        </is>
      </c>
      <c r="B23" s="8" t="inlineStr">
        <is>
          <t>T-13, T-15 et autres blindés belges</t>
        </is>
      </c>
      <c r="C23" s="8" t="inlineStr">
        <is>
          <t>https://tanks-encyclopedia.com/ww2/belgium/</t>
        </is>
      </c>
    </row>
  </sheetData>
  <autoFilter ref="A1:C2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2"/>
  <sheetViews>
    <sheetView showGridLines="0" workbookViewId="0">
      <pane ySplit="1" topLeftCell="A2" activePane="bottomLeft" state="frozen"/>
      <selection pane="bottomLeft" activeCell="A1" sqref="A1"/>
    </sheetView>
  </sheetViews>
  <sheetFormatPr baseColWidth="8" defaultRowHeight="15"/>
  <cols>
    <col width="33" customWidth="1" min="1" max="1"/>
    <col width="48" customWidth="1" min="2" max="2"/>
    <col width="48" customWidth="1" min="3" max="3"/>
    <col width="28" customWidth="1" min="4" max="4"/>
    <col width="48" customWidth="1" min="5" max="5"/>
  </cols>
  <sheetData>
    <row r="1">
      <c r="A1" s="9" t="inlineStr">
        <is>
          <t>Famille gameplay</t>
        </is>
      </c>
      <c r="B1" s="9" t="inlineStr">
        <is>
          <t>Exemples historiques</t>
        </is>
      </c>
      <c r="C1" s="9" t="inlineStr">
        <is>
          <t>Rôle en jeu</t>
        </is>
      </c>
      <c r="D1" s="9" t="inlineStr">
        <is>
          <t>Difficulté de récupération</t>
        </is>
      </c>
      <c r="E1" s="9" t="inlineStr">
        <is>
          <t>Règle de compatibilité</t>
        </is>
      </c>
    </row>
    <row r="2" ht="42" customHeight="1">
      <c r="A2" s="8" t="inlineStr">
        <is>
          <t>Mitrailleuse légère</t>
        </is>
      </c>
      <c r="B2" s="8" t="inlineStr">
        <is>
          <t>FM 24/29; Bren; BAR; DP-27; Type 96/99</t>
        </is>
      </c>
      <c r="C2" s="8" t="inlineStr">
        <is>
          <t>Anti-personnel; faible contre blindage</t>
        </is>
      </c>
      <c r="D2" s="8" t="inlineStr">
        <is>
          <t>Faible à moyenne</t>
        </is>
      </c>
      <c r="E2" s="8" t="inlineStr">
        <is>
          <t>Montage sur affût adapté; compatibilité de calibre et alimentation</t>
        </is>
      </c>
    </row>
    <row r="3" ht="42" customHeight="1">
      <c r="A3" s="8" t="inlineStr">
        <is>
          <t>Mitrailleuse polyvalente</t>
        </is>
      </c>
      <c r="B3" s="8" t="inlineStr">
        <is>
          <t>MG 34; MG 42; Vickers K; Besa selon rôle</t>
        </is>
      </c>
      <c r="C3" s="8" t="inlineStr">
        <is>
          <t>Anti-personnel; tir soutenu</t>
        </is>
      </c>
      <c r="D3" s="8" t="inlineStr">
        <is>
          <t>Moyenne</t>
        </is>
      </c>
      <c r="E3" s="8" t="inlineStr">
        <is>
          <t>Affût/coaxial différent selon installation; certaines armes demandent un poste de tir</t>
        </is>
      </c>
    </row>
    <row r="4" ht="42" customHeight="1">
      <c r="A4" s="8" t="inlineStr">
        <is>
          <t>Mitrailleuse lourde</t>
        </is>
      </c>
      <c r="B4" s="8" t="inlineStr">
        <is>
          <t>Browning M2 12,7 mm; DShK 12,7 mm</t>
        </is>
      </c>
      <c r="C4" s="8" t="inlineStr">
        <is>
          <t>Anti-personnel et véhicules légers</t>
        </is>
      </c>
      <c r="D4" s="8" t="inlineStr">
        <is>
          <t>Moyenne à élevée</t>
        </is>
      </c>
      <c r="E4" s="8" t="inlineStr">
        <is>
          <t>Affût renforcé; masse et recul limitent les supports</t>
        </is>
      </c>
    </row>
    <row r="5" ht="42" customHeight="1">
      <c r="A5" s="8" t="inlineStr">
        <is>
          <t>Canon automatique léger</t>
        </is>
      </c>
      <c r="B5" s="8" t="inlineStr">
        <is>
          <t>20 mm KwK 30/38; Oerlikon 20 mm; Hispano-Suiza 20 mm</t>
        </is>
      </c>
      <c r="C5" s="8" t="inlineStr">
        <is>
          <t>Anti-personnel, véhicules légers, parfois aérien</t>
        </is>
      </c>
      <c r="D5" s="8" t="inlineStr">
        <is>
          <t>Élevée</t>
        </is>
      </c>
      <c r="E5" s="8" t="inlineStr">
        <is>
          <t>Tourelle/affût et approvisionnement en munitions adaptés</t>
        </is>
      </c>
    </row>
    <row r="6" ht="42" customHeight="1">
      <c r="A6" s="8" t="inlineStr">
        <is>
          <t>Canon antichar léger</t>
        </is>
      </c>
      <c r="B6" s="8" t="inlineStr">
        <is>
          <t>25 mm SA 35; 37 mm SA 18/SA 38; 40 mm 2-pdr; 45 mm 20-K</t>
        </is>
      </c>
      <c r="C6" s="8" t="inlineStr">
        <is>
          <t>Bon contre véhicules légers, limité contre blindage lourd</t>
        </is>
      </c>
      <c r="D6" s="8" t="inlineStr">
        <is>
          <t>Élevée</t>
        </is>
      </c>
      <c r="E6" s="8" t="inlineStr">
        <is>
          <t>Nécessite affût, recul, espace et munitions compatibles</t>
        </is>
      </c>
    </row>
    <row r="7" ht="42" customHeight="1">
      <c r="A7" s="8" t="inlineStr">
        <is>
          <t>Canon moyen</t>
        </is>
      </c>
      <c r="B7" s="8" t="inlineStr">
        <is>
          <t>47 mm SA 35/SA 37; 50 mm KwK 38/39; 57 mm 6-pdr/ZiS-4</t>
        </is>
      </c>
      <c r="C7" s="8" t="inlineStr">
        <is>
          <t>Polyvalent; bon contre blindés moyens selon modèle</t>
        </is>
      </c>
      <c r="D7" s="8" t="inlineStr">
        <is>
          <t>Très élevée</t>
        </is>
      </c>
      <c r="E7" s="8" t="inlineStr">
        <is>
          <t>Compatibilité liée à la tourelle/casemate et au berceau</t>
        </is>
      </c>
    </row>
    <row r="8" ht="42" customHeight="1">
      <c r="A8" s="8" t="inlineStr">
        <is>
          <t>Canon de char moyen</t>
        </is>
      </c>
      <c r="B8" s="8" t="inlineStr">
        <is>
          <t>75 mm KwK 37/KwK 40; M3; F-34; 76 mm M1; 85 mm ZiS-S-53</t>
        </is>
      </c>
      <c r="C8" s="8" t="inlineStr">
        <is>
          <t>Combat contre blindés et positions; dépend du type d'obus</t>
        </is>
      </c>
      <c r="D8" s="8" t="inlineStr">
        <is>
          <t>Très élevée</t>
        </is>
      </c>
      <c r="E8" s="8" t="inlineStr">
        <is>
          <t>Ne pas échanger uniquement sur le calibre : recul, culasse, berceau et tourelle comptent</t>
        </is>
      </c>
    </row>
    <row r="9" ht="42" customHeight="1">
      <c r="A9" s="8" t="inlineStr">
        <is>
          <t>Canon lourd / antichar</t>
        </is>
      </c>
      <c r="B9" s="8" t="inlineStr">
        <is>
          <t>88 mm KwK 36/43, PaK 43; 90 mm M3; 100 mm D-10</t>
        </is>
      </c>
      <c r="C9" s="8" t="inlineStr">
        <is>
          <t>Très puissant contre blindés; lourd et coûteux en munitions</t>
        </is>
      </c>
      <c r="D9" s="8" t="inlineStr">
        <is>
          <t>Extrême</t>
        </is>
      </c>
      <c r="E9" s="8" t="inlineStr">
        <is>
          <t>Châssis, tourelle/casemate et recul doivent être compatibles</t>
        </is>
      </c>
    </row>
    <row r="10" ht="42" customHeight="1">
      <c r="A10" s="8" t="inlineStr">
        <is>
          <t>Obusier / canon d'appui</t>
        </is>
      </c>
      <c r="B10" s="8" t="inlineStr">
        <is>
          <t>75 mm, 105 mm leFH 18; 122 mm; 150/152 mm</t>
        </is>
      </c>
      <c r="C10" s="8" t="inlineStr">
        <is>
          <t>Dégâts élevés contre positions et groupes; faible cadence</t>
        </is>
      </c>
      <c r="D10" s="8" t="inlineStr">
        <is>
          <t>Très élevée à extrême</t>
        </is>
      </c>
      <c r="E10" s="8" t="inlineStr">
        <is>
          <t>Munition et affût spécifiques; parfois non conçu pour le tir antichar</t>
        </is>
      </c>
    </row>
    <row r="11" ht="42" customHeight="1">
      <c r="A11" s="8" t="inlineStr">
        <is>
          <t>Mortier / lance-roquettes</t>
        </is>
      </c>
      <c r="B11" s="8" t="inlineStr">
        <is>
          <t>Mortier de 81 mm; RW 61 de 380 mm sur Sturmtiger</t>
        </is>
      </c>
      <c r="C11" s="8" t="inlineStr">
        <is>
          <t>Tir indirect ou arme spécialisée</t>
        </is>
      </c>
      <c r="D11" s="8" t="inlineStr">
        <is>
          <t>Élevée à extrême</t>
        </is>
      </c>
      <c r="E11" s="8" t="inlineStr">
        <is>
          <t>Système complet requis; ne pas le traiter comme un canon standard</t>
        </is>
      </c>
    </row>
    <row r="12" ht="42" customHeight="1">
      <c r="A12" s="8" t="inlineStr">
        <is>
          <t>Arme absente / emplacement vide</t>
        </is>
      </c>
      <c r="B12" s="8" t="inlineStr">
        <is>
          <t>Épave dépouillée, véhicule civil, transport logistique</t>
        </is>
      </c>
      <c r="C12" s="8" t="inlineStr">
        <is>
          <t>Aucune puissance de feu tant qu'il n'est pas équipé</t>
        </is>
      </c>
      <c r="D12" s="8" t="inlineStr">
        <is>
          <t>Nulle</t>
        </is>
      </c>
      <c r="E12" s="8" t="inlineStr">
        <is>
          <t>Ne pas créer artificiellement une arme à partir du seul type de véhicule</t>
        </is>
      </c>
    </row>
  </sheetData>
  <autoFilter ref="A1:E1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23" customWidth="1" min="1" max="1"/>
    <col width="48" customWidth="1" min="2" max="2"/>
    <col width="48" customWidth="1" min="3" max="3"/>
    <col width="48" customWidth="1" min="4" max="4"/>
  </cols>
  <sheetData>
    <row r="1">
      <c r="A1" s="9" t="inlineStr">
        <is>
          <t>Étape / règle</t>
        </is>
      </c>
      <c r="B1" s="9" t="inlineStr">
        <is>
          <t>Réparer l'épave complète</t>
        </is>
      </c>
      <c r="C1" s="9" t="inlineStr">
        <is>
          <t>Démanteler l'épave</t>
        </is>
      </c>
      <c r="D1" s="9" t="inlineStr">
        <is>
          <t>Prélèvement pendant l'expédition</t>
        </is>
      </c>
    </row>
    <row r="2" ht="42" customHeight="1">
      <c r="A2" s="8" t="inlineStr">
        <is>
          <t>Choix</t>
        </is>
      </c>
      <c r="B2" s="8" t="inlineStr">
        <is>
          <t>Le joueur récupère le véhicule entier et le ramène à la base.</t>
        </is>
      </c>
      <c r="C2" s="8" t="inlineStr">
        <is>
          <t>Le joueur ramène l'épave ou la démonte à l'atelier selon le scénario.</t>
        </is>
      </c>
      <c r="D2" s="8" t="inlineStr">
        <is>
          <t>Le joueur prend seulement les pièces/armes accessibles sur place.</t>
        </is>
      </c>
    </row>
    <row r="3" ht="42" customHeight="1">
      <c r="A3" s="8" t="inlineStr">
        <is>
          <t>Résultat</t>
        </is>
      </c>
      <c r="B3" s="8" t="inlineStr">
        <is>
          <t>Le véhicule revient à son modèle et à sa configuration d'origine.</t>
        </is>
      </c>
      <c r="C3" s="8" t="inlineStr">
        <is>
          <t>Le véhicule est définitivement détruit comme véhicule; pièces et composants rejoignent le stock.</t>
        </is>
      </c>
      <c r="D3" s="8" t="inlineStr">
        <is>
          <t>Pas de véhicule ajouté au garage; seuls les objets effectivement récupérés sont transportés.</t>
        </is>
      </c>
    </row>
    <row r="4" ht="42" customHeight="1">
      <c r="A4" s="8" t="inlineStr">
        <is>
          <t>Modification</t>
        </is>
      </c>
      <c r="B4" s="8" t="inlineStr">
        <is>
          <t>Aucune modification structurelle ou de configuration sur cette option. L'entretien/réparation remet en état la configuration existante.</t>
        </is>
      </c>
      <c r="C4" s="8" t="inlineStr">
        <is>
          <t>Pas de véhicule conservé. Les pièces peuvent servir à d'autres constructions compatibles.</t>
        </is>
      </c>
      <c r="D4" s="8" t="inlineStr">
        <is>
          <t>Les armes et pièces récupérées peuvent être stockées puis montées sur un véhicule compatible.</t>
        </is>
      </c>
    </row>
    <row r="5" ht="42" customHeight="1">
      <c r="A5" s="8" t="inlineStr">
        <is>
          <t>Temps</t>
        </is>
      </c>
      <c r="B5" s="8" t="inlineStr">
        <is>
          <t>Temps d'atelier calculé selon taille, dégâts, disponibilité des pièces et mécaniciens.</t>
        </is>
      </c>
      <c r="C5" s="8" t="inlineStr">
        <is>
          <t>Temps d'atelier et occupation d'un poste de démontage; rendement selon état et dommages.</t>
        </is>
      </c>
      <c r="D5" s="8" t="inlineStr">
        <is>
          <t>Temps de fouille limité pendant l'expédition; risques et capacité de chargement limitent le prélèvement.</t>
        </is>
      </c>
    </row>
    <row r="6" ht="42" customHeight="1">
      <c r="A6" s="8" t="inlineStr">
        <is>
          <t>Armes</t>
        </is>
      </c>
      <c r="B6" s="8" t="inlineStr">
        <is>
          <t>L'arme d'origine ne revient que si elle est encore présente et réparable; elle reste dans son montage d'origine.</t>
        </is>
      </c>
      <c r="C6" s="8" t="inlineStr">
        <is>
          <t>Canon, mitrailleuse, affût, optiques et munitions sont des composants séparés s'ils sont présents et récupérables.</t>
        </is>
      </c>
      <c r="D6" s="8" t="inlineStr">
        <is>
          <t>Le joueur peut choisir de prendre une arme plutôt qu'une pièce mécanique; une arme lourde prend davantage de place/temps.</t>
        </is>
      </c>
    </row>
    <row r="7" ht="42" customHeight="1">
      <c r="A7" s="8" t="inlineStr">
        <is>
          <t>État incomplet</t>
        </is>
      </c>
      <c r="B7" s="8" t="inlineStr">
        <is>
          <t>Si une arme ou un équipement manque, le véhicule réparé reste incomplet; pas de réapparition gratuite d'éléments.</t>
        </is>
      </c>
      <c r="C7" s="8" t="inlineStr">
        <is>
          <t>Les éléments absents ou détruits ne produisent aucun butin.</t>
        </is>
      </c>
      <c r="D7" s="8" t="inlineStr">
        <is>
          <t>Une arme endommagée peut être marquée à réparer avant emploi.</t>
        </is>
      </c>
    </row>
    <row r="8" ht="42" customHeight="1">
      <c r="A8" s="8" t="inlineStr">
        <is>
          <t>Historique</t>
        </is>
      </c>
      <c r="B8" s="8" t="inlineStr">
        <is>
          <t>Les véhicules historiques récupérés sont conservés dans leur configuration d'origine; les variantes sont distinctes dans le catalogue.</t>
        </is>
      </c>
      <c r="C8" s="8" t="inlineStr">
        <is>
          <t>Le démontage produit des composants compatibles, avec rendement simplifié par catégorie.</t>
        </is>
      </c>
      <c r="D8" s="8" t="inlineStr">
        <is>
          <t>Le jeu n'autorise pas le démontage magique : le type d'élément et l'état visuel de l'épave doivent justifier le butin.</t>
        </is>
      </c>
    </row>
    <row r="9" ht="42" customHeight="1">
      <c r="A9" s="8" t="inlineStr">
        <is>
          <t>Proposition de calcul</t>
        </is>
      </c>
      <c r="B9" s="8" t="inlineStr">
        <is>
          <t>Temps = base du gabarit × gravité des dégâts × pénalité de pièces manquantes, réduit par compétence et équipement d'atelier.</t>
        </is>
      </c>
      <c r="C9" s="8" t="inlineStr">
        <is>
          <t>Temps = base de démontage × complexité; rendement = pièces présentes × état × compétence.</t>
        </is>
      </c>
      <c r="D9" s="8" t="inlineStr">
        <is>
          <t>Coût en temps + capacité cargo + risque d'exposition; aucune liste de loot garantie.</t>
        </is>
      </c>
    </row>
    <row r="10" ht="42" customHeight="1">
      <c r="A10" s="8" t="inlineStr">
        <is>
          <t>États recommandés</t>
        </is>
      </c>
      <c r="B10" s="8" t="inlineStr">
        <is>
          <t>Roulant après réparations; immobilisé mais récupérable; irréparable en atelier.</t>
        </is>
      </c>
      <c r="C10" s="8" t="inlineStr">
        <is>
          <t>Démonté; composants triés; rebuts.</t>
        </is>
      </c>
      <c r="D10" s="8" t="inlineStr">
        <is>
          <t>Inspecté; prélèvement partiel; épave abandonnée.</t>
        </is>
      </c>
    </row>
  </sheetData>
  <autoFilter ref="A1:D10"/>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36" customWidth="1" min="1" max="1"/>
    <col width="48" customWidth="1" min="2" max="2"/>
    <col width="48" customWidth="1" min="3" max="3"/>
    <col width="48" customWidth="1" min="4" max="4"/>
  </cols>
  <sheetData>
    <row r="1">
      <c r="A1" s="9" t="inlineStr">
        <is>
          <t>Règle</t>
        </is>
      </c>
      <c r="B1" s="9" t="inlineStr">
        <is>
          <t>Base généraliste</t>
        </is>
      </c>
      <c r="C1" s="9" t="inlineStr">
        <is>
          <t>Base spécialisée</t>
        </is>
      </c>
      <c r="D1" s="9" t="inlineStr">
        <is>
          <t>Note de conception</t>
        </is>
      </c>
    </row>
    <row r="2" ht="48" customHeight="1">
      <c r="A2" s="8" t="inlineStr">
        <is>
          <t>Eau</t>
        </is>
      </c>
      <c r="B2" s="8" t="inlineStr">
        <is>
          <t>Production faible et locale</t>
        </is>
      </c>
      <c r="C2" s="8" t="inlineStr">
        <is>
          <t>Production importante dans une base spécialisée dans l'eau</t>
        </is>
      </c>
      <c r="D2" s="8" t="inlineStr">
        <is>
          <t>La capacité dépend du territoire, des installations et de l'approvisionnement.</t>
        </is>
      </c>
    </row>
    <row r="3" ht="48" customHeight="1">
      <c r="A3" s="8" t="inlineStr">
        <is>
          <t>Nourriture</t>
        </is>
      </c>
      <c r="B3" s="8" t="inlineStr">
        <is>
          <t>Production faible et locale</t>
        </is>
      </c>
      <c r="C3" s="8" t="inlineStr">
        <is>
          <t>Production importante dans une base agricole/alimentaire</t>
        </is>
      </c>
      <c r="D3" s="8" t="inlineStr">
        <is>
          <t>Rendements dépendants du terrain, de l'eau et des installations.</t>
        </is>
      </c>
    </row>
    <row r="4" ht="48" customHeight="1">
      <c r="A4" s="8" t="inlineStr">
        <is>
          <t>Pétrole / carburant</t>
        </is>
      </c>
      <c r="B4" s="8" t="inlineStr">
        <is>
          <t>Production ou récupération locale faible</t>
        </is>
      </c>
      <c r="C4" s="8" t="inlineStr">
        <is>
          <t>Production/raffinage important dans une base spécialisée</t>
        </is>
      </c>
      <c r="D4" s="8" t="inlineStr">
        <is>
          <t>Le carburant raffiné peut demander des intrants et des infrastructures.</t>
        </is>
      </c>
    </row>
    <row r="5" ht="48" customHeight="1">
      <c r="A5" s="8" t="inlineStr">
        <is>
          <t>Munitions</t>
        </is>
      </c>
      <c r="B5" s="8" t="inlineStr">
        <is>
          <t>Production faible, sous réserve de composants disponibles</t>
        </is>
      </c>
      <c r="C5" s="8" t="inlineStr">
        <is>
          <t>Production importante uniquement avec une infrastructure industrielle/militaire dédiée et des intrants rares</t>
        </is>
      </c>
      <c r="D5" s="8" t="inlineStr">
        <is>
          <t>Ne pas permettre la fabrication illimitée à partir de ferraille générique.</t>
        </is>
      </c>
    </row>
    <row r="6" ht="48" customHeight="1">
      <c r="A6" s="8" t="inlineStr">
        <is>
          <t>Pièces mécaniques et électroniques</t>
        </is>
      </c>
      <c r="B6" s="8" t="inlineStr">
        <is>
          <t>Réparation, tri et recyclage limités</t>
        </is>
      </c>
      <c r="C6" s="8" t="inlineStr">
        <is>
          <t>Pas de production massive à partir de rien</t>
        </is>
      </c>
      <c r="D6" s="8" t="inlineStr">
        <is>
          <t>Les pièces rares proviennent surtout du démontage, de la récupération et du commerce.</t>
        </is>
      </c>
    </row>
    <row r="7" ht="48" customHeight="1">
      <c r="A7" s="8" t="inlineStr">
        <is>
          <t>Matériaux de construction</t>
        </is>
      </c>
      <c r="B7" s="8" t="inlineStr">
        <is>
          <t>Transformation limitée de matériaux disponibles</t>
        </is>
      </c>
      <c r="C7" s="8" t="inlineStr">
        <is>
          <t>Volume dépendant des ressources du territoire</t>
        </is>
      </c>
      <c r="D7" s="8" t="inlineStr">
        <is>
          <t>À équilibrer selon la base et le biome.</t>
        </is>
      </c>
    </row>
  </sheetData>
  <autoFilter ref="A1:D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4"/>
  <sheetViews>
    <sheetView showGridLines="0" workbookViewId="0">
      <pane ySplit="1" topLeftCell="A2" activePane="bottomLeft" state="frozen"/>
      <selection pane="bottomLeft" activeCell="A1" sqref="A1"/>
    </sheetView>
  </sheetViews>
  <sheetFormatPr baseColWidth="8" defaultRowHeight="15"/>
  <cols>
    <col width="48" customWidth="1" min="1" max="1"/>
    <col width="45" customWidth="1" min="2" max="2"/>
    <col width="48" customWidth="1" min="3" max="3"/>
    <col width="48" customWidth="1" min="4" max="4"/>
  </cols>
  <sheetData>
    <row r="1">
      <c r="A1" s="9" t="inlineStr">
        <is>
          <t>Véhicule / donnée</t>
        </is>
      </c>
      <c r="B1" s="9" t="inlineStr">
        <is>
          <t>Source</t>
        </is>
      </c>
      <c r="C1" s="9" t="inlineStr">
        <is>
          <t>URL</t>
        </is>
      </c>
      <c r="D1" s="9" t="inlineStr">
        <is>
          <t>Usage / réserve</t>
        </is>
      </c>
    </row>
    <row r="2" ht="42" customHeight="1">
      <c r="A2" s="8" t="inlineStr">
        <is>
          <t>Diamond T 969A Wrecker dimensions and tire size</t>
        </is>
      </c>
      <c r="B2" s="8" t="inlineStr">
        <is>
          <t>US War Department Technical Manual TM 9-811</t>
        </is>
      </c>
      <c r="C2" s="8" t="inlineStr">
        <is>
          <t>https://radionerds.com/images/d/d7/TM_9-811_DIAMOND_T_SERIES.pdf</t>
        </is>
      </c>
      <c r="D2" s="8" t="inlineStr">
        <is>
          <t>Source technique primaire pour dimensions et pneus 9.00x20.</t>
        </is>
      </c>
    </row>
    <row r="3" ht="42" customHeight="1">
      <c r="A3" s="8" t="inlineStr">
        <is>
          <t>Willys MB tire size / dimensions</t>
        </is>
      </c>
      <c r="B3" s="8" t="inlineStr">
        <is>
          <t>ASME — Jeep Model MB technical data</t>
        </is>
      </c>
      <c r="C3" s="8" t="inlineStr">
        <is>
          <t>https://www.asme.org/wwwasmeorg/media/ResourceFiles/AboutASME/Who%20We%20Are/Engineering%20History/Landmarks/152-Jeep-Model-MB-1947.pdf</t>
        </is>
      </c>
      <c r="D3" s="8" t="inlineStr">
        <is>
          <t>Source technique; les dimensions précises des pneus et gabarit doivent être reprises par variante.</t>
        </is>
      </c>
    </row>
    <row r="4" ht="42" customHeight="1">
      <c r="A4" s="8" t="inlineStr">
        <is>
          <t>M3 Stuart track shoe width / dimensions</t>
        </is>
      </c>
      <c r="B4" s="8" t="inlineStr">
        <is>
          <t>US Army technical manual TM 9-726</t>
        </is>
      </c>
      <c r="C4" s="8" t="inlineStr">
        <is>
          <t>https://www.military-references.com/wp-content/uploads/books/tanks/usa/m3_stuart/Technical_manual_Light_tank_M3_TM_9-726.pdf</t>
        </is>
      </c>
      <c r="D4" s="8" t="inlineStr">
        <is>
          <t>Source primaire pour dimensions générales et patin de chenille; les données diffèrent selon version.</t>
        </is>
      </c>
    </row>
    <row r="5" ht="42" customHeight="1">
      <c r="A5" s="8" t="inlineStr">
        <is>
          <t>M3 Stuart A3 dimensions / track width</t>
        </is>
      </c>
      <c r="B5" s="8" t="inlineStr">
        <is>
          <t>OnWar — M3A3 Stuart</t>
        </is>
      </c>
      <c r="C5" s="8" t="inlineStr">
        <is>
          <t>https://www.onwar.com/tanks/usa/data/ltm3a3.htm</t>
        </is>
      </c>
      <c r="D5" s="8" t="inlineStr">
        <is>
          <t>Référence de recoupement pour la variante M3A3.</t>
        </is>
      </c>
    </row>
    <row r="6" ht="42" customHeight="1">
      <c r="A6" s="8" t="inlineStr">
        <is>
          <t>M4 Sherman 75 mm M3 / turret ring</t>
        </is>
      </c>
      <c r="B6" s="8" t="inlineStr">
        <is>
          <t>WarDrawings — M4 Sherman mid production</t>
        </is>
      </c>
      <c r="C6" s="8" t="inlineStr">
        <is>
          <t>https://www.wardrawings.be/WW2/Files/1-Vehicles/Allies/1-USA/02-MediumTanks/M4-Sherman/Data/M4%28mid%29.htm</t>
        </is>
      </c>
      <c r="D6" s="8" t="inlineStr">
        <is>
          <t>Référence de dimensions, canon et anneau de tourelle pour une variante de M4.</t>
        </is>
      </c>
    </row>
    <row r="7" ht="42" customHeight="1">
      <c r="A7" s="8" t="inlineStr">
        <is>
          <t>M4 Sherman 76 mm variant / track width</t>
        </is>
      </c>
      <c r="B7" s="8" t="inlineStr">
        <is>
          <t>OnWar — M4A1(76)W</t>
        </is>
      </c>
      <c r="C7" s="8" t="inlineStr">
        <is>
          <t>https://www.onwar.com/wwii/tanks/usa/us017m4a176w.html</t>
        </is>
      </c>
      <c r="D7" s="8" t="inlineStr">
        <is>
          <t>Montre qu'il faut distinguer les variantes 75 et 76 mm.</t>
        </is>
      </c>
    </row>
    <row r="8" ht="42" customHeight="1">
      <c r="A8" s="8" t="inlineStr">
        <is>
          <t>Tiger I dimensions / track widths / 88 mm</t>
        </is>
      </c>
      <c r="B8" s="8" t="inlineStr">
        <is>
          <t>OnWar — Tiger I</t>
        </is>
      </c>
      <c r="C8" s="8" t="inlineStr">
        <is>
          <t>https://www.onwar.com/tanks/germany/ftiger1.htm</t>
        </is>
      </c>
      <c r="D8" s="8" t="inlineStr">
        <is>
          <t>Longueur, largeur, chenille 72,5 cm, canon 88 mm KwK 36 L/56.</t>
        </is>
      </c>
    </row>
    <row r="9" ht="42" customHeight="1">
      <c r="A9" s="8" t="inlineStr">
        <is>
          <t>Tiger I dimensional cross-check</t>
        </is>
      </c>
      <c r="B9" s="8" t="inlineStr">
        <is>
          <t>WarDrawings — Tiger I early</t>
        </is>
      </c>
      <c r="C9" s="8" t="inlineStr">
        <is>
          <t>https://wardrawings.be/WW2/Files/1-Vehicles/Axis/1-Germany/03-sPanzers/Pz.Kpfw6-Tiger1/Data/Tiger1%28early%29.htm</t>
        </is>
      </c>
      <c r="D9" s="8" t="inlineStr">
        <is>
          <t>Recoupement des dimensions et de l'armement; variantes à vérifier.</t>
        </is>
      </c>
    </row>
    <row r="10" ht="42" customHeight="1">
      <c r="A10" s="8" t="inlineStr">
        <is>
          <t>BMW R75 wheel size</t>
        </is>
      </c>
      <c r="B10" s="8" t="inlineStr">
        <is>
          <t>Historical technical source still required</t>
        </is>
      </c>
      <c r="C10" s="8" t="inlineStr">
        <is>
          <t>—</t>
        </is>
      </c>
      <c r="D10" s="8" t="inlineStr">
        <is>
          <t>Dimensions de roues du prototype sont estimées à partir de pneus/jantes moto de la période; confirmer avec documentation BMW R75 militaire.</t>
        </is>
      </c>
    </row>
    <row r="11" ht="42" customHeight="1">
      <c r="A11" s="8" t="inlineStr">
        <is>
          <t>GMC CCKW 353 wheel size / dimensions</t>
        </is>
      </c>
      <c r="B11" s="8" t="inlineStr">
        <is>
          <t>Historical technical source still required</t>
        </is>
      </c>
      <c r="C11" s="8" t="inlineStr">
        <is>
          <t>—</t>
        </is>
      </c>
      <c r="D11" s="8" t="inlineStr">
        <is>
          <t>Valeurs de gabarit de jeu provisoires; confirmer avec TM spécifique GMC CCKW.</t>
        </is>
      </c>
    </row>
    <row r="12" ht="42" customHeight="1">
      <c r="A12" s="8" t="inlineStr">
        <is>
          <t>M3 Half Track wheel/track envelope</t>
        </is>
      </c>
      <c r="B12" s="8" t="inlineStr">
        <is>
          <t>Historical technical source still required</t>
        </is>
      </c>
      <c r="C12" s="8" t="inlineStr">
        <is>
          <t>—</t>
        </is>
      </c>
      <c r="D12" s="8" t="inlineStr">
        <is>
          <t>Patin ~0,30 m et enveloppe de profil sont des valeurs de prototypage, à confirmer.</t>
        </is>
      </c>
    </row>
    <row r="13" ht="42" customHeight="1">
      <c r="A13" s="8" t="inlineStr">
        <is>
          <t>M8 Greyhound tire / turret ring</t>
        </is>
      </c>
      <c r="B13" s="8" t="inlineStr">
        <is>
          <t>Historical technical source still required</t>
        </is>
      </c>
      <c r="C13" s="8" t="inlineStr">
        <is>
          <t>—</t>
        </is>
      </c>
      <c r="D13" s="8" t="inlineStr">
        <is>
          <t>Gabarit et anneau de tourelle provisoires; valider par manuel technique.</t>
        </is>
      </c>
    </row>
    <row r="14" ht="42" customHeight="1">
      <c r="A14" s="8" t="inlineStr">
        <is>
          <t>DUKW tire / overall dimensions</t>
        </is>
      </c>
      <c r="B14" s="8" t="inlineStr">
        <is>
          <t>Historical technical source still required</t>
        </is>
      </c>
      <c r="C14" s="8" t="inlineStr">
        <is>
          <t>—</t>
        </is>
      </c>
      <c r="D14" s="8" t="inlineStr">
        <is>
          <t>Gabarit global arrondi; dimensions de roue estimées.</t>
        </is>
      </c>
    </row>
  </sheetData>
  <autoFilter ref="A1:D1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2"/>
  <sheetViews>
    <sheetView showGridLines="0" workbookViewId="0">
      <pane ySplit="1" topLeftCell="A2" activePane="bottomLeft" state="frozen"/>
      <selection pane="bottomLeft" activeCell="A1" sqref="A1"/>
    </sheetView>
  </sheetViews>
  <sheetFormatPr baseColWidth="8" defaultRowHeight="15"/>
  <cols>
    <col width="29" customWidth="1" min="1" max="1"/>
    <col width="48" customWidth="1" min="2" max="2"/>
    <col width="48" customWidth="1" min="3" max="3"/>
  </cols>
  <sheetData>
    <row r="1">
      <c r="A1" s="9" t="inlineStr">
        <is>
          <t>Règle</t>
        </is>
      </c>
      <c r="B1" s="9" t="inlineStr">
        <is>
          <t>Comportement</t>
        </is>
      </c>
      <c r="C1" s="9" t="inlineStr">
        <is>
          <t>Exemples / exceptions</t>
        </is>
      </c>
    </row>
    <row r="2" ht="55" customHeight="1">
      <c r="A2" s="8" t="inlineStr">
        <is>
          <t>Points aimantés</t>
        </is>
      </c>
      <c r="B2" s="8" t="inlineStr">
        <is>
          <t>Les pièces se déplacent librement puis s'aimantent sur les points d'ancrage proches; pas besoin d'aligner chaque pixel sur les cellules.</t>
        </is>
      </c>
      <c r="C2" s="8" t="inlineStr">
        <is>
          <t>Roues sur points d'essieu; moteurs sur ancrages du châssis; tourelles sur points de montage.</t>
        </is>
      </c>
    </row>
    <row r="3" ht="55" customHeight="1">
      <c r="A3" s="8" t="inlineStr">
        <is>
          <t>Grille logique</t>
        </is>
      </c>
      <c r="B3" s="8" t="inlineStr">
        <is>
          <t>La grille de 0,25 m définit l'échelle, mais le placement utilise des points d'ancrage et des zones de collision par couche.</t>
        </is>
      </c>
      <c r="C3" s="8" t="inlineStr">
        <is>
          <t>Le visuel peut être légèrement décalé pour l'esthétique si les ancrages restent valides.</t>
        </is>
      </c>
    </row>
    <row r="4" ht="55" customHeight="1">
      <c r="A4" s="8" t="inlineStr">
        <is>
          <t>Couches</t>
        </is>
      </c>
      <c r="B4" s="8" t="inlineStr">
        <is>
          <t>Structure/châssis; mécanique; roulement; carrosserie; armement; cargaison. Les couches peuvent se superposer quand c'est logique.</t>
        </is>
      </c>
      <c r="C4" s="8" t="inlineStr">
        <is>
          <t>Le moteur peut être derrière une roue en vue latérale parce qu'il se trouve dans le châssis.</t>
        </is>
      </c>
    </row>
    <row r="5" ht="55" customHeight="1">
      <c r="A5" s="8" t="inlineStr">
        <is>
          <t>Roues</t>
        </is>
      </c>
      <c r="B5" s="8" t="inlineStr">
        <is>
          <t>Deux roues fonctionnelles ne peuvent pas se chevaucher dans la même zone physique; elles ne peuvent pas chevaucher une chenille dans le même emplacement.</t>
        </is>
      </c>
      <c r="C5" s="8" t="inlineStr">
        <is>
          <t>Les roues du côté opposé peuvent être masquées par le châssis en vue latérale; ce n'est pas un chevauchement logique.</t>
        </is>
      </c>
    </row>
    <row r="6" ht="55" customHeight="1">
      <c r="A6" s="8" t="inlineStr">
        <is>
          <t>Chenilles</t>
        </is>
      </c>
      <c r="B6" s="8" t="inlineStr">
        <is>
          <t>Les chenilles ne peuvent pas chevaucher des roues fonctionnelles dans la même zone de roulement; une architecture semi-chenillée autorise roues directrices à l'avant et chenilles à l'arrière.</t>
        </is>
      </c>
      <c r="C6" s="8" t="inlineStr">
        <is>
          <t>Une roue peut être dessinée devant ou derrière la chenille seulement si les zones physiques ne se croisent pas.</t>
        </is>
      </c>
    </row>
    <row r="7" ht="55" customHeight="1">
      <c r="A7" s="8" t="inlineStr">
        <is>
          <t>Moteurs / transmission</t>
        </is>
      </c>
      <c r="B7" s="8" t="inlineStr">
        <is>
          <t>Moteur, boîte et arbre peuvent partager le volume projeté du châssis dans des couches distinctes; leurs points de montage ne peuvent pas occuper le même ancrage incompatible.</t>
        </is>
      </c>
      <c r="C7" s="8" t="inlineStr">
        <is>
          <t>Un moteur dessiné derrière une roue est permis; deux moteurs peuvent se chevaucher visuellement si leur volume 3D abstrait est distinct, mais pas leur ancrage.</t>
        </is>
      </c>
    </row>
    <row r="8" ht="55" customHeight="1">
      <c r="A8" s="8" t="inlineStr">
        <is>
          <t>Carrosserie / châssis</t>
        </is>
      </c>
      <c r="B8" s="8" t="inlineStr">
        <is>
          <t>Cabine, capot, benne, plaques et coque peuvent recouvrir visuellement le châssis et les organes mécaniques.</t>
        </is>
      </c>
      <c r="C8" s="8" t="inlineStr">
        <is>
          <t>Le jeu vérifie le volume, le poids et les points d'attache plutôt qu'une collision pixel par pixel.</t>
        </is>
      </c>
    </row>
    <row r="9" ht="55" customHeight="1">
      <c r="A9" s="8" t="inlineStr">
        <is>
          <t>Tourelles / canons</t>
        </is>
      </c>
      <c r="B9" s="8" t="inlineStr">
        <is>
          <t>Tourelle posée sur coque/châssis autorisée; les diamètres d'anneaux historiques ne sont pas simulés. Le canon peut être monté de manière permissive.</t>
        </is>
      </c>
      <c r="C9" s="8" t="inlineStr">
        <is>
          <t>Si canon trop gros pour tourelle, pénalité de rechargement, rotation ou stabilité selon la taille; pas de blocage immédiat sauf impossibilité spatiale manifeste.</t>
        </is>
      </c>
    </row>
    <row r="10" ht="55" customHeight="1">
      <c r="A10" s="8" t="inlineStr">
        <is>
          <t>Cabines réutilisées</t>
        </is>
      </c>
      <c r="B10" s="8" t="inlineStr">
        <is>
          <t>Une cabine/caisse récupérée peut être montée sur un autre châssis si elle tient dans l'emprise et peut être fixée.</t>
        </is>
      </c>
      <c r="C10" s="8" t="inlineStr">
        <is>
          <t>La caisse de Jeep est ouverte; cabine de camion plus lourde. Le style Mad Max est permis.</t>
        </is>
      </c>
    </row>
    <row r="11" ht="55" customHeight="1">
      <c r="A11" s="8" t="inlineStr">
        <is>
          <t>Réservoirs</t>
        </is>
      </c>
      <c r="B11" s="8" t="inlineStr">
        <is>
          <t>Cuves simples carrées ou rectangulaires en tailles S/M/L/XL; leur capacité augmente avec le volume et elles ajoutent poids quand remplies.</t>
        </is>
      </c>
      <c r="C11" s="8" t="inlineStr">
        <is>
          <t>Le carburant transporté = capacité du réservoir × taux de remplissage; le réservoir doit être lié au moteur et au carburant compatible.</t>
        </is>
      </c>
    </row>
    <row r="12" ht="55" customHeight="1">
      <c r="A12" s="8" t="inlineStr">
        <is>
          <t>Avertissements de surcharge</t>
        </is>
      </c>
      <c r="B12" s="8" t="inlineStr">
        <is>
          <t>Les montages restent largement permissifs tant que les pièces tiennent; le jeu affiche des avertissements de masse, de puissance, de stabilité, de consommation et de rechargement.</t>
        </is>
      </c>
      <c r="C12" s="8" t="inlineStr">
        <is>
          <t>Ne pas interdire une construction intéressante uniquement parce qu'elle n'est pas historiquement standard.</t>
        </is>
      </c>
    </row>
  </sheetData>
  <autoFilter ref="A1:C1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31" customWidth="1" min="1" max="1"/>
    <col width="16" customWidth="1" min="2" max="2"/>
    <col width="20" customWidth="1" min="3" max="3"/>
    <col width="30" customWidth="1" min="4" max="4"/>
    <col width="66" customWidth="1" min="5" max="5"/>
  </cols>
  <sheetData>
    <row r="1" ht="32" customHeight="1">
      <c r="A1" s="18" t="inlineStr">
        <is>
          <t>Classe / paramètre</t>
        </is>
      </c>
      <c r="B1" s="18" t="inlineStr">
        <is>
          <t>Valeur</t>
        </is>
      </c>
      <c r="C1" s="18" t="inlineStr">
        <is>
          <t>Unité</t>
        </is>
      </c>
      <c r="D1" s="18" t="inlineStr">
        <is>
          <t>Référence / portée</t>
        </is>
      </c>
      <c r="E1" s="18" t="inlineStr">
        <is>
          <t>Règle de conception</t>
        </is>
      </c>
    </row>
    <row r="2">
      <c r="A2" s="19" t="inlineStr">
        <is>
          <t>Moto avec side-car</t>
        </is>
      </c>
      <c r="B2" s="19" t="n">
        <v>6</v>
      </c>
      <c r="C2" s="19" t="inlineStr">
        <is>
          <t>L/100 km</t>
        </is>
      </c>
      <c r="D2" s="19" t="inlineStr">
        <is>
          <t>BMW R75</t>
        </is>
      </c>
      <c r="E2" s="19" t="inlineStr">
        <is>
          <t>Référence prototype ; sensible au terrain et à la charge.</t>
        </is>
      </c>
    </row>
    <row r="3">
      <c r="A3" s="19" t="inlineStr">
        <is>
          <t>4×4 léger</t>
        </is>
      </c>
      <c r="B3" s="19" t="n">
        <v>16</v>
      </c>
      <c r="C3" s="19" t="inlineStr">
        <is>
          <t>L/100 km</t>
        </is>
      </c>
      <c r="D3" s="19" t="inlineStr">
        <is>
          <t>Willys MB</t>
        </is>
      </c>
      <c r="E3" s="19" t="inlineStr">
        <is>
          <t>Valeur de gameplay moyenne sur route.</t>
        </is>
      </c>
    </row>
    <row r="4">
      <c r="A4" s="19" t="inlineStr">
        <is>
          <t>Camion logistique moyen</t>
        </is>
      </c>
      <c r="B4" s="19" t="n">
        <v>38</v>
      </c>
      <c r="C4" s="19" t="inlineStr">
        <is>
          <t>L/100 km</t>
        </is>
      </c>
      <c r="D4" s="19" t="inlineStr">
        <is>
          <t>GMC CCKW 353</t>
        </is>
      </c>
      <c r="E4" s="19" t="inlineStr">
        <is>
          <t>Charge et état mécanique influencent fortement la consommation.</t>
        </is>
      </c>
    </row>
    <row r="5">
      <c r="A5" s="19" t="inlineStr">
        <is>
          <t>Camion lourd de dépannage</t>
        </is>
      </c>
      <c r="B5" s="19" t="n">
        <v>50</v>
      </c>
      <c r="C5" s="19" t="inlineStr">
        <is>
          <t>L/100 km</t>
        </is>
      </c>
      <c r="D5" s="19" t="inlineStr">
        <is>
          <t>Diamond T 969 Wrecker</t>
        </is>
      </c>
      <c r="E5" s="19" t="inlineStr">
        <is>
          <t>Grue/treuil et masse élevée.</t>
        </is>
      </c>
    </row>
    <row r="6">
      <c r="A6" s="19" t="inlineStr">
        <is>
          <t>Semi-chenillé</t>
        </is>
      </c>
      <c r="B6" s="19" t="n">
        <v>60</v>
      </c>
      <c r="C6" s="19" t="inlineStr">
        <is>
          <t>L/100 km</t>
        </is>
      </c>
      <c r="D6" s="19" t="inlineStr">
        <is>
          <t>M3 Half Track</t>
        </is>
      </c>
      <c r="E6" s="19" t="inlineStr">
        <is>
          <t>Meilleure mobilité hors route, consommation élevée.</t>
        </is>
      </c>
    </row>
    <row r="7">
      <c r="A7" s="19" t="inlineStr">
        <is>
          <t>Blindé de reconnaissance à roues</t>
        </is>
      </c>
      <c r="B7" s="19" t="n">
        <v>65</v>
      </c>
      <c r="C7" s="19" t="inlineStr">
        <is>
          <t>L/100 km</t>
        </is>
      </c>
      <c r="D7" s="19" t="inlineStr">
        <is>
          <t>M8 Greyhound</t>
        </is>
      </c>
      <c r="E7" s="19" t="inlineStr">
        <is>
          <t>Référence de classe, à ajuster selon variante.</t>
        </is>
      </c>
    </row>
    <row r="8">
      <c r="A8" s="19" t="inlineStr">
        <is>
          <t>Char léger</t>
        </is>
      </c>
      <c r="B8" s="19" t="n">
        <v>130</v>
      </c>
      <c r="C8" s="19" t="inlineStr">
        <is>
          <t>L/100 km</t>
        </is>
      </c>
      <c r="D8" s="19" t="inlineStr">
        <is>
          <t>M3 Stuart</t>
        </is>
      </c>
      <c r="E8" s="19" t="inlineStr">
        <is>
          <t>Forte variabilité selon terrain et modèle.</t>
        </is>
      </c>
    </row>
    <row r="9">
      <c r="A9" s="19" t="inlineStr">
        <is>
          <t>Char moyen</t>
        </is>
      </c>
      <c r="B9" s="19" t="n">
        <v>240</v>
      </c>
      <c r="C9" s="19" t="inlineStr">
        <is>
          <t>L/100 km</t>
        </is>
      </c>
      <c r="D9" s="19" t="inlineStr">
        <is>
          <t>M4 Sherman</t>
        </is>
      </c>
      <c r="E9" s="19" t="inlineStr">
        <is>
          <t>Valeur de classe pour le prototype.</t>
        </is>
      </c>
    </row>
    <row r="10">
      <c r="A10" s="19" t="inlineStr">
        <is>
          <t>Char lourd</t>
        </is>
      </c>
      <c r="B10" s="19" t="n">
        <v>400</v>
      </c>
      <c r="C10" s="19" t="inlineStr">
        <is>
          <t>L/100 km</t>
        </is>
      </c>
      <c r="D10" s="19" t="inlineStr">
        <is>
          <t>Tiger I</t>
        </is>
      </c>
      <c r="E10" s="19" t="inlineStr">
        <is>
          <t>Coût logistique majeur.</t>
        </is>
      </c>
    </row>
    <row r="11">
      <c r="A11" s="19" t="inlineStr">
        <is>
          <t>Transport amphibie</t>
        </is>
      </c>
      <c r="B11" s="19" t="n">
        <v>55</v>
      </c>
      <c r="C11" s="19" t="inlineStr">
        <is>
          <t>L/100 km route</t>
        </is>
      </c>
      <c r="D11" s="19" t="inlineStr">
        <is>
          <t>DUKW</t>
        </is>
      </c>
      <c r="E11" s="19" t="inlineStr">
        <is>
          <t>La navigation utilisera un coefficient distinct.</t>
        </is>
      </c>
    </row>
    <row r="12">
      <c r="A12" s="19" t="inlineStr">
        <is>
          <t>Route entretenue</t>
        </is>
      </c>
      <c r="B12" s="19" t="n">
        <v>1</v>
      </c>
      <c r="C12" s="19" t="inlineStr">
        <is>
          <t>multiplicateur</t>
        </is>
      </c>
      <c r="D12" s="19" t="inlineStr">
        <is>
          <t>Tous véhicules</t>
        </is>
      </c>
      <c r="E12" s="19" t="inlineStr">
        <is>
          <t>Base de calcul.</t>
        </is>
      </c>
    </row>
    <row r="13">
      <c r="A13" s="19" t="inlineStr">
        <is>
          <t>Piste</t>
        </is>
      </c>
      <c r="B13" s="19" t="n">
        <v>1.25</v>
      </c>
      <c r="C13" s="19" t="inlineStr">
        <is>
          <t>multiplicateur</t>
        </is>
      </c>
      <c r="D13" s="19" t="inlineStr">
        <is>
          <t>Tous véhicules</t>
        </is>
      </c>
      <c r="E13" s="19" t="inlineStr">
        <is>
          <t>Sol meuble ou route dégradée.</t>
        </is>
      </c>
    </row>
    <row r="14">
      <c r="A14" s="19" t="inlineStr">
        <is>
          <t>Terrain difficile</t>
        </is>
      </c>
      <c r="B14" s="19" t="n">
        <v>1.6</v>
      </c>
      <c r="C14" s="19" t="inlineStr">
        <is>
          <t>multiplicateur</t>
        </is>
      </c>
      <c r="D14" s="19" t="inlineStr">
        <is>
          <t>Tous véhicules</t>
        </is>
      </c>
      <c r="E14" s="19" t="inlineStr">
        <is>
          <t>Boue, forêt dense, débris.</t>
        </is>
      </c>
    </row>
    <row r="15">
      <c r="A15" s="19" t="inlineStr">
        <is>
          <t>Terrain extrême</t>
        </is>
      </c>
      <c r="B15" s="19" t="n">
        <v>2.2</v>
      </c>
      <c r="C15" s="19" t="inlineStr">
        <is>
          <t>multiplicateur</t>
        </is>
      </c>
      <c r="D15" s="19" t="inlineStr">
        <is>
          <t>Tous véhicules</t>
        </is>
      </c>
      <c r="E15" s="19" t="inlineStr">
        <is>
          <t>Marais profond, forte pente, terrain très accidenté.</t>
        </is>
      </c>
    </row>
    <row r="16">
      <c r="A16" s="19" t="inlineStr">
        <is>
          <t>Charge importante</t>
        </is>
      </c>
      <c r="B16" s="19" t="n">
        <v>1.15</v>
      </c>
      <c r="C16" s="19" t="inlineStr">
        <is>
          <t>multiplicateur</t>
        </is>
      </c>
      <c r="D16" s="19" t="inlineStr">
        <is>
          <t>Tous véhicules</t>
        </is>
      </c>
      <c r="E16" s="19" t="inlineStr">
        <is>
          <t>En plus du facteur de terrain.</t>
        </is>
      </c>
    </row>
    <row r="17">
      <c r="A17" s="19" t="inlineStr">
        <is>
          <t>Surcharge</t>
        </is>
      </c>
      <c r="B17" s="19" t="n">
        <v>1.35</v>
      </c>
      <c r="C17" s="19" t="inlineStr">
        <is>
          <t>multiplicateur</t>
        </is>
      </c>
      <c r="D17" s="19" t="inlineStr">
        <is>
          <t>Tous véhicules</t>
        </is>
      </c>
      <c r="E17" s="19" t="inlineStr">
        <is>
          <t>Ajoute aussi pénalité d'accélération et fiabilité.</t>
        </is>
      </c>
    </row>
    <row r="18">
      <c r="A18" s="19" t="inlineStr">
        <is>
          <t>Moteur/transmission dégradé</t>
        </is>
      </c>
      <c r="B18" s="19" t="inlineStr">
        <is>
          <t>1.15–1.5</t>
        </is>
      </c>
      <c r="C18" s="19" t="inlineStr">
        <is>
          <t>multiplicateur</t>
        </is>
      </c>
      <c r="D18" s="19" t="inlineStr">
        <is>
          <t>Tous véhicules</t>
        </is>
      </c>
      <c r="E18" s="19" t="inlineStr">
        <is>
          <t>Selon gravité de la panne.</t>
        </is>
      </c>
    </row>
    <row r="19">
      <c r="A19" s="19" t="inlineStr">
        <is>
          <t>Conduite prudente</t>
        </is>
      </c>
      <c r="B19" s="19" t="n">
        <v>0.9</v>
      </c>
      <c r="C19" s="19" t="inlineStr">
        <is>
          <t>multiplicateur</t>
        </is>
      </c>
      <c r="D19" s="19" t="inlineStr">
        <is>
          <t>Tous véhicules</t>
        </is>
      </c>
      <c r="E19" s="19" t="inlineStr">
        <is>
          <t>Vitesse réduite si nécessaire.</t>
        </is>
      </c>
    </row>
    <row r="20">
      <c r="A20" s="19" t="inlineStr">
        <is>
          <t>Conduite normale</t>
        </is>
      </c>
      <c r="B20" s="19" t="n">
        <v>1</v>
      </c>
      <c r="C20" s="19" t="inlineStr">
        <is>
          <t>multiplicateur</t>
        </is>
      </c>
      <c r="D20" s="19" t="inlineStr">
        <is>
          <t>Tous véhicules</t>
        </is>
      </c>
      <c r="E20" s="19" t="inlineStr">
        <is>
          <t>Référence.</t>
        </is>
      </c>
    </row>
    <row r="21">
      <c r="A21" s="19" t="inlineStr">
        <is>
          <t>Conduite agressive</t>
        </is>
      </c>
      <c r="B21" s="19" t="n">
        <v>1.2</v>
      </c>
      <c r="C21" s="19" t="inlineStr">
        <is>
          <t>multiplicateur</t>
        </is>
      </c>
      <c r="D21" s="19" t="inlineStr">
        <is>
          <t>Tous véhicules</t>
        </is>
      </c>
      <c r="E21" s="19" t="inlineStr">
        <is>
          <t>Accélérations et pertes de traction.</t>
        </is>
      </c>
    </row>
  </sheetData>
  <autoFilter ref="A1:E2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18" customWidth="1" min="3" max="3"/>
    <col width="24" customWidth="1" min="4" max="4"/>
    <col width="42" customWidth="1" min="5" max="5"/>
    <col width="62" customWidth="1" min="6" max="6"/>
  </cols>
  <sheetData>
    <row r="1" ht="32" customHeight="1">
      <c r="A1" s="18" t="inlineStr">
        <is>
          <t>Modèle gameplay</t>
        </is>
      </c>
      <c r="B1" s="18" t="inlineStr">
        <is>
          <t>Puissance (unités)</t>
        </is>
      </c>
      <c r="C1" s="18" t="inlineStr">
        <is>
          <t>Consommation</t>
        </is>
      </c>
      <c r="D1" s="18" t="inlineStr">
        <is>
          <t>Unité</t>
        </is>
      </c>
      <c r="E1" s="18" t="inlineStr">
        <is>
          <t>Usage</t>
        </is>
      </c>
      <c r="F1" s="18" t="inlineStr">
        <is>
          <t>Règle</t>
        </is>
      </c>
    </row>
    <row r="2">
      <c r="A2" s="19" t="inlineStr">
        <is>
          <t>Petit groupe</t>
        </is>
      </c>
      <c r="B2" s="19" t="n">
        <v>1</v>
      </c>
      <c r="C2" s="19" t="n">
        <v>1.5</v>
      </c>
      <c r="D2" s="19" t="inlineStr">
        <is>
          <t>L/h à charge moyenne</t>
        </is>
      </c>
      <c r="E2" s="19" t="inlineStr">
        <is>
          <t>Éclairage et petit atelier.</t>
        </is>
      </c>
      <c r="F2" s="19" t="inlineStr">
        <is>
          <t>Carburant consommé uniquement quand actif ; consommation réduite à faible charge.</t>
        </is>
      </c>
    </row>
    <row r="3">
      <c r="A3" s="19" t="inlineStr">
        <is>
          <t>Groupe moyen</t>
        </is>
      </c>
      <c r="B3" s="19" t="n">
        <v>4</v>
      </c>
      <c r="C3" s="19" t="n">
        <v>4</v>
      </c>
      <c r="D3" s="19" t="inlineStr">
        <is>
          <t>L/h à charge moyenne</t>
        </is>
      </c>
      <c r="E3" s="19" t="inlineStr">
        <is>
          <t>Pompes et ateliers standards.</t>
        </is>
      </c>
      <c r="F3" s="19" t="inlineStr">
        <is>
          <t>Priorité d'alimentation configurable.</t>
        </is>
      </c>
    </row>
    <row r="4">
      <c r="A4" s="19" t="inlineStr">
        <is>
          <t>Gros générateur</t>
        </is>
      </c>
      <c r="B4" s="19" t="n">
        <v>12</v>
      </c>
      <c r="C4" s="19" t="n">
        <v>10</v>
      </c>
      <c r="D4" s="19" t="inlineStr">
        <is>
          <t>L/h à charge moyenne</t>
        </is>
      </c>
      <c r="E4" s="19" t="inlineStr">
        <is>
          <t>Ascenseur, pompes industrielles, garage souterrain.</t>
        </is>
      </c>
      <c r="F4" s="19" t="inlineStr">
        <is>
          <t>Peut être dédié à un circuit prioritaire.</t>
        </is>
      </c>
    </row>
    <row r="5">
      <c r="A5" s="19" t="inlineStr">
        <is>
          <t>Groupe industriel</t>
        </is>
      </c>
      <c r="B5" s="19" t="n">
        <v>30</v>
      </c>
      <c r="C5" s="19" t="n">
        <v>23</v>
      </c>
      <c r="D5" s="19" t="inlineStr">
        <is>
          <t>L/h à charge moyenne</t>
        </is>
      </c>
      <c r="E5" s="19" t="inlineStr">
        <is>
          <t>Plusieurs bâtiments lourds.</t>
        </is>
      </c>
      <c r="F5" s="19" t="inlineStr">
        <is>
          <t>Coût d'exploitation élevé et maintenance plus exigeante.</t>
        </is>
      </c>
    </row>
  </sheetData>
  <autoFilter ref="A1:F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2" customWidth="1" min="4" max="4"/>
    <col width="70" customWidth="1" min="5" max="5"/>
  </cols>
  <sheetData>
    <row r="1" ht="32" customHeight="1">
      <c r="A1" s="18" t="inlineStr">
        <is>
          <t>Liquide</t>
        </is>
      </c>
      <c r="B1" s="18" t="inlineStr">
        <is>
          <t>Taille</t>
        </is>
      </c>
      <c r="C1" s="18" t="inlineStr">
        <is>
          <t>Capacité (L)</t>
        </is>
      </c>
      <c r="D1" s="18" t="inlineStr">
        <is>
          <t>Volume indicatif (m³)</t>
        </is>
      </c>
      <c r="E1" s="18" t="inlineStr">
        <is>
          <t>Règle de conception</t>
        </is>
      </c>
    </row>
    <row r="2">
      <c r="A2" s="19" t="inlineStr">
        <is>
          <t>Eau</t>
        </is>
      </c>
      <c r="B2" s="19" t="inlineStr">
        <is>
          <t>S</t>
        </is>
      </c>
      <c r="C2" s="19" t="n">
        <v>500</v>
      </c>
      <c r="D2" s="19" t="n">
        <v>0.5</v>
      </c>
      <c r="E2" s="19" t="inlineStr">
        <is>
          <t>Petit réservoir de bâtiment.</t>
        </is>
      </c>
    </row>
    <row r="3">
      <c r="A3" s="19" t="inlineStr">
        <is>
          <t>Eau</t>
        </is>
      </c>
      <c r="B3" s="19" t="inlineStr">
        <is>
          <t>M</t>
        </is>
      </c>
      <c r="C3" s="19" t="n">
        <v>2000</v>
      </c>
      <c r="D3" s="19" t="n">
        <v>2</v>
      </c>
      <c r="E3" s="19" t="inlineStr">
        <is>
          <t>Réserve de petite base.</t>
        </is>
      </c>
    </row>
    <row r="4">
      <c r="A4" s="19" t="inlineStr">
        <is>
          <t>Eau</t>
        </is>
      </c>
      <c r="B4" s="19" t="inlineStr">
        <is>
          <t>L</t>
        </is>
      </c>
      <c r="C4" s="19" t="n">
        <v>8000</v>
      </c>
      <c r="D4" s="19" t="n">
        <v>8</v>
      </c>
      <c r="E4" s="19" t="inlineStr">
        <is>
          <t>Réserve principale.</t>
        </is>
      </c>
    </row>
    <row r="5">
      <c r="A5" s="19" t="inlineStr">
        <is>
          <t>Eau</t>
        </is>
      </c>
      <c r="B5" s="19" t="inlineStr">
        <is>
          <t>XL</t>
        </is>
      </c>
      <c r="C5" s="19" t="n">
        <v>20000</v>
      </c>
      <c r="D5" s="19" t="n">
        <v>20</v>
      </c>
      <c r="E5" s="19" t="inlineStr">
        <is>
          <t>Grande réserve de base.</t>
        </is>
      </c>
    </row>
    <row r="6">
      <c r="A6" s="19" t="inlineStr">
        <is>
          <t>Carburant</t>
        </is>
      </c>
      <c r="B6" s="19" t="inlineStr">
        <is>
          <t>S</t>
        </is>
      </c>
      <c r="C6" s="19" t="n">
        <v>250</v>
      </c>
      <c r="D6" s="19" t="n">
        <v>0.25</v>
      </c>
      <c r="E6" s="19" t="inlineStr">
        <is>
          <t>Stock tampon pour petit générateur ou véhicules légers.</t>
        </is>
      </c>
    </row>
    <row r="7">
      <c r="A7" s="19" t="inlineStr">
        <is>
          <t>Carburant</t>
        </is>
      </c>
      <c r="B7" s="19" t="inlineStr">
        <is>
          <t>M</t>
        </is>
      </c>
      <c r="C7" s="19" t="n">
        <v>1000</v>
      </c>
      <c r="D7" s="19" t="n">
        <v>1</v>
      </c>
      <c r="E7" s="19" t="inlineStr">
        <is>
          <t>Réserve d'atelier ou d'expédition.</t>
        </is>
      </c>
    </row>
    <row r="8">
      <c r="A8" s="19" t="inlineStr">
        <is>
          <t>Carburant</t>
        </is>
      </c>
      <c r="B8" s="19" t="inlineStr">
        <is>
          <t>L</t>
        </is>
      </c>
      <c r="C8" s="19" t="n">
        <v>5000</v>
      </c>
      <c r="D8" s="19" t="n">
        <v>5</v>
      </c>
      <c r="E8" s="19" t="inlineStr">
        <is>
          <t>Réserve principale de base.</t>
        </is>
      </c>
    </row>
    <row r="9">
      <c r="A9" s="19" t="inlineStr">
        <is>
          <t>Carburant</t>
        </is>
      </c>
      <c r="B9" s="19" t="inlineStr">
        <is>
          <t>XL</t>
        </is>
      </c>
      <c r="C9" s="19" t="n">
        <v>15000</v>
      </c>
      <c r="D9" s="19" t="n">
        <v>15</v>
      </c>
      <c r="E9" s="19" t="inlineStr">
        <is>
          <t>Réserve de grande base ; protection incendie recommandée.</t>
        </is>
      </c>
    </row>
  </sheetData>
  <autoFilter ref="A1:E9"/>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30" customWidth="1" min="1" max="1"/>
    <col width="32" customWidth="1" min="2" max="2"/>
    <col width="46" customWidth="1" min="3" max="3"/>
    <col width="42" customWidth="1" min="4" max="4"/>
    <col width="42" customWidth="1" min="5" max="5"/>
    <col width="60" customWidth="1" min="6" max="6"/>
  </cols>
  <sheetData>
    <row r="1" ht="32" customHeight="1">
      <c r="A1" s="18" t="inlineStr">
        <is>
          <t>Bâtiment</t>
        </is>
      </c>
      <c r="B1" s="18" t="inlineStr">
        <is>
          <t>Implantation</t>
        </is>
      </c>
      <c r="C1" s="18" t="inlineStr">
        <is>
          <t>Fonction</t>
        </is>
      </c>
      <c r="D1" s="18" t="inlineStr">
        <is>
          <t>Améliorations</t>
        </is>
      </c>
      <c r="E1" s="18" t="inlineStr">
        <is>
          <t>Coûts / consommations</t>
        </is>
      </c>
      <c r="F1" s="18" t="inlineStr">
        <is>
          <t>Règle de conception</t>
        </is>
      </c>
    </row>
    <row r="2">
      <c r="A2" s="19" t="inlineStr">
        <is>
          <t>Mairie / centre de commandement</t>
        </is>
      </c>
      <c r="B2" s="19" t="inlineStr">
        <is>
          <t>Surface / étage</t>
        </is>
      </c>
      <c r="C2" s="19" t="inlineStr">
        <is>
          <t>Gestion de base, ordres, population, diplomatie, priorités.</t>
        </is>
      </c>
      <c r="D2" s="19" t="inlineStr">
        <is>
          <t>Communications, coordination d'expéditions.</t>
        </is>
      </c>
      <c r="E2" s="19" t="inlineStr">
        <is>
          <t>Matériaux ; composants électroniques à haut niveau.</t>
        </is>
      </c>
      <c r="F2" s="19" t="inlineStr">
        <is>
          <t>Communications → administration → centre de commandement renforcé.</t>
        </is>
      </c>
    </row>
    <row r="3">
      <c r="A3" s="19" t="inlineStr">
        <is>
          <t>Logements / dortoirs</t>
        </is>
      </c>
      <c r="B3" s="19" t="inlineStr">
        <is>
          <t>Surface / étage / sous-sol ventilé</t>
        </is>
      </c>
      <c r="C3" s="19" t="inlineStr">
        <is>
          <t>Capacité de lits et confort des survivants.</t>
        </is>
      </c>
      <c r="D3" s="19" t="inlineStr">
        <is>
          <t>Augmenter lits, qualité de vie et sécurité.</t>
        </is>
      </c>
      <c r="E3" s="19" t="inlineStr">
        <is>
          <t>Matériaux ; population consomme eau et nourriture.</t>
        </is>
      </c>
      <c r="F3" s="19" t="inlineStr">
        <is>
          <t>La population ne dépasse pas durablement la capacité de lits.</t>
        </is>
      </c>
    </row>
    <row r="4">
      <c r="A4" s="19" t="inlineStr">
        <is>
          <t>École</t>
        </is>
      </c>
      <c r="B4" s="19" t="inlineStr">
        <is>
          <t>Zone sécurisée</t>
        </is>
      </c>
      <c r="C4" s="19" t="inlineStr">
        <is>
          <t>Abriter les enfants et suivre leur croissance.</t>
        </is>
      </c>
      <c r="D4" s="19" t="inlineStr">
        <is>
          <t>Capacité, sécurité, encadrement.</t>
        </is>
      </c>
      <c r="E4" s="19" t="inlineStr">
        <is>
          <t>Matériaux ; besoins indirects en eau et nourriture.</t>
        </is>
      </c>
      <c r="F4" s="19" t="inlineStr">
        <is>
          <t>Les enfants restent à l'école jusqu'à l'âge adulte.</t>
        </is>
      </c>
    </row>
    <row r="5">
      <c r="A5" s="19" t="inlineStr">
        <is>
          <t>Puits d'eau</t>
        </is>
      </c>
      <c r="B5" s="19" t="inlineStr">
        <is>
          <t>Surface / forage</t>
        </is>
      </c>
      <c r="C5" s="19" t="inlineStr">
        <is>
          <t>Produire de l'eau si le territoire dispose d'une nappe.</t>
        </is>
      </c>
      <c r="D5" s="19" t="inlineStr">
        <is>
          <t>Manuel → mécanique → électrique → industriel / filtration.</t>
        </is>
      </c>
      <c r="E5" s="19" t="inlineStr">
        <is>
          <t>Matériaux, pièces ; électricité pour pompes électriques.</t>
        </is>
      </c>
      <c r="F5" s="19" t="inlineStr">
        <is>
          <t>Le débit dépend du gisement et de l'amélioration.</t>
        </is>
      </c>
    </row>
    <row r="6">
      <c r="A6" s="19" t="inlineStr">
        <is>
          <t>Cuve d'eau</t>
        </is>
      </c>
      <c r="B6" s="19" t="inlineStr">
        <is>
          <t>Surface / étage renforcé / sous-sol</t>
        </is>
      </c>
      <c r="C6" s="19" t="inlineStr">
        <is>
          <t>Stockage d'eau en litres.</t>
        </is>
      </c>
      <c r="D6" s="19" t="inlineStr">
        <is>
          <t>Capacité, filtration, compartimentage.</t>
        </is>
      </c>
      <c r="E6" s="19" t="inlineStr">
        <is>
          <t>Matériaux.</t>
        </is>
      </c>
      <c r="F6" s="19" t="inlineStr">
        <is>
          <t>Stock affiché en L ; ne dépasse jamais la capacité.</t>
        </is>
      </c>
    </row>
    <row r="7">
      <c r="A7" s="19" t="inlineStr">
        <is>
          <t>Puits de pétrole</t>
        </is>
      </c>
      <c r="B7" s="19" t="inlineStr">
        <is>
          <t>Gisement uniquement</t>
        </is>
      </c>
      <c r="C7" s="19" t="inlineStr">
        <is>
          <t>Produire du brut local.</t>
        </is>
      </c>
      <c r="D7" s="19" t="inlineStr">
        <is>
          <t>Forage, pompe, tête renforcée.</t>
        </is>
      </c>
      <c r="E7" s="19" t="inlineStr">
        <is>
          <t>Matériaux, pièces mécaniques, énergie selon niveau.</t>
        </is>
      </c>
      <c r="F7" s="19" t="inlineStr">
        <is>
          <t>Ne produit rien sans gisement exploitable.</t>
        </is>
      </c>
    </row>
    <row r="8">
      <c r="A8" s="19" t="inlineStr">
        <is>
          <t>Raffinerie artisanale</t>
        </is>
      </c>
      <c r="B8" s="19" t="inlineStr">
        <is>
          <t>Surface industrielle ventilée</t>
        </is>
      </c>
      <c r="C8" s="19" t="inlineStr">
        <is>
          <t>Transformer le brut en carburant utilisable.</t>
        </is>
      </c>
      <c r="D8" s="19" t="inlineStr">
        <is>
          <t>Rendement, capacité, sécurité incendie.</t>
        </is>
      </c>
      <c r="E8" s="19" t="inlineStr">
        <is>
          <t>Brut, énergie, pièces.</t>
        </is>
      </c>
      <c r="F8" s="19" t="inlineStr">
        <is>
          <t>Conversion avec pertes de matière.</t>
        </is>
      </c>
    </row>
    <row r="9">
      <c r="A9" s="19" t="inlineStr">
        <is>
          <t>Cuve de carburant</t>
        </is>
      </c>
      <c r="B9" s="19" t="inlineStr">
        <is>
          <t>Surface sécurisée / sous-sol spécialisé</t>
        </is>
      </c>
      <c r="C9" s="19" t="inlineStr">
        <is>
          <t>Stockage de carburant en litres.</t>
        </is>
      </c>
      <c r="D9" s="19" t="inlineStr">
        <is>
          <t>Capacité, compartimentage, protection incendie.</t>
        </is>
      </c>
      <c r="E9" s="19" t="inlineStr">
        <is>
          <t>Matériaux ; risque incendie si endommagée.</t>
        </is>
      </c>
      <c r="F9" s="19" t="inlineStr">
        <is>
          <t>Stock affiché en L ; capacité séparée du débit de production.</t>
        </is>
      </c>
    </row>
    <row r="10">
      <c r="A10" s="19" t="inlineStr">
        <is>
          <t>Générateur</t>
        </is>
      </c>
      <c r="B10" s="19" t="inlineStr">
        <is>
          <t>Local ventilé</t>
        </is>
      </c>
      <c r="C10" s="19" t="inlineStr">
        <is>
          <t>Alimenter un réseau de bâtiments.</t>
        </is>
      </c>
      <c r="D10" s="19" t="inlineStr">
        <is>
          <t>Puissance, rendement, fiabilité.</t>
        </is>
      </c>
      <c r="E10" s="19" t="inlineStr">
        <is>
          <t>Carburant en L/h selon charge.</t>
        </is>
      </c>
      <c r="F10" s="19" t="inlineStr">
        <is>
          <t>Les bâtiments électriques ne brûlent pas directement le carburant.</t>
        </is>
      </c>
    </row>
    <row r="11">
      <c r="A11" s="19" t="inlineStr">
        <is>
          <t>Atelier mécanique</t>
        </is>
      </c>
      <c r="B11" s="19" t="inlineStr">
        <is>
          <t>Surface / sous-sol</t>
        </is>
      </c>
      <c r="C11" s="19" t="inlineStr">
        <is>
          <t>Réparer et recycler pièces.</t>
        </is>
      </c>
      <c r="D11" s="19" t="inlineStr">
        <is>
          <t>Outillage, machines, banc moteur.</t>
        </is>
      </c>
      <c r="E11" s="19" t="inlineStr">
        <is>
          <t>Électricité, ferraille, pièces récupérées.</t>
        </is>
      </c>
      <c r="F11" s="19" t="inlineStr">
        <is>
          <t>Ne crée pas de pièces rares à partir de rien.</t>
        </is>
      </c>
    </row>
    <row r="12">
      <c r="A12" s="19" t="inlineStr">
        <is>
          <t>Garage / dépôt véhicules</t>
        </is>
      </c>
      <c r="B12" s="19" t="inlineStr">
        <is>
          <t>Surface / sous-sol avec accès</t>
        </is>
      </c>
      <c r="C12" s="19" t="inlineStr">
        <is>
          <t>Stocker et gérer les véhicules récupérés.</t>
        </is>
      </c>
      <c r="D12" s="19" t="inlineStr">
        <is>
          <t>Places, réparation, manutention.</t>
        </is>
      </c>
      <c r="E12" s="19" t="inlineStr">
        <is>
          <t>Matériaux, espace, énergie éventuelle.</t>
        </is>
      </c>
      <c r="F12" s="19" t="inlineStr">
        <is>
          <t>Accès compatible avec gabarit et masse.</t>
        </is>
      </c>
    </row>
    <row r="13">
      <c r="A13" s="19" t="inlineStr">
        <is>
          <t>Atelier de construction automobile</t>
        </is>
      </c>
      <c r="B13" s="19" t="inlineStr">
        <is>
          <t>Grande cellule</t>
        </is>
      </c>
      <c r="C13" s="19" t="inlineStr">
        <is>
          <t>Assembler châssis et modules.</t>
        </is>
      </c>
      <c r="D13" s="19" t="inlineStr">
        <is>
          <t>Pont, grue, assemblage lourd.</t>
        </is>
      </c>
      <c r="E13" s="19" t="inlineStr">
        <is>
          <t>Pièces, matériaux, énergie.</t>
        </is>
      </c>
      <c r="F13" s="19" t="inlineStr">
        <is>
          <t>Capacité limitée par atelier et personnel.</t>
        </is>
      </c>
    </row>
    <row r="14">
      <c r="A14" s="19" t="inlineStr">
        <is>
          <t>Dépôt de munitions</t>
        </is>
      </c>
      <c r="B14" s="19" t="inlineStr">
        <is>
          <t>Zone séparée</t>
        </is>
      </c>
      <c r="C14" s="19" t="inlineStr">
        <is>
          <t>Stocker munitions et pièces d'armement.</t>
        </is>
      </c>
      <c r="D14" s="19" t="inlineStr">
        <is>
          <t>Capacité et compartiments sécurisés.</t>
        </is>
      </c>
      <c r="E14" s="19" t="inlineStr">
        <is>
          <t>Matériaux.</t>
        </is>
      </c>
      <c r="F14" s="19" t="inlineStr">
        <is>
          <t>Risque en cas d'incendie ou de raid.</t>
        </is>
      </c>
    </row>
    <row r="15">
      <c r="A15" s="19" t="inlineStr">
        <is>
          <t>Infirmerie</t>
        </is>
      </c>
      <c r="B15" s="19" t="inlineStr">
        <is>
          <t>Zone protégée</t>
        </is>
      </c>
      <c r="C15" s="19" t="inlineStr">
        <is>
          <t>Soigner les blessés.</t>
        </is>
      </c>
      <c r="D15" s="19" t="inlineStr">
        <is>
          <t>Lits, matériel, capacité.</t>
        </is>
      </c>
      <c r="E15" s="19" t="inlineStr">
        <is>
          <t>Médicaments, eau, énergie.</t>
        </is>
      </c>
      <c r="F15" s="19" t="inlineStr">
        <is>
          <t>Réduit le temps de récupération.</t>
        </is>
      </c>
    </row>
    <row r="16">
      <c r="A16" s="19" t="inlineStr">
        <is>
          <t>Défenses</t>
        </is>
      </c>
      <c r="B16" s="19" t="inlineStr">
        <is>
          <t>Périmètre / points d'accès</t>
        </is>
      </c>
      <c r="C16" s="19" t="inlineStr">
        <is>
          <t>Barricades, barbelés, postes de tir, tourelles.</t>
        </is>
      </c>
      <c r="D16" s="19" t="inlineStr">
        <is>
          <t>Portée, blindage, munitions, automatisation.</t>
        </is>
      </c>
      <c r="E16" s="19" t="inlineStr">
        <is>
          <t>Matériaux, munitions, parfois énergie.</t>
        </is>
      </c>
      <c r="F16" s="19" t="inlineStr">
        <is>
          <t>La défense reste principalement préparée et automatique.</t>
        </is>
      </c>
    </row>
    <row r="17">
      <c r="A17" s="19" t="inlineStr">
        <is>
          <t>Ventilation et drainage</t>
        </is>
      </c>
      <c r="B17" s="19" t="inlineStr">
        <is>
          <t>Sous-sol obligatoire</t>
        </is>
      </c>
      <c r="C17" s="19" t="inlineStr">
        <is>
          <t>Maintenir les niveaux habitables et secs.</t>
        </is>
      </c>
      <c r="D17" s="19" t="inlineStr">
        <is>
          <t>Filtres, redondance, pompes.</t>
        </is>
      </c>
      <c r="E17" s="19" t="inlineStr">
        <is>
          <t>Électricité, entretien.</t>
        </is>
      </c>
      <c r="F17" s="19" t="inlineStr">
        <is>
          <t>Panne prolongée : pénalités et risque d'évacuation.</t>
        </is>
      </c>
    </row>
  </sheetData>
  <autoFilter ref="A1:F1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5" customWidth="1" min="1" max="1"/>
    <col width="27" customWidth="1" min="2" max="2"/>
    <col width="27" customWidth="1" min="3" max="3"/>
    <col width="26" customWidth="1" min="4" max="4"/>
    <col width="65" customWidth="1" min="5" max="5"/>
    <col width="55" customWidth="1" min="6" max="6"/>
  </cols>
  <sheetData>
    <row r="1" ht="32" customHeight="1">
      <c r="A1" s="18" t="inlineStr">
        <is>
          <t>Niveau</t>
        </is>
      </c>
      <c r="B1" s="18" t="inlineStr">
        <is>
          <t>Coût construction (× surface)</t>
        </is>
      </c>
      <c r="C1" s="18" t="inlineStr">
        <is>
          <t>Coût maintenance (× surface)</t>
        </is>
      </c>
      <c r="D1" s="18" t="inlineStr">
        <is>
          <t>Protection indicative</t>
        </is>
      </c>
      <c r="E1" s="18" t="inlineStr">
        <is>
          <t>Contraintes</t>
        </is>
      </c>
      <c r="F1" s="18" t="inlineStr">
        <is>
          <t>Usage recommandé</t>
        </is>
      </c>
    </row>
    <row r="2">
      <c r="A2" s="19" t="inlineStr">
        <is>
          <t>Surface</t>
        </is>
      </c>
      <c r="B2" s="19" t="n">
        <v>1</v>
      </c>
      <c r="C2" s="19" t="n">
        <v>1</v>
      </c>
      <c r="D2" s="19" t="inlineStr">
        <is>
          <t>Élevée</t>
        </is>
      </c>
      <c r="E2" s="19" t="inlineStr">
        <is>
          <t>Exposée aux tirs, incendies, animaux et raids.</t>
        </is>
      </c>
      <c r="F2" s="19" t="inlineStr">
        <is>
          <t>Construction de départ et production courante.</t>
        </is>
      </c>
    </row>
    <row r="3">
      <c r="A3" s="19" t="inlineStr">
        <is>
          <t>Étage aérien +1</t>
        </is>
      </c>
      <c r="B3" s="19" t="n">
        <v>1.15</v>
      </c>
      <c r="C3" s="19" t="n">
        <v>1.05</v>
      </c>
      <c r="D3" s="19" t="inlineStr">
        <is>
          <t>Moyenne</t>
        </is>
      </c>
      <c r="E3" s="19" t="inlineStr">
        <is>
          <t>Demande supports, accès et parfois monte-charge.</t>
        </is>
      </c>
      <c r="F3" s="19" t="inlineStr">
        <is>
          <t>Densifie la base et améliore la surveillance.</t>
        </is>
      </c>
    </row>
    <row r="4">
      <c r="A4" s="19" t="inlineStr">
        <is>
          <t>Étage aérien +2 et plus</t>
        </is>
      </c>
      <c r="B4" s="19" t="n">
        <v>1.3</v>
      </c>
      <c r="C4" s="19" t="n">
        <v>1.1</v>
      </c>
      <c r="D4" s="19" t="inlineStr">
        <is>
          <t>Moyenne à faible</t>
        </is>
      </c>
      <c r="E4" s="19" t="inlineStr">
        <is>
          <t>Coûts de renfort et accès croissants.</t>
        </is>
      </c>
      <c r="F4" s="19" t="inlineStr">
        <is>
          <t>Limite provisoire de prototype à valider.</t>
        </is>
      </c>
    </row>
    <row r="5">
      <c r="A5" s="19" t="inlineStr">
        <is>
          <t>Sous-sol -1</t>
        </is>
      </c>
      <c r="B5" s="19" t="n">
        <v>1.5</v>
      </c>
      <c r="C5" s="19" t="n">
        <v>1.2</v>
      </c>
      <c r="D5" s="19" t="inlineStr">
        <is>
          <t>Bonne</t>
        </is>
      </c>
      <c r="E5" s="19" t="inlineStr">
        <is>
          <t>Excavation, renforts et drainage.</t>
        </is>
      </c>
      <c r="F5" s="19" t="inlineStr">
        <is>
          <t>Protégé de la plupart des attaques terrestres directes.</t>
        </is>
      </c>
    </row>
    <row r="6">
      <c r="A6" s="19" t="inlineStr">
        <is>
          <t>Sous-sol -2</t>
        </is>
      </c>
      <c r="B6" s="19" t="n">
        <v>1.9</v>
      </c>
      <c r="C6" s="19" t="n">
        <v>1.35</v>
      </c>
      <c r="D6" s="19" t="inlineStr">
        <is>
          <t>Bonne</t>
        </is>
      </c>
      <c r="E6" s="19" t="inlineStr">
        <is>
          <t>Ventilation, drainage et énergie indispensables.</t>
        </is>
      </c>
      <c r="F6" s="19" t="inlineStr">
        <is>
          <t>Coût croissant ; accès critique.</t>
        </is>
      </c>
    </row>
    <row r="7">
      <c r="A7" s="19" t="inlineStr">
        <is>
          <t>Sous-sol -3 et plus</t>
        </is>
      </c>
      <c r="B7" s="19" t="n">
        <v>2.5</v>
      </c>
      <c r="C7" s="19" t="n">
        <v>1.6</v>
      </c>
      <c r="D7" s="19" t="inlineStr">
        <is>
          <t>Très bonne si fonctionnel</t>
        </is>
      </c>
      <c r="E7" s="19" t="inlineStr">
        <is>
          <t>Infrastructure spécialisée, pompes et renforts redondants.</t>
        </is>
      </c>
      <c r="F7" s="19" t="inlineStr">
        <is>
          <t>Réservé à la progression avancée.</t>
        </is>
      </c>
    </row>
  </sheetData>
  <autoFilter ref="A1:F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32" customWidth="1" min="3" max="3"/>
    <col width="58" customWidth="1" min="4" max="4"/>
    <col width="58" customWidth="1" min="5" max="5"/>
  </cols>
  <sheetData>
    <row r="1" ht="32" customHeight="1">
      <c r="A1" s="18" t="inlineStr">
        <is>
          <t>Niveau</t>
        </is>
      </c>
      <c r="B1" s="18" t="inlineStr">
        <is>
          <t>Charge / capacité</t>
        </is>
      </c>
      <c r="C1" s="18" t="inlineStr">
        <is>
          <t>Véhicules admissibles</t>
        </is>
      </c>
      <c r="D1" s="18" t="inlineStr">
        <is>
          <t>Prérequis</t>
        </is>
      </c>
      <c r="E1" s="18" t="inlineStr">
        <is>
          <t>Limites</t>
        </is>
      </c>
    </row>
    <row r="2">
      <c r="A2" s="19" t="inlineStr">
        <is>
          <t>A0 — Monte-charge</t>
        </is>
      </c>
      <c r="B2" s="19" t="inlineStr">
        <is>
          <t>Personnes et petites cargaisons</t>
        </is>
      </c>
      <c r="C2" s="19" t="inlineStr">
        <is>
          <t>Aucun véhicule</t>
        </is>
      </c>
      <c r="D2" s="19" t="inlineStr">
        <is>
          <t>Moteur simple, rails et commande.</t>
        </is>
      </c>
      <c r="E2" s="19" t="inlineStr">
        <is>
          <t>Départ de progression.</t>
        </is>
      </c>
    </row>
    <row r="3">
      <c r="A3" s="19" t="inlineStr">
        <is>
          <t>A1 — Charge lourde</t>
        </is>
      </c>
      <c r="B3" s="19" t="inlineStr">
        <is>
          <t>Groupes et gros lots de ressources</t>
        </is>
      </c>
      <c r="C3" s="19" t="inlineStr">
        <is>
          <t>Moto et pièces</t>
        </is>
      </c>
      <c r="D3" s="19" t="inlineStr">
        <is>
          <t>Renforts, treuil et alimentation stable.</t>
        </is>
      </c>
      <c r="E3" s="19" t="inlineStr">
        <is>
          <t>Augmente la logistique verticale.</t>
        </is>
      </c>
    </row>
    <row r="4">
      <c r="A4" s="19" t="inlineStr">
        <is>
          <t>A2 — Plateforme véhicule</t>
        </is>
      </c>
      <c r="B4" s="19" t="inlineStr">
        <is>
          <t>Un véhicule léger par trajet</t>
        </is>
      </c>
      <c r="C4" s="19" t="inlineStr">
        <is>
          <t>Moto, 4×4 léger</t>
        </is>
      </c>
      <c r="D4" s="19" t="inlineStr">
        <is>
          <t>Fosse élargie, rails, gros générateur.</t>
        </is>
      </c>
      <c r="E4" s="19" t="inlineStr">
        <is>
          <t>Contrôle de dimensions et masse.</t>
        </is>
      </c>
    </row>
    <row r="5">
      <c r="A5" s="19" t="inlineStr">
        <is>
          <t>A3 — Ascenseur industriel</t>
        </is>
      </c>
      <c r="B5" s="19" t="inlineStr">
        <is>
          <t>Un véhicule moyen compatible</t>
        </is>
      </c>
      <c r="C5" s="19" t="inlineStr">
        <is>
          <t>Camion selon gabarit</t>
        </is>
      </c>
      <c r="D5" s="19" t="inlineStr">
        <is>
          <t>Structure renforcée, contrôle de charge, alimentation dédiée.</t>
        </is>
      </c>
      <c r="E5" s="19" t="inlineStr">
        <is>
          <t>Chars lourds nécessitent un ouvrage spécifique.</t>
        </is>
      </c>
    </row>
  </sheetData>
  <autoFilter ref="A1:E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30" customWidth="1" min="1" max="1"/>
    <col width="42" customWidth="1" min="2" max="2"/>
    <col width="22" customWidth="1" min="3" max="3"/>
    <col width="22" customWidth="1" min="4" max="4"/>
    <col width="55" customWidth="1" min="5" max="5"/>
    <col width="65" customWidth="1" min="6" max="6"/>
  </cols>
  <sheetData>
    <row r="1" ht="32" customHeight="1">
      <c r="A1" s="18" t="inlineStr">
        <is>
          <t>Type / règle</t>
        </is>
      </c>
      <c r="B1" s="18" t="inlineStr">
        <is>
          <t>Configuration</t>
        </is>
      </c>
      <c r="C1" s="18" t="inlineStr">
        <is>
          <t>Capacité indicative</t>
        </is>
      </c>
      <c r="D1" s="18" t="inlineStr">
        <is>
          <t>Protection</t>
        </is>
      </c>
      <c r="E1" s="18" t="inlineStr">
        <is>
          <t>Compromis</t>
        </is>
      </c>
      <c r="F1" s="18" t="inlineStr">
        <is>
          <t>Ordres / comportement</t>
        </is>
      </c>
    </row>
    <row r="2">
      <c r="A2" s="19" t="inlineStr">
        <is>
          <t>Camion transport de troupes</t>
        </is>
      </c>
      <c r="B2" s="19" t="inlineStr">
        <is>
          <t>Module de bancs / caisse adaptée</t>
        </is>
      </c>
      <c r="C2" s="19" t="inlineStr">
        <is>
          <t>8–12</t>
        </is>
      </c>
      <c r="D2" s="19" t="inlineStr">
        <is>
          <t>Faible à moyenne</t>
        </is>
      </c>
      <c r="E2" s="19" t="inlineStr">
        <is>
          <t>Bonne capacité ; vulnérable aux tirs.</t>
        </is>
      </c>
      <c r="F2" s="19" t="inlineStr">
        <is>
          <t>Débarquer, défendre, rembarquer, suivre le convoi.</t>
        </is>
      </c>
    </row>
    <row r="3">
      <c r="A3" s="19" t="inlineStr">
        <is>
          <t>Camion protégé</t>
        </is>
      </c>
      <c r="B3" s="19" t="inlineStr">
        <is>
          <t>Caisse blindée et accès latéral/arrière</t>
        </is>
      </c>
      <c r="C3" s="19" t="inlineStr">
        <is>
          <t>6–10</t>
        </is>
      </c>
      <c r="D3" s="19" t="inlineStr">
        <is>
          <t>Moyenne à bonne</t>
        </is>
      </c>
      <c r="E3" s="19" t="inlineStr">
        <is>
          <t>Moins de capacité, meilleure protection, masse supérieure.</t>
        </is>
      </c>
      <c r="F3" s="19" t="inlineStr">
        <is>
          <t>Même commandes, sortie plus lente si accès endommagé.</t>
        </is>
      </c>
    </row>
    <row r="4">
      <c r="A4" s="19" t="inlineStr">
        <is>
          <t>Semi-chenillé transport</t>
        </is>
      </c>
      <c r="B4" s="19" t="inlineStr">
        <is>
          <t>Compartiment arrière ouvert</t>
        </is>
      </c>
      <c r="C4" s="19" t="inlineStr">
        <is>
          <t>8–10</t>
        </is>
      </c>
      <c r="D4" s="19" t="inlineStr">
        <is>
          <t>Moyenne</t>
        </is>
      </c>
      <c r="E4" s="19" t="inlineStr">
        <is>
          <t>Bonne mobilité hors route ; vulnérable par le dessus.</t>
        </is>
      </c>
      <c r="F4" s="19" t="inlineStr">
        <is>
          <t>Débarquement possible à l'arrêt ou à faible vitesse.</t>
        </is>
      </c>
    </row>
    <row r="5">
      <c r="A5" s="19" t="inlineStr">
        <is>
          <t>Véhicule de commandement</t>
        </is>
      </c>
      <c r="B5" s="19" t="inlineStr">
        <is>
          <t>Cabine et places équipage</t>
        </is>
      </c>
      <c r="C5" s="19" t="inlineStr">
        <is>
          <t>2–5</t>
        </is>
      </c>
      <c r="D5" s="19" t="inlineStr">
        <is>
          <t>Variable</t>
        </is>
      </c>
      <c r="E5" s="19" t="inlineStr">
        <is>
          <t>Coordination et bonus d'ordres éventuels à définir.</t>
        </is>
      </c>
      <c r="F5" s="19" t="inlineStr">
        <is>
          <t>Ne remplace pas un transport de troupe.</t>
        </is>
      </c>
    </row>
    <row r="6">
      <c r="A6" s="19" t="inlineStr">
        <is>
          <t>Règle de débarquement</t>
        </is>
      </c>
      <c r="B6" s="19" t="inlineStr">
        <is>
          <t>Ordre tactique</t>
        </is>
      </c>
      <c r="C6" s="19" t="inlineStr">
        <is>
          <t>Escouade affectée</t>
        </is>
      </c>
      <c r="D6" s="19" t="inlineStr">
        <is>
          <t>Selon couverture</t>
        </is>
      </c>
      <c r="E6" s="19" t="inlineStr">
        <is>
          <t>Délai court ; soldats vulnérables pendant la sortie.</t>
        </is>
      </c>
      <c r="F6" s="19" t="inlineStr">
        <is>
          <t>Ordres initiaux : suivre, débarquer, défendre, rembarquer.</t>
        </is>
      </c>
    </row>
  </sheetData>
  <autoFilter ref="A1:F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5" customWidth="1" min="1" max="1"/>
    <col width="34" customWidth="1" min="2" max="2"/>
    <col width="14" customWidth="1" min="3" max="3"/>
    <col width="34" customWidth="1" min="4" max="4"/>
    <col width="58" customWidth="1" min="5" max="5"/>
    <col width="48" customWidth="1" min="6" max="6"/>
  </cols>
  <sheetData>
    <row r="1" ht="32" customHeight="1">
      <c r="A1" s="18" t="inlineStr">
        <is>
          <t>Élément UI</t>
        </is>
      </c>
      <c r="B1" s="18" t="inlineStr">
        <is>
          <t>Affichage</t>
        </is>
      </c>
      <c r="C1" s="18" t="inlineStr">
        <is>
          <t>Unité</t>
        </is>
      </c>
      <c r="D1" s="18" t="inlineStr">
        <is>
          <t>Exemple</t>
        </is>
      </c>
      <c r="E1" s="18" t="inlineStr">
        <is>
          <t>Règle</t>
        </is>
      </c>
      <c r="F1" s="18" t="inlineStr">
        <is>
          <t>Emplacement / usage</t>
        </is>
      </c>
    </row>
    <row r="2">
      <c r="A2" s="19" t="inlineStr">
        <is>
          <t>Jauge Eau</t>
        </is>
      </c>
      <c r="B2" s="19" t="inlineStr">
        <is>
          <t>Stock actuel / capacité totale</t>
        </is>
      </c>
      <c r="C2" s="19" t="inlineStr">
        <is>
          <t>L</t>
        </is>
      </c>
      <c r="D2" s="19" t="inlineStr">
        <is>
          <t>Ex. 12 400 / 20 000 L</t>
        </is>
      </c>
      <c r="E2" s="19" t="inlineStr">
        <is>
          <t>Alerte sous 25 %, urgence sous 10 %.</t>
        </is>
      </c>
      <c r="F2" s="19" t="inlineStr">
        <is>
          <t>Toujours visible sur l'écran de base.</t>
        </is>
      </c>
    </row>
    <row r="3">
      <c r="A3" s="19" t="inlineStr">
        <is>
          <t>Jauge Carburant</t>
        </is>
      </c>
      <c r="B3" s="19" t="inlineStr">
        <is>
          <t>Stock actuel / capacité totale</t>
        </is>
      </c>
      <c r="C3" s="19" t="inlineStr">
        <is>
          <t>L</t>
        </is>
      </c>
      <c r="D3" s="19" t="inlineStr">
        <is>
          <t>Ex. 8 750 / 15 000 L</t>
        </is>
      </c>
      <c r="E3" s="19" t="inlineStr">
        <is>
          <t>Alerte sous 25 %, urgence sous 10 %.</t>
        </is>
      </c>
      <c r="F3" s="19" t="inlineStr">
        <is>
          <t>Toujours visible sur l'écran de base.</t>
        </is>
      </c>
    </row>
    <row r="4">
      <c r="A4" s="19" t="inlineStr">
        <is>
          <t>Production</t>
        </is>
      </c>
      <c r="B4" s="19" t="inlineStr">
        <is>
          <t>Débit de production par heure</t>
        </is>
      </c>
      <c r="C4" s="19" t="inlineStr">
        <is>
          <t>L/h</t>
        </is>
      </c>
      <c r="D4" s="19" t="inlineStr">
        <is>
          <t>Ex. +180 L/h</t>
        </is>
      </c>
      <c r="E4" s="19" t="inlineStr">
        <is>
          <t>Affichée séparément du stock.</t>
        </is>
      </c>
      <c r="F4" s="19" t="inlineStr">
        <is>
          <t>Un puits peut produire sans que la cuve soit pleine.</t>
        </is>
      </c>
    </row>
    <row r="5">
      <c r="A5" s="19" t="inlineStr">
        <is>
          <t>Consommation</t>
        </is>
      </c>
      <c r="B5" s="19" t="inlineStr">
        <is>
          <t>Débit utilisé par heure</t>
        </is>
      </c>
      <c r="C5" s="19" t="inlineStr">
        <is>
          <t>L/h</t>
        </is>
      </c>
      <c r="D5" s="19" t="inlineStr">
        <is>
          <t>Ex. -45 L/h</t>
        </is>
      </c>
      <c r="E5" s="19" t="inlineStr">
        <is>
          <t>Inclut bâtiments actifs et générateurs.</t>
        </is>
      </c>
      <c r="F5" s="19" t="inlineStr">
        <is>
          <t>Estimation de durée restante si tendance stable.</t>
        </is>
      </c>
    </row>
    <row r="6">
      <c r="A6" s="19" t="inlineStr">
        <is>
          <t>Expéditions</t>
        </is>
      </c>
      <c r="B6" s="19" t="inlineStr">
        <is>
          <t>Réserves embarquées</t>
        </is>
      </c>
      <c r="C6" s="19" t="inlineStr">
        <is>
          <t>L</t>
        </is>
      </c>
      <c r="D6" s="19" t="inlineStr">
        <is>
          <t>Carburant et eau du convoi</t>
        </is>
      </c>
      <c r="E6" s="19" t="inlineStr">
        <is>
          <t>Déduites du stock au départ.</t>
        </is>
      </c>
      <c r="F6" s="19" t="inlineStr">
        <is>
          <t>Afficher autonomie estimée et réserve de sécurité.</t>
        </is>
      </c>
    </row>
  </sheetData>
  <autoFilter ref="A1:F6"/>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81"/>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28" customWidth="1" min="3" max="3"/>
    <col width="24" customWidth="1" min="4" max="4"/>
    <col width="14" customWidth="1" min="5" max="5"/>
    <col width="16" customWidth="1" min="6" max="6"/>
    <col width="14" customWidth="1" min="7" max="7"/>
    <col width="26" customWidth="1" min="8" max="8"/>
    <col width="28" customWidth="1" min="9" max="9"/>
    <col width="64" customWidth="1" min="10" max="10"/>
    <col width="58" customWidth="1" min="11" max="11"/>
  </cols>
  <sheetData>
    <row r="1" ht="38" customHeight="1">
      <c r="A1" s="18" t="inlineStr">
        <is>
          <t>Bâtiment</t>
        </is>
      </c>
      <c r="B1" s="18" t="inlineStr">
        <is>
          <t>Niveau</t>
        </is>
      </c>
      <c r="C1" s="18" t="inlineStr">
        <is>
          <t>Nom du niveau</t>
        </is>
      </c>
      <c r="D1" s="18" t="inlineStr">
        <is>
          <t>Matériaux de construction</t>
        </is>
      </c>
      <c r="E1" s="18" t="inlineStr">
        <is>
          <t>Métal</t>
        </is>
      </c>
      <c r="F1" s="18" t="inlineStr">
        <is>
          <t>Carburant (L)</t>
        </is>
      </c>
      <c r="G1" s="18" t="inlineStr">
        <is>
          <t>Eau (L)</t>
        </is>
      </c>
      <c r="H1" s="18" t="inlineStr">
        <is>
          <t>Composants électroniques</t>
        </is>
      </c>
      <c r="I1" s="18" t="inlineStr">
        <is>
          <t>Pièces mécaniques / ferraille</t>
        </is>
      </c>
      <c r="J1" s="18" t="inlineStr">
        <is>
          <t>Effet / capacité visée</t>
        </is>
      </c>
      <c r="K1" s="18" t="inlineStr">
        <is>
          <t>Règle</t>
        </is>
      </c>
    </row>
    <row r="2" ht="42" customHeight="1">
      <c r="A2" s="19" t="inlineStr">
        <is>
          <t>Mairie / centre de commandement</t>
        </is>
      </c>
      <c r="B2" s="19" t="n">
        <v>1</v>
      </c>
      <c r="C2" s="19" t="inlineStr">
        <is>
          <t>Poste de commandement</t>
        </is>
      </c>
      <c r="D2" s="19" t="n">
        <v>20</v>
      </c>
      <c r="E2" s="19" t="n">
        <v>8</v>
      </c>
      <c r="F2" s="19" t="n">
        <v>0</v>
      </c>
      <c r="G2" s="19" t="n">
        <v>0</v>
      </c>
      <c r="H2" s="19" t="n">
        <v>2</v>
      </c>
      <c r="I2" s="19" t="n">
        <v>0</v>
      </c>
      <c r="J2" s="19" t="inlineStr">
        <is>
          <t>Débloque la gestion de base, les ordres et les expéditions.</t>
        </is>
      </c>
      <c r="K2" s="19" t="inlineStr">
        <is>
          <t>Coûts de prototype à ajuster ; ressources déduites lors du lancement de l'amélioration.</t>
        </is>
      </c>
    </row>
    <row r="3" ht="42" customHeight="1">
      <c r="A3" s="19" t="inlineStr">
        <is>
          <t>Mairie / centre de commandement</t>
        </is>
      </c>
      <c r="B3" s="19" t="n">
        <v>2</v>
      </c>
      <c r="C3" s="19" t="inlineStr">
        <is>
          <t>Bureau renforcé</t>
        </is>
      </c>
      <c r="D3" s="19" t="n">
        <v>35</v>
      </c>
      <c r="E3" s="19" t="n">
        <v>16</v>
      </c>
      <c r="F3" s="19" t="n">
        <v>0</v>
      </c>
      <c r="G3" s="19" t="n">
        <v>100</v>
      </c>
      <c r="H3" s="19" t="n">
        <v>4</v>
      </c>
      <c r="I3" s="19" t="n">
        <v>2</v>
      </c>
      <c r="J3" s="19" t="inlineStr">
        <is>
          <t>Améliore la coordination et la capacité de gestion.</t>
        </is>
      </c>
      <c r="K3" s="19" t="inlineStr">
        <is>
          <t>Coûts de prototype à ajuster ; ressources déduites lors du lancement de l'amélioration.</t>
        </is>
      </c>
    </row>
    <row r="4" ht="42" customHeight="1">
      <c r="A4" s="19" t="inlineStr">
        <is>
          <t>Mairie / centre de commandement</t>
        </is>
      </c>
      <c r="B4" s="19" t="n">
        <v>3</v>
      </c>
      <c r="C4" s="19" t="inlineStr">
        <is>
          <t>Centre de communications</t>
        </is>
      </c>
      <c r="D4" s="19" t="n">
        <v>55</v>
      </c>
      <c r="E4" s="19" t="n">
        <v>28</v>
      </c>
      <c r="F4" s="19" t="n">
        <v>2</v>
      </c>
      <c r="G4" s="19" t="n">
        <v>250</v>
      </c>
      <c r="H4" s="19" t="n">
        <v>8</v>
      </c>
      <c r="I4" s="19" t="n">
        <v>5</v>
      </c>
      <c r="J4" s="19" t="inlineStr">
        <is>
          <t>Améliore les échanges et la connaissance des factions.</t>
        </is>
      </c>
      <c r="K4" s="19" t="inlineStr">
        <is>
          <t>Coûts de prototype à ajuster ; ressources déduites lors du lancement de l'amélioration.</t>
        </is>
      </c>
    </row>
    <row r="5" ht="42" customHeight="1">
      <c r="A5" s="19" t="inlineStr">
        <is>
          <t>Mairie / centre de commandement</t>
        </is>
      </c>
      <c r="B5" s="19" t="n">
        <v>4</v>
      </c>
      <c r="C5" s="19" t="inlineStr">
        <is>
          <t>Centre de commandement fortifié</t>
        </is>
      </c>
      <c r="D5" s="19" t="n">
        <v>90</v>
      </c>
      <c r="E5" s="19" t="n">
        <v>50</v>
      </c>
      <c r="F5" s="19" t="n">
        <v>5</v>
      </c>
      <c r="G5" s="19" t="n">
        <v>500</v>
      </c>
      <c r="H5" s="19" t="n">
        <v>15</v>
      </c>
      <c r="I5" s="19" t="n">
        <v>10</v>
      </c>
      <c r="J5" s="19" t="inlineStr">
        <is>
          <t>Résiste mieux aux raids et coordonne davantage d'opérations.</t>
        </is>
      </c>
      <c r="K5" s="19" t="inlineStr">
        <is>
          <t>Coûts de prototype à ajuster ; ressources déduites lors du lancement de l'amélioration.</t>
        </is>
      </c>
    </row>
    <row r="6" ht="42" customHeight="1">
      <c r="A6" s="19" t="inlineStr">
        <is>
          <t>Mairie / centre de commandement</t>
        </is>
      </c>
      <c r="B6" s="19" t="n">
        <v>5</v>
      </c>
      <c r="C6" s="19" t="inlineStr">
        <is>
          <t>Quartier général</t>
        </is>
      </c>
      <c r="D6" s="19" t="n">
        <v>140</v>
      </c>
      <c r="E6" s="19" t="n">
        <v>85</v>
      </c>
      <c r="F6" s="19" t="n">
        <v>10</v>
      </c>
      <c r="G6" s="19" t="n">
        <v>1000</v>
      </c>
      <c r="H6" s="19" t="n">
        <v>25</v>
      </c>
      <c r="I6" s="19" t="n">
        <v>20</v>
      </c>
      <c r="J6" s="19" t="inlineStr">
        <is>
          <t>Niveau avancé de commandement et de coordination.</t>
        </is>
      </c>
      <c r="K6" s="19" t="inlineStr">
        <is>
          <t>Coûts de prototype à ajuster ; ressources déduites lors du lancement de l'amélioration.</t>
        </is>
      </c>
    </row>
    <row r="7" ht="42" customHeight="1">
      <c r="A7" s="19" t="inlineStr">
        <is>
          <t>Logements / dortoirs</t>
        </is>
      </c>
      <c r="B7" s="19" t="n">
        <v>1</v>
      </c>
      <c r="C7" s="19" t="inlineStr">
        <is>
          <t>Abri sommaire</t>
        </is>
      </c>
      <c r="D7" s="19" t="n">
        <v>12</v>
      </c>
      <c r="E7" s="19" t="n">
        <v>2</v>
      </c>
      <c r="F7" s="19" t="n">
        <v>0</v>
      </c>
      <c r="G7" s="19" t="n">
        <v>0</v>
      </c>
      <c r="H7" s="19" t="n">
        <v>0</v>
      </c>
      <c r="I7" s="19" t="n">
        <v>0</v>
      </c>
      <c r="J7" s="19" t="inlineStr">
        <is>
          <t>Capacité de départ : 6 lits.</t>
        </is>
      </c>
      <c r="K7" s="19" t="inlineStr">
        <is>
          <t>Coûts de prototype à ajuster ; ressources déduites lors du lancement de l'amélioration.</t>
        </is>
      </c>
    </row>
    <row r="8" ht="42" customHeight="1">
      <c r="A8" s="19" t="inlineStr">
        <is>
          <t>Logements / dortoirs</t>
        </is>
      </c>
      <c r="B8" s="19" t="n">
        <v>2</v>
      </c>
      <c r="C8" s="19" t="inlineStr">
        <is>
          <t>Dortoir</t>
        </is>
      </c>
      <c r="D8" s="19" t="n">
        <v>22</v>
      </c>
      <c r="E8" s="19" t="n">
        <v>8</v>
      </c>
      <c r="F8" s="19" t="n">
        <v>0</v>
      </c>
      <c r="G8" s="19" t="n">
        <v>100</v>
      </c>
      <c r="H8" s="19" t="n">
        <v>0</v>
      </c>
      <c r="I8" s="19" t="n">
        <v>0</v>
      </c>
      <c r="J8" s="19" t="inlineStr">
        <is>
          <t>Capacité indicative : 12 lits.</t>
        </is>
      </c>
      <c r="K8" s="19" t="inlineStr">
        <is>
          <t>Coûts de prototype à ajuster ; ressources déduites lors du lancement de l'amélioration.</t>
        </is>
      </c>
    </row>
    <row r="9" ht="42" customHeight="1">
      <c r="A9" s="19" t="inlineStr">
        <is>
          <t>Logements / dortoirs</t>
        </is>
      </c>
      <c r="B9" s="19" t="n">
        <v>3</v>
      </c>
      <c r="C9" s="19" t="inlineStr">
        <is>
          <t>Logement isolé</t>
        </is>
      </c>
      <c r="D9" s="19" t="n">
        <v>35</v>
      </c>
      <c r="E9" s="19" t="n">
        <v>15</v>
      </c>
      <c r="F9" s="19" t="n">
        <v>0</v>
      </c>
      <c r="G9" s="19" t="n">
        <v>250</v>
      </c>
      <c r="H9" s="19" t="n">
        <v>1</v>
      </c>
      <c r="I9" s="19" t="n">
        <v>0</v>
      </c>
      <c r="J9" s="19" t="inlineStr">
        <is>
          <t>Capacité indicative : 20 lits, meilleure protection.</t>
        </is>
      </c>
      <c r="K9" s="19" t="inlineStr">
        <is>
          <t>Coûts de prototype à ajuster ; ressources déduites lors du lancement de l'amélioration.</t>
        </is>
      </c>
    </row>
    <row r="10" ht="42" customHeight="1">
      <c r="A10" s="19" t="inlineStr">
        <is>
          <t>Logements / dortoirs</t>
        </is>
      </c>
      <c r="B10" s="19" t="n">
        <v>4</v>
      </c>
      <c r="C10" s="19" t="inlineStr">
        <is>
          <t>Bloc résidentiel</t>
        </is>
      </c>
      <c r="D10" s="19" t="n">
        <v>60</v>
      </c>
      <c r="E10" s="19" t="n">
        <v>28</v>
      </c>
      <c r="F10" s="19" t="n">
        <v>1</v>
      </c>
      <c r="G10" s="19" t="n">
        <v>500</v>
      </c>
      <c r="H10" s="19" t="n">
        <v>3</v>
      </c>
      <c r="I10" s="19" t="n">
        <v>0</v>
      </c>
      <c r="J10" s="19" t="inlineStr">
        <is>
          <t>Capacité indicative : 32 lits.</t>
        </is>
      </c>
      <c r="K10" s="19" t="inlineStr">
        <is>
          <t>Coûts de prototype à ajuster ; ressources déduites lors du lancement de l'amélioration.</t>
        </is>
      </c>
    </row>
    <row r="11" ht="42" customHeight="1">
      <c r="A11" s="19" t="inlineStr">
        <is>
          <t>Logements / dortoirs</t>
        </is>
      </c>
      <c r="B11" s="19" t="n">
        <v>5</v>
      </c>
      <c r="C11" s="19" t="inlineStr">
        <is>
          <t>Complexe résidentiel</t>
        </is>
      </c>
      <c r="D11" s="19" t="n">
        <v>95</v>
      </c>
      <c r="E11" s="19" t="n">
        <v>45</v>
      </c>
      <c r="F11" s="19" t="n">
        <v>2</v>
      </c>
      <c r="G11" s="19" t="n">
        <v>1000</v>
      </c>
      <c r="H11" s="19" t="n">
        <v>6</v>
      </c>
      <c r="I11" s="19" t="n">
        <v>2</v>
      </c>
      <c r="J11" s="19" t="inlineStr">
        <is>
          <t>Capacité indicative : 48 lits.</t>
        </is>
      </c>
      <c r="K11" s="19" t="inlineStr">
        <is>
          <t>Coûts de prototype à ajuster ; ressources déduites lors du lancement de l'amélioration.</t>
        </is>
      </c>
    </row>
    <row r="12" ht="42" customHeight="1">
      <c r="A12" s="19" t="inlineStr">
        <is>
          <t>École</t>
        </is>
      </c>
      <c r="B12" s="19" t="n">
        <v>1</v>
      </c>
      <c r="C12" s="19" t="inlineStr">
        <is>
          <t>Salle aménagée</t>
        </is>
      </c>
      <c r="D12" s="19" t="n">
        <v>15</v>
      </c>
      <c r="E12" s="19" t="n">
        <v>3</v>
      </c>
      <c r="F12" s="19" t="n">
        <v>0</v>
      </c>
      <c r="G12" s="19" t="n">
        <v>0</v>
      </c>
      <c r="H12" s="19" t="n">
        <v>0</v>
      </c>
      <c r="I12" s="19" t="n">
        <v>0</v>
      </c>
      <c r="J12" s="19" t="inlineStr">
        <is>
          <t>Abrite les enfants et suit leur croissance.</t>
        </is>
      </c>
      <c r="K12" s="19" t="inlineStr">
        <is>
          <t>Coûts de prototype à ajuster ; ressources déduites lors du lancement de l'amélioration.</t>
        </is>
      </c>
    </row>
    <row r="13" ht="42" customHeight="1">
      <c r="A13" s="19" t="inlineStr">
        <is>
          <t>École</t>
        </is>
      </c>
      <c r="B13" s="19" t="n">
        <v>2</v>
      </c>
      <c r="C13" s="19" t="inlineStr">
        <is>
          <t>École sécurisée</t>
        </is>
      </c>
      <c r="D13" s="19" t="n">
        <v>25</v>
      </c>
      <c r="E13" s="19" t="n">
        <v>10</v>
      </c>
      <c r="F13" s="19" t="n">
        <v>0</v>
      </c>
      <c r="G13" s="19" t="n">
        <v>100</v>
      </c>
      <c r="H13" s="19" t="n">
        <v>0</v>
      </c>
      <c r="I13" s="19" t="n">
        <v>1</v>
      </c>
      <c r="J13" s="19" t="inlineStr">
        <is>
          <t>Augmente la capacité et la sécurité.</t>
        </is>
      </c>
      <c r="K13" s="19" t="inlineStr">
        <is>
          <t>Coûts de prototype à ajuster ; ressources déduites lors du lancement de l'amélioration.</t>
        </is>
      </c>
    </row>
    <row r="14" ht="42" customHeight="1">
      <c r="A14" s="19" t="inlineStr">
        <is>
          <t>École</t>
        </is>
      </c>
      <c r="B14" s="19" t="n">
        <v>3</v>
      </c>
      <c r="C14" s="19" t="inlineStr">
        <is>
          <t>École équipée</t>
        </is>
      </c>
      <c r="D14" s="19" t="n">
        <v>40</v>
      </c>
      <c r="E14" s="19" t="n">
        <v>18</v>
      </c>
      <c r="F14" s="19" t="n">
        <v>0</v>
      </c>
      <c r="G14" s="19" t="n">
        <v>250</v>
      </c>
      <c r="H14" s="19" t="n">
        <v>1</v>
      </c>
      <c r="I14" s="19" t="n">
        <v>3</v>
      </c>
      <c r="J14" s="19" t="inlineStr">
        <is>
          <t>Améliore l'encadrement.</t>
        </is>
      </c>
      <c r="K14" s="19" t="inlineStr">
        <is>
          <t>Coûts de prototype à ajuster ; ressources déduites lors du lancement de l'amélioration.</t>
        </is>
      </c>
    </row>
    <row r="15" ht="42" customHeight="1">
      <c r="A15" s="19" t="inlineStr">
        <is>
          <t>École</t>
        </is>
      </c>
      <c r="B15" s="19" t="n">
        <v>4</v>
      </c>
      <c r="C15" s="19" t="inlineStr">
        <is>
          <t>École renforcée</t>
        </is>
      </c>
      <c r="D15" s="19" t="n">
        <v>65</v>
      </c>
      <c r="E15" s="19" t="n">
        <v>30</v>
      </c>
      <c r="F15" s="19" t="n">
        <v>1</v>
      </c>
      <c r="G15" s="19" t="n">
        <v>500</v>
      </c>
      <c r="H15" s="19" t="n">
        <v>3</v>
      </c>
      <c r="I15" s="19" t="n">
        <v>5</v>
      </c>
      <c r="J15" s="19" t="inlineStr">
        <is>
          <t>Meilleure protection en cas d'attaque.</t>
        </is>
      </c>
      <c r="K15" s="19" t="inlineStr">
        <is>
          <t>Coûts de prototype à ajuster ; ressources déduites lors du lancement de l'amélioration.</t>
        </is>
      </c>
    </row>
    <row r="16" ht="42" customHeight="1">
      <c r="A16" s="19" t="inlineStr">
        <is>
          <t>École</t>
        </is>
      </c>
      <c r="B16" s="19" t="n">
        <v>5</v>
      </c>
      <c r="C16" s="19" t="inlineStr">
        <is>
          <t>Centre éducatif</t>
        </is>
      </c>
      <c r="D16" s="19" t="n">
        <v>100</v>
      </c>
      <c r="E16" s="19" t="n">
        <v>50</v>
      </c>
      <c r="F16" s="19" t="n">
        <v>2</v>
      </c>
      <c r="G16" s="19" t="n">
        <v>1000</v>
      </c>
      <c r="H16" s="19" t="n">
        <v>6</v>
      </c>
      <c r="I16" s="19" t="n">
        <v>8</v>
      </c>
      <c r="J16" s="19" t="inlineStr">
        <is>
          <t>Capacité avancée pour une grande population.</t>
        </is>
      </c>
      <c r="K16" s="19" t="inlineStr">
        <is>
          <t>Coûts de prototype à ajuster ; ressources déduites lors du lancement de l'amélioration.</t>
        </is>
      </c>
    </row>
    <row r="17" ht="42" customHeight="1">
      <c r="A17" s="19" t="inlineStr">
        <is>
          <t>Puits d'eau</t>
        </is>
      </c>
      <c r="B17" s="19" t="n">
        <v>1</v>
      </c>
      <c r="C17" s="19" t="inlineStr">
        <is>
          <t>Puits manuel</t>
        </is>
      </c>
      <c r="D17" s="19" t="n">
        <v>10</v>
      </c>
      <c r="E17" s="19" t="n">
        <v>2</v>
      </c>
      <c r="F17" s="19" t="n">
        <v>0</v>
      </c>
      <c r="G17" s="19" t="n">
        <v>0</v>
      </c>
      <c r="H17" s="19" t="n">
        <v>0</v>
      </c>
      <c r="I17" s="19" t="n">
        <v>0</v>
      </c>
      <c r="J17" s="19" t="inlineStr">
        <is>
          <t>Production indicative : 100 L/jour si nappe exploitable.</t>
        </is>
      </c>
      <c r="K17" s="19" t="inlineStr">
        <is>
          <t>Coûts de prototype à ajuster ; ressources déduites lors du lancement de l'amélioration.</t>
        </is>
      </c>
    </row>
    <row r="18" ht="42" customHeight="1">
      <c r="A18" s="19" t="inlineStr">
        <is>
          <t>Puits d'eau</t>
        </is>
      </c>
      <c r="B18" s="19" t="n">
        <v>2</v>
      </c>
      <c r="C18" s="19" t="inlineStr">
        <is>
          <t>Puits approfondi</t>
        </is>
      </c>
      <c r="D18" s="19" t="n">
        <v>18</v>
      </c>
      <c r="E18" s="19" t="n">
        <v>8</v>
      </c>
      <c r="F18" s="19" t="n">
        <v>0</v>
      </c>
      <c r="G18" s="19" t="n">
        <v>100</v>
      </c>
      <c r="H18" s="19" t="n">
        <v>0</v>
      </c>
      <c r="I18" s="19" t="n">
        <v>0</v>
      </c>
      <c r="J18" s="19" t="inlineStr">
        <is>
          <t>Production : 250 L/jour selon la nappe.</t>
        </is>
      </c>
      <c r="K18" s="19" t="inlineStr">
        <is>
          <t>Coûts de prototype à ajuster ; ressources déduites lors du lancement de l'amélioration.</t>
        </is>
      </c>
    </row>
    <row r="19" ht="42" customHeight="1">
      <c r="A19" s="19" t="inlineStr">
        <is>
          <t>Puits d'eau</t>
        </is>
      </c>
      <c r="B19" s="19" t="n">
        <v>3</v>
      </c>
      <c r="C19" s="19" t="inlineStr">
        <is>
          <t>Pompe mécanique</t>
        </is>
      </c>
      <c r="D19" s="19" t="n">
        <v>28</v>
      </c>
      <c r="E19" s="19" t="n">
        <v>14</v>
      </c>
      <c r="F19" s="19" t="n">
        <v>0</v>
      </c>
      <c r="G19" s="19" t="n">
        <v>250</v>
      </c>
      <c r="H19" s="19" t="n">
        <v>0</v>
      </c>
      <c r="I19" s="19" t="n">
        <v>1</v>
      </c>
      <c r="J19" s="19" t="inlineStr">
        <is>
          <t>Production : 600 L/jour ; demande entretien.</t>
        </is>
      </c>
      <c r="K19" s="19" t="inlineStr">
        <is>
          <t>Coûts de prototype à ajuster ; ressources déduites lors du lancement de l'amélioration.</t>
        </is>
      </c>
    </row>
    <row r="20" ht="42" customHeight="1">
      <c r="A20" s="19" t="inlineStr">
        <is>
          <t>Puits d'eau</t>
        </is>
      </c>
      <c r="B20" s="19" t="n">
        <v>4</v>
      </c>
      <c r="C20" s="19" t="inlineStr">
        <is>
          <t>Pompe électrique</t>
        </is>
      </c>
      <c r="D20" s="19" t="n">
        <v>45</v>
      </c>
      <c r="E20" s="19" t="n">
        <v>22</v>
      </c>
      <c r="F20" s="19" t="n">
        <v>0</v>
      </c>
      <c r="G20" s="19" t="n">
        <v>500</v>
      </c>
      <c r="H20" s="19" t="n">
        <v>0</v>
      </c>
      <c r="I20" s="19" t="n">
        <v>3</v>
      </c>
      <c r="J20" s="19" t="inlineStr">
        <is>
          <t>Production : 1 500 L/jour ; consomme de l'énergie.</t>
        </is>
      </c>
      <c r="K20" s="19" t="inlineStr">
        <is>
          <t>Coûts de prototype à ajuster ; ressources déduites lors du lancement de l'amélioration.</t>
        </is>
      </c>
    </row>
    <row r="21" ht="42" customHeight="1">
      <c r="A21" s="19" t="inlineStr">
        <is>
          <t>Puits d'eau</t>
        </is>
      </c>
      <c r="B21" s="19" t="n">
        <v>5</v>
      </c>
      <c r="C21" s="19" t="inlineStr">
        <is>
          <t>Station de pompage</t>
        </is>
      </c>
      <c r="D21" s="19" t="n">
        <v>75</v>
      </c>
      <c r="E21" s="19" t="n">
        <v>40</v>
      </c>
      <c r="F21" s="19" t="n">
        <v>1</v>
      </c>
      <c r="G21" s="19" t="n">
        <v>1000</v>
      </c>
      <c r="H21" s="19" t="n">
        <v>2</v>
      </c>
      <c r="I21" s="19" t="n">
        <v>8</v>
      </c>
      <c r="J21" s="19" t="inlineStr">
        <is>
          <t>Production : 3 500 L/jour ; exige nappe abondante et énergie.</t>
        </is>
      </c>
      <c r="K21" s="19" t="inlineStr">
        <is>
          <t>Coûts de prototype à ajuster ; ressources déduites lors du lancement de l'amélioration.</t>
        </is>
      </c>
    </row>
    <row r="22" ht="42" customHeight="1">
      <c r="A22" s="19" t="inlineStr">
        <is>
          <t>Cuve d'eau</t>
        </is>
      </c>
      <c r="B22" s="19" t="n">
        <v>1</v>
      </c>
      <c r="C22" s="19" t="inlineStr">
        <is>
          <t>Réservoir 500 L</t>
        </is>
      </c>
      <c r="D22" s="19" t="n">
        <v>8</v>
      </c>
      <c r="E22" s="19" t="n">
        <v>2</v>
      </c>
      <c r="F22" s="19" t="n">
        <v>0</v>
      </c>
      <c r="G22" s="19" t="n">
        <v>0</v>
      </c>
      <c r="H22" s="19" t="n">
        <v>0</v>
      </c>
      <c r="I22" s="19" t="n">
        <v>0</v>
      </c>
      <c r="J22" s="19" t="inlineStr">
        <is>
          <t>Capacité : 500 L.</t>
        </is>
      </c>
      <c r="K22" s="19" t="inlineStr">
        <is>
          <t>Coûts de prototype à ajuster ; ressources déduites lors du lancement de l'amélioration.</t>
        </is>
      </c>
    </row>
    <row r="23" ht="42" customHeight="1">
      <c r="A23" s="19" t="inlineStr">
        <is>
          <t>Cuve d'eau</t>
        </is>
      </c>
      <c r="B23" s="19" t="n">
        <v>2</v>
      </c>
      <c r="C23" s="19" t="inlineStr">
        <is>
          <t>Cuve 2 000 L</t>
        </is>
      </c>
      <c r="D23" s="19" t="n">
        <v>14</v>
      </c>
      <c r="E23" s="19" t="n">
        <v>6</v>
      </c>
      <c r="F23" s="19" t="n">
        <v>0</v>
      </c>
      <c r="G23" s="19" t="n">
        <v>100</v>
      </c>
      <c r="H23" s="19" t="n">
        <v>0</v>
      </c>
      <c r="I23" s="19" t="n">
        <v>0</v>
      </c>
      <c r="J23" s="19" t="inlineStr">
        <is>
          <t>Capacité : 2 000 L.</t>
        </is>
      </c>
      <c r="K23" s="19" t="inlineStr">
        <is>
          <t>Coûts de prototype à ajuster ; ressources déduites lors du lancement de l'amélioration.</t>
        </is>
      </c>
    </row>
    <row r="24" ht="42" customHeight="1">
      <c r="A24" s="19" t="inlineStr">
        <is>
          <t>Cuve d'eau</t>
        </is>
      </c>
      <c r="B24" s="19" t="n">
        <v>3</v>
      </c>
      <c r="C24" s="19" t="inlineStr">
        <is>
          <t>Cuve 8 000 L</t>
        </is>
      </c>
      <c r="D24" s="19" t="n">
        <v>25</v>
      </c>
      <c r="E24" s="19" t="n">
        <v>12</v>
      </c>
      <c r="F24" s="19" t="n">
        <v>0</v>
      </c>
      <c r="G24" s="19" t="n">
        <v>250</v>
      </c>
      <c r="H24" s="19" t="n">
        <v>0</v>
      </c>
      <c r="I24" s="19" t="n">
        <v>1</v>
      </c>
      <c r="J24" s="19" t="inlineStr">
        <is>
          <t>Capacité : 8 000 L.</t>
        </is>
      </c>
      <c r="K24" s="19" t="inlineStr">
        <is>
          <t>Coûts de prototype à ajuster ; ressources déduites lors du lancement de l'amélioration.</t>
        </is>
      </c>
    </row>
    <row r="25" ht="42" customHeight="1">
      <c r="A25" s="19" t="inlineStr">
        <is>
          <t>Cuve d'eau</t>
        </is>
      </c>
      <c r="B25" s="19" t="n">
        <v>4</v>
      </c>
      <c r="C25" s="19" t="inlineStr">
        <is>
          <t>Réserve 20 000 L</t>
        </is>
      </c>
      <c r="D25" s="19" t="n">
        <v>45</v>
      </c>
      <c r="E25" s="19" t="n">
        <v>24</v>
      </c>
      <c r="F25" s="19" t="n">
        <v>0</v>
      </c>
      <c r="G25" s="19" t="n">
        <v>500</v>
      </c>
      <c r="H25" s="19" t="n">
        <v>0</v>
      </c>
      <c r="I25" s="19" t="n">
        <v>3</v>
      </c>
      <c r="J25" s="19" t="inlineStr">
        <is>
          <t>Capacité : 20 000 L.</t>
        </is>
      </c>
      <c r="K25" s="19" t="inlineStr">
        <is>
          <t>Coûts de prototype à ajuster ; ressources déduites lors du lancement de l'amélioration.</t>
        </is>
      </c>
    </row>
    <row r="26" ht="42" customHeight="1">
      <c r="A26" s="19" t="inlineStr">
        <is>
          <t>Cuve d'eau</t>
        </is>
      </c>
      <c r="B26" s="19" t="n">
        <v>5</v>
      </c>
      <c r="C26" s="19" t="inlineStr">
        <is>
          <t>Citerne 50 000 L</t>
        </is>
      </c>
      <c r="D26" s="19" t="n">
        <v>75</v>
      </c>
      <c r="E26" s="19" t="n">
        <v>42</v>
      </c>
      <c r="F26" s="19" t="n">
        <v>1</v>
      </c>
      <c r="G26" s="19" t="n">
        <v>1000</v>
      </c>
      <c r="H26" s="19" t="n">
        <v>2</v>
      </c>
      <c r="I26" s="19" t="n">
        <v>6</v>
      </c>
      <c r="J26" s="19" t="inlineStr">
        <is>
          <t>Capacité : 50 000 L ; protection renforcée.</t>
        </is>
      </c>
      <c r="K26" s="19" t="inlineStr">
        <is>
          <t>Coûts de prototype à ajuster ; ressources déduites lors du lancement de l'amélioration.</t>
        </is>
      </c>
    </row>
    <row r="27" ht="42" customHeight="1">
      <c r="A27" s="19" t="inlineStr">
        <is>
          <t>Puits de pétrole</t>
        </is>
      </c>
      <c r="B27" s="19" t="n">
        <v>1</v>
      </c>
      <c r="C27" s="19" t="inlineStr">
        <is>
          <t>Forage exploratoire</t>
        </is>
      </c>
      <c r="D27" s="19" t="n">
        <v>25</v>
      </c>
      <c r="E27" s="19" t="n">
        <v>12</v>
      </c>
      <c r="F27" s="19" t="n">
        <v>0</v>
      </c>
      <c r="G27" s="19" t="n">
        <v>0</v>
      </c>
      <c r="H27" s="19" t="n">
        <v>0</v>
      </c>
      <c r="I27" s="19" t="n">
        <v>0</v>
      </c>
      <c r="J27" s="19" t="inlineStr">
        <is>
          <t>Confirme la présence d'un gisement ; débit faible.</t>
        </is>
      </c>
      <c r="K27" s="19" t="inlineStr">
        <is>
          <t>Coûts de prototype à ajuster ; ressources déduites lors du lancement de l'amélioration.</t>
        </is>
      </c>
    </row>
    <row r="28" ht="42" customHeight="1">
      <c r="A28" s="19" t="inlineStr">
        <is>
          <t>Puits de pétrole</t>
        </is>
      </c>
      <c r="B28" s="19" t="n">
        <v>2</v>
      </c>
      <c r="C28" s="19" t="inlineStr">
        <is>
          <t>Tête de puits</t>
        </is>
      </c>
      <c r="D28" s="19" t="n">
        <v>40</v>
      </c>
      <c r="E28" s="19" t="n">
        <v>22</v>
      </c>
      <c r="F28" s="19" t="n">
        <v>2</v>
      </c>
      <c r="G28" s="19" t="n">
        <v>100</v>
      </c>
      <c r="H28" s="19" t="n">
        <v>0</v>
      </c>
      <c r="I28" s="19" t="n">
        <v>1</v>
      </c>
      <c r="J28" s="19" t="inlineStr">
        <is>
          <t>Production indicative : 20 L de brut/jour.</t>
        </is>
      </c>
      <c r="K28" s="19" t="inlineStr">
        <is>
          <t>Coûts de prototype à ajuster ; ressources déduites lors du lancement de l'amélioration.</t>
        </is>
      </c>
    </row>
    <row r="29" ht="42" customHeight="1">
      <c r="A29" s="19" t="inlineStr">
        <is>
          <t>Puits de pétrole</t>
        </is>
      </c>
      <c r="B29" s="19" t="n">
        <v>3</v>
      </c>
      <c r="C29" s="19" t="inlineStr">
        <is>
          <t>Pompe mécanique</t>
        </is>
      </c>
      <c r="D29" s="19" t="n">
        <v>60</v>
      </c>
      <c r="E29" s="19" t="n">
        <v>35</v>
      </c>
      <c r="F29" s="19" t="n">
        <v>4</v>
      </c>
      <c r="G29" s="19" t="n">
        <v>250</v>
      </c>
      <c r="H29" s="19" t="n">
        <v>0</v>
      </c>
      <c r="I29" s="19" t="n">
        <v>3</v>
      </c>
      <c r="J29" s="19" t="inlineStr">
        <is>
          <t>Production : 60 L de brut/jour.</t>
        </is>
      </c>
      <c r="K29" s="19" t="inlineStr">
        <is>
          <t>Coûts de prototype à ajuster ; ressources déduites lors du lancement de l'amélioration.</t>
        </is>
      </c>
    </row>
    <row r="30" ht="42" customHeight="1">
      <c r="A30" s="19" t="inlineStr">
        <is>
          <t>Puits de pétrole</t>
        </is>
      </c>
      <c r="B30" s="19" t="n">
        <v>4</v>
      </c>
      <c r="C30" s="19" t="inlineStr">
        <is>
          <t>Pompe électrique</t>
        </is>
      </c>
      <c r="D30" s="19" t="n">
        <v>90</v>
      </c>
      <c r="E30" s="19" t="n">
        <v>55</v>
      </c>
      <c r="F30" s="19" t="n">
        <v>8</v>
      </c>
      <c r="G30" s="19" t="n">
        <v>500</v>
      </c>
      <c r="H30" s="19" t="n">
        <v>0</v>
      </c>
      <c r="I30" s="19" t="n">
        <v>6</v>
      </c>
      <c r="J30" s="19" t="inlineStr">
        <is>
          <t>Production : 150 L de brut/jour ; demande énergie.</t>
        </is>
      </c>
      <c r="K30" s="19" t="inlineStr">
        <is>
          <t>Coûts de prototype à ajuster ; ressources déduites lors du lancement de l'amélioration.</t>
        </is>
      </c>
    </row>
    <row r="31" ht="42" customHeight="1">
      <c r="A31" s="19" t="inlineStr">
        <is>
          <t>Puits de pétrole</t>
        </is>
      </c>
      <c r="B31" s="19" t="n">
        <v>5</v>
      </c>
      <c r="C31" s="19" t="inlineStr">
        <is>
          <t>Installation industrielle</t>
        </is>
      </c>
      <c r="D31" s="19" t="n">
        <v>140</v>
      </c>
      <c r="E31" s="19" t="n">
        <v>90</v>
      </c>
      <c r="F31" s="19" t="n">
        <v>15</v>
      </c>
      <c r="G31" s="19" t="n">
        <v>1000</v>
      </c>
      <c r="H31" s="19" t="n">
        <v>3</v>
      </c>
      <c r="I31" s="19" t="n">
        <v>12</v>
      </c>
      <c r="J31" s="19" t="inlineStr">
        <is>
          <t>Production : 300 L de brut/jour si le gisement le permet.</t>
        </is>
      </c>
      <c r="K31" s="19" t="inlineStr">
        <is>
          <t>Coûts de prototype à ajuster ; ressources déduites lors du lancement de l'amélioration.</t>
        </is>
      </c>
    </row>
    <row r="32" ht="42" customHeight="1">
      <c r="A32" s="19" t="inlineStr">
        <is>
          <t>Raffinerie artisanale</t>
        </is>
      </c>
      <c r="B32" s="19" t="n">
        <v>1</v>
      </c>
      <c r="C32" s="19" t="inlineStr">
        <is>
          <t>Alambic de fortune</t>
        </is>
      </c>
      <c r="D32" s="19" t="n">
        <v>25</v>
      </c>
      <c r="E32" s="19" t="n">
        <v>10</v>
      </c>
      <c r="F32" s="19" t="n">
        <v>1</v>
      </c>
      <c r="G32" s="19" t="n">
        <v>0</v>
      </c>
      <c r="H32" s="19" t="n">
        <v>0</v>
      </c>
      <c r="I32" s="19" t="n">
        <v>0</v>
      </c>
      <c r="J32" s="19" t="inlineStr">
        <is>
          <t>Transforme une petite quantité de brut avec pertes importantes.</t>
        </is>
      </c>
      <c r="K32" s="19" t="inlineStr">
        <is>
          <t>Coûts de prototype à ajuster ; ressources déduites lors du lancement de l'amélioration.</t>
        </is>
      </c>
    </row>
    <row r="33" ht="42" customHeight="1">
      <c r="A33" s="19" t="inlineStr">
        <is>
          <t>Raffinerie artisanale</t>
        </is>
      </c>
      <c r="B33" s="19" t="n">
        <v>2</v>
      </c>
      <c r="C33" s="19" t="inlineStr">
        <is>
          <t>Raffinerie rudimentaire</t>
        </is>
      </c>
      <c r="D33" s="19" t="n">
        <v>40</v>
      </c>
      <c r="E33" s="19" t="n">
        <v>20</v>
      </c>
      <c r="F33" s="19" t="n">
        <v>2</v>
      </c>
      <c r="G33" s="19" t="n">
        <v>100</v>
      </c>
      <c r="H33" s="19" t="n">
        <v>0</v>
      </c>
      <c r="I33" s="19" t="n">
        <v>1</v>
      </c>
      <c r="J33" s="19" t="inlineStr">
        <is>
          <t>Capacité : 50 L de brut/jour.</t>
        </is>
      </c>
      <c r="K33" s="19" t="inlineStr">
        <is>
          <t>Coûts de prototype à ajuster ; ressources déduites lors du lancement de l'amélioration.</t>
        </is>
      </c>
    </row>
    <row r="34" ht="42" customHeight="1">
      <c r="A34" s="19" t="inlineStr">
        <is>
          <t>Raffinerie artisanale</t>
        </is>
      </c>
      <c r="B34" s="19" t="n">
        <v>3</v>
      </c>
      <c r="C34" s="19" t="inlineStr">
        <is>
          <t>Raffinerie équipée</t>
        </is>
      </c>
      <c r="D34" s="19" t="n">
        <v>65</v>
      </c>
      <c r="E34" s="19" t="n">
        <v>35</v>
      </c>
      <c r="F34" s="19" t="n">
        <v>4</v>
      </c>
      <c r="G34" s="19" t="n">
        <v>250</v>
      </c>
      <c r="H34" s="19" t="n">
        <v>1</v>
      </c>
      <c r="I34" s="19" t="n">
        <v>3</v>
      </c>
      <c r="J34" s="19" t="inlineStr">
        <is>
          <t>Capacité : 150 L de brut/jour.</t>
        </is>
      </c>
      <c r="K34" s="19" t="inlineStr">
        <is>
          <t>Coûts de prototype à ajuster ; ressources déduites lors du lancement de l'amélioration.</t>
        </is>
      </c>
    </row>
    <row r="35" ht="42" customHeight="1">
      <c r="A35" s="19" t="inlineStr">
        <is>
          <t>Raffinerie artisanale</t>
        </is>
      </c>
      <c r="B35" s="19" t="n">
        <v>4</v>
      </c>
      <c r="C35" s="19" t="inlineStr">
        <is>
          <t>Raffinerie renforcée</t>
        </is>
      </c>
      <c r="D35" s="19" t="n">
        <v>100</v>
      </c>
      <c r="E35" s="19" t="n">
        <v>55</v>
      </c>
      <c r="F35" s="19" t="n">
        <v>7</v>
      </c>
      <c r="G35" s="19" t="n">
        <v>500</v>
      </c>
      <c r="H35" s="19" t="n">
        <v>3</v>
      </c>
      <c r="I35" s="19" t="n">
        <v>6</v>
      </c>
      <c r="J35" s="19" t="inlineStr">
        <is>
          <t>Capacité : 350 L de brut/jour.</t>
        </is>
      </c>
      <c r="K35" s="19" t="inlineStr">
        <is>
          <t>Coûts de prototype à ajuster ; ressources déduites lors du lancement de l'amélioration.</t>
        </is>
      </c>
    </row>
    <row r="36" ht="42" customHeight="1">
      <c r="A36" s="19" t="inlineStr">
        <is>
          <t>Raffinerie artisanale</t>
        </is>
      </c>
      <c r="B36" s="19" t="n">
        <v>5</v>
      </c>
      <c r="C36" s="19" t="inlineStr">
        <is>
          <t>Unité de raffinage</t>
        </is>
      </c>
      <c r="D36" s="19" t="n">
        <v>160</v>
      </c>
      <c r="E36" s="19" t="n">
        <v>90</v>
      </c>
      <c r="F36" s="19" t="n">
        <v>12</v>
      </c>
      <c r="G36" s="19" t="n">
        <v>1000</v>
      </c>
      <c r="H36" s="19" t="n">
        <v>6</v>
      </c>
      <c r="I36" s="19" t="n">
        <v>12</v>
      </c>
      <c r="J36" s="19" t="inlineStr">
        <is>
          <t>Capacité : 700 L de brut/jour ; entretien coûteux.</t>
        </is>
      </c>
      <c r="K36" s="19" t="inlineStr">
        <is>
          <t>Coûts de prototype à ajuster ; ressources déduites lors du lancement de l'amélioration.</t>
        </is>
      </c>
    </row>
    <row r="37" ht="42" customHeight="1">
      <c r="A37" s="19" t="inlineStr">
        <is>
          <t>Cuve de carburant</t>
        </is>
      </c>
      <c r="B37" s="19" t="n">
        <v>1</v>
      </c>
      <c r="C37" s="19" t="inlineStr">
        <is>
          <t>Réservoir 250 L</t>
        </is>
      </c>
      <c r="D37" s="19" t="n">
        <v>10</v>
      </c>
      <c r="E37" s="19" t="n">
        <v>3</v>
      </c>
      <c r="F37" s="19" t="n">
        <v>0</v>
      </c>
      <c r="G37" s="19" t="n">
        <v>0</v>
      </c>
      <c r="H37" s="19" t="n">
        <v>0</v>
      </c>
      <c r="I37" s="19" t="n">
        <v>0</v>
      </c>
      <c r="J37" s="19" t="inlineStr">
        <is>
          <t>Capacité : 250 L.</t>
        </is>
      </c>
      <c r="K37" s="19" t="inlineStr">
        <is>
          <t>Coûts de prototype à ajuster ; ressources déduites lors du lancement de l'amélioration.</t>
        </is>
      </c>
    </row>
    <row r="38" ht="42" customHeight="1">
      <c r="A38" s="19" t="inlineStr">
        <is>
          <t>Cuve de carburant</t>
        </is>
      </c>
      <c r="B38" s="19" t="n">
        <v>2</v>
      </c>
      <c r="C38" s="19" t="inlineStr">
        <is>
          <t>Cuve 1 000 L</t>
        </is>
      </c>
      <c r="D38" s="19" t="n">
        <v>18</v>
      </c>
      <c r="E38" s="19" t="n">
        <v>8</v>
      </c>
      <c r="F38" s="19" t="n">
        <v>0</v>
      </c>
      <c r="G38" s="19" t="n">
        <v>100</v>
      </c>
      <c r="H38" s="19" t="n">
        <v>0</v>
      </c>
      <c r="I38" s="19" t="n">
        <v>0</v>
      </c>
      <c r="J38" s="19" t="inlineStr">
        <is>
          <t>Capacité : 1 000 L.</t>
        </is>
      </c>
      <c r="K38" s="19" t="inlineStr">
        <is>
          <t>Coûts de prototype à ajuster ; ressources déduites lors du lancement de l'amélioration.</t>
        </is>
      </c>
    </row>
    <row r="39" ht="42" customHeight="1">
      <c r="A39" s="19" t="inlineStr">
        <is>
          <t>Cuve de carburant</t>
        </is>
      </c>
      <c r="B39" s="19" t="n">
        <v>3</v>
      </c>
      <c r="C39" s="19" t="inlineStr">
        <is>
          <t>Cuve 5 000 L</t>
        </is>
      </c>
      <c r="D39" s="19" t="n">
        <v>32</v>
      </c>
      <c r="E39" s="19" t="n">
        <v>18</v>
      </c>
      <c r="F39" s="19" t="n">
        <v>0</v>
      </c>
      <c r="G39" s="19" t="n">
        <v>250</v>
      </c>
      <c r="H39" s="19" t="n">
        <v>1</v>
      </c>
      <c r="I39" s="19" t="n">
        <v>1</v>
      </c>
      <c r="J39" s="19" t="inlineStr">
        <is>
          <t>Capacité : 5 000 L.</t>
        </is>
      </c>
      <c r="K39" s="19" t="inlineStr">
        <is>
          <t>Coûts de prototype à ajuster ; ressources déduites lors du lancement de l'amélioration.</t>
        </is>
      </c>
    </row>
    <row r="40" ht="42" customHeight="1">
      <c r="A40" s="19" t="inlineStr">
        <is>
          <t>Cuve de carburant</t>
        </is>
      </c>
      <c r="B40" s="19" t="n">
        <v>4</v>
      </c>
      <c r="C40" s="19" t="inlineStr">
        <is>
          <t>Réserve 15 000 L</t>
        </is>
      </c>
      <c r="D40" s="19" t="n">
        <v>55</v>
      </c>
      <c r="E40" s="19" t="n">
        <v>32</v>
      </c>
      <c r="F40" s="19" t="n">
        <v>1</v>
      </c>
      <c r="G40" s="19" t="n">
        <v>500</v>
      </c>
      <c r="H40" s="19" t="n">
        <v>2</v>
      </c>
      <c r="I40" s="19" t="n">
        <v>4</v>
      </c>
      <c r="J40" s="19" t="inlineStr">
        <is>
          <t>Capacité : 15 000 L.</t>
        </is>
      </c>
      <c r="K40" s="19" t="inlineStr">
        <is>
          <t>Coûts de prototype à ajuster ; ressources déduites lors du lancement de l'amélioration.</t>
        </is>
      </c>
    </row>
    <row r="41" ht="42" customHeight="1">
      <c r="A41" s="19" t="inlineStr">
        <is>
          <t>Cuve de carburant</t>
        </is>
      </c>
      <c r="B41" s="19" t="n">
        <v>5</v>
      </c>
      <c r="C41" s="19" t="inlineStr">
        <is>
          <t>Dépôt 40 000 L</t>
        </is>
      </c>
      <c r="D41" s="19" t="n">
        <v>95</v>
      </c>
      <c r="E41" s="19" t="n">
        <v>60</v>
      </c>
      <c r="F41" s="19" t="n">
        <v>3</v>
      </c>
      <c r="G41" s="19" t="n">
        <v>1000</v>
      </c>
      <c r="H41" s="19" t="n">
        <v>5</v>
      </c>
      <c r="I41" s="19" t="n">
        <v>10</v>
      </c>
      <c r="J41" s="19" t="inlineStr">
        <is>
          <t>Capacité : 40 000 L ; compartimentage et protection incendie.</t>
        </is>
      </c>
      <c r="K41" s="19" t="inlineStr">
        <is>
          <t>Coûts de prototype à ajuster ; ressources déduites lors du lancement de l'amélioration.</t>
        </is>
      </c>
    </row>
    <row r="42" ht="42" customHeight="1">
      <c r="A42" s="19" t="inlineStr">
        <is>
          <t>Générateur</t>
        </is>
      </c>
      <c r="B42" s="19" t="n">
        <v>1</v>
      </c>
      <c r="C42" s="19" t="inlineStr">
        <is>
          <t>Petit groupe</t>
        </is>
      </c>
      <c r="D42" s="19" t="n">
        <v>12</v>
      </c>
      <c r="E42" s="19" t="n">
        <v>4</v>
      </c>
      <c r="F42" s="19" t="n">
        <v>0</v>
      </c>
      <c r="G42" s="19" t="n">
        <v>0</v>
      </c>
      <c r="H42" s="19" t="n">
        <v>0</v>
      </c>
      <c r="I42" s="19" t="n">
        <v>0</v>
      </c>
      <c r="J42" s="19" t="inlineStr">
        <is>
          <t>1 unité d'énergie ; environ 1,5 L/h à charge moyenne.</t>
        </is>
      </c>
      <c r="K42" s="19" t="inlineStr">
        <is>
          <t>Coûts de prototype à ajuster ; ressources déduites lors du lancement de l'amélioration.</t>
        </is>
      </c>
    </row>
    <row r="43" ht="42" customHeight="1">
      <c r="A43" s="19" t="inlineStr">
        <is>
          <t>Générateur</t>
        </is>
      </c>
      <c r="B43" s="19" t="n">
        <v>2</v>
      </c>
      <c r="C43" s="19" t="inlineStr">
        <is>
          <t>Groupe moyen</t>
        </is>
      </c>
      <c r="D43" s="19" t="n">
        <v>25</v>
      </c>
      <c r="E43" s="19" t="n">
        <v>12</v>
      </c>
      <c r="F43" s="19" t="n">
        <v>0</v>
      </c>
      <c r="G43" s="19" t="n">
        <v>100</v>
      </c>
      <c r="H43" s="19" t="n">
        <v>0</v>
      </c>
      <c r="I43" s="19" t="n">
        <v>1</v>
      </c>
      <c r="J43" s="19" t="inlineStr">
        <is>
          <t>4 unités ; environ 4 L/h à charge moyenne.</t>
        </is>
      </c>
      <c r="K43" s="19" t="inlineStr">
        <is>
          <t>Coûts de prototype à ajuster ; ressources déduites lors du lancement de l'amélioration.</t>
        </is>
      </c>
    </row>
    <row r="44" ht="42" customHeight="1">
      <c r="A44" s="19" t="inlineStr">
        <is>
          <t>Générateur</t>
        </is>
      </c>
      <c r="B44" s="19" t="n">
        <v>3</v>
      </c>
      <c r="C44" s="19" t="inlineStr">
        <is>
          <t>Groupe renforcé</t>
        </is>
      </c>
      <c r="D44" s="19" t="n">
        <v>45</v>
      </c>
      <c r="E44" s="19" t="n">
        <v>25</v>
      </c>
      <c r="F44" s="19" t="n">
        <v>1</v>
      </c>
      <c r="G44" s="19" t="n">
        <v>250</v>
      </c>
      <c r="H44" s="19" t="n">
        <v>1</v>
      </c>
      <c r="I44" s="19" t="n">
        <v>3</v>
      </c>
      <c r="J44" s="19" t="inlineStr">
        <is>
          <t>8 unités ; environ 7 L/h à charge moyenne.</t>
        </is>
      </c>
      <c r="K44" s="19" t="inlineStr">
        <is>
          <t>Coûts de prototype à ajuster ; ressources déduites lors du lancement de l'amélioration.</t>
        </is>
      </c>
    </row>
    <row r="45" ht="42" customHeight="1">
      <c r="A45" s="19" t="inlineStr">
        <is>
          <t>Générateur</t>
        </is>
      </c>
      <c r="B45" s="19" t="n">
        <v>4</v>
      </c>
      <c r="C45" s="19" t="inlineStr">
        <is>
          <t>Gros générateur</t>
        </is>
      </c>
      <c r="D45" s="19" t="n">
        <v>75</v>
      </c>
      <c r="E45" s="19" t="n">
        <v>45</v>
      </c>
      <c r="F45" s="19" t="n">
        <v>3</v>
      </c>
      <c r="G45" s="19" t="n">
        <v>500</v>
      </c>
      <c r="H45" s="19" t="n">
        <v>3</v>
      </c>
      <c r="I45" s="19" t="n">
        <v>6</v>
      </c>
      <c r="J45" s="19" t="inlineStr">
        <is>
          <t>12 unités ; environ 10 L/h à charge moyenne.</t>
        </is>
      </c>
      <c r="K45" s="19" t="inlineStr">
        <is>
          <t>Coûts de prototype à ajuster ; ressources déduites lors du lancement de l'amélioration.</t>
        </is>
      </c>
    </row>
    <row r="46" ht="42" customHeight="1">
      <c r="A46" s="19" t="inlineStr">
        <is>
          <t>Générateur</t>
        </is>
      </c>
      <c r="B46" s="19" t="n">
        <v>5</v>
      </c>
      <c r="C46" s="19" t="inlineStr">
        <is>
          <t>Groupe industriel</t>
        </is>
      </c>
      <c r="D46" s="19" t="n">
        <v>125</v>
      </c>
      <c r="E46" s="19" t="n">
        <v>80</v>
      </c>
      <c r="F46" s="19" t="n">
        <v>6</v>
      </c>
      <c r="G46" s="19" t="n">
        <v>1000</v>
      </c>
      <c r="H46" s="19" t="n">
        <v>8</v>
      </c>
      <c r="I46" s="19" t="n">
        <v>12</v>
      </c>
      <c r="J46" s="19" t="inlineStr">
        <is>
          <t>30 unités ; environ 23 L/h à charge moyenne.</t>
        </is>
      </c>
      <c r="K46" s="19" t="inlineStr">
        <is>
          <t>Coûts de prototype à ajuster ; ressources déduites lors du lancement de l'amélioration.</t>
        </is>
      </c>
    </row>
    <row r="47" ht="42" customHeight="1">
      <c r="A47" s="19" t="inlineStr">
        <is>
          <t>Atelier mécanique</t>
        </is>
      </c>
      <c r="B47" s="19" t="n">
        <v>1</v>
      </c>
      <c r="C47" s="19" t="inlineStr">
        <is>
          <t>Établi</t>
        </is>
      </c>
      <c r="D47" s="19" t="n">
        <v>15</v>
      </c>
      <c r="E47" s="19" t="n">
        <v>5</v>
      </c>
      <c r="F47" s="19" t="n">
        <v>0</v>
      </c>
      <c r="G47" s="19" t="n">
        <v>0</v>
      </c>
      <c r="H47" s="19" t="n">
        <v>0</v>
      </c>
      <c r="I47" s="19" t="n">
        <v>0</v>
      </c>
      <c r="J47" s="19" t="inlineStr">
        <is>
          <t>Réparations simples et démontage.</t>
        </is>
      </c>
      <c r="K47" s="19" t="inlineStr">
        <is>
          <t>Coûts de prototype à ajuster ; ressources déduites lors du lancement de l'amélioration.</t>
        </is>
      </c>
    </row>
    <row r="48" ht="42" customHeight="1">
      <c r="A48" s="19" t="inlineStr">
        <is>
          <t>Atelier mécanique</t>
        </is>
      </c>
      <c r="B48" s="19" t="n">
        <v>2</v>
      </c>
      <c r="C48" s="19" t="inlineStr">
        <is>
          <t>Atelier outillé</t>
        </is>
      </c>
      <c r="D48" s="19" t="n">
        <v>28</v>
      </c>
      <c r="E48" s="19" t="n">
        <v>14</v>
      </c>
      <c r="F48" s="19" t="n">
        <v>0</v>
      </c>
      <c r="G48" s="19" t="n">
        <v>100</v>
      </c>
      <c r="H48" s="19" t="n">
        <v>0</v>
      </c>
      <c r="I48" s="19" t="n">
        <v>1</v>
      </c>
      <c r="J48" s="19" t="inlineStr">
        <is>
          <t>Réparation de composants courants.</t>
        </is>
      </c>
      <c r="K48" s="19" t="inlineStr">
        <is>
          <t>Coûts de prototype à ajuster ; ressources déduites lors du lancement de l'amélioration.</t>
        </is>
      </c>
    </row>
    <row r="49" ht="42" customHeight="1">
      <c r="A49" s="19" t="inlineStr">
        <is>
          <t>Atelier mécanique</t>
        </is>
      </c>
      <c r="B49" s="19" t="n">
        <v>3</v>
      </c>
      <c r="C49" s="19" t="inlineStr">
        <is>
          <t>Atelier mécanique</t>
        </is>
      </c>
      <c r="D49" s="19" t="n">
        <v>45</v>
      </c>
      <c r="E49" s="19" t="n">
        <v>25</v>
      </c>
      <c r="F49" s="19" t="n">
        <v>1</v>
      </c>
      <c r="G49" s="19" t="n">
        <v>250</v>
      </c>
      <c r="H49" s="19" t="n">
        <v>2</v>
      </c>
      <c r="I49" s="19" t="n">
        <v>3</v>
      </c>
      <c r="J49" s="19" t="inlineStr">
        <is>
          <t>Révision de moteurs et transmissions.</t>
        </is>
      </c>
      <c r="K49" s="19" t="inlineStr">
        <is>
          <t>Coûts de prototype à ajuster ; ressources déduites lors du lancement de l'amélioration.</t>
        </is>
      </c>
    </row>
    <row r="50" ht="42" customHeight="1">
      <c r="A50" s="19" t="inlineStr">
        <is>
          <t>Atelier mécanique</t>
        </is>
      </c>
      <c r="B50" s="19" t="n">
        <v>4</v>
      </c>
      <c r="C50" s="19" t="inlineStr">
        <is>
          <t>Atelier spécialisé</t>
        </is>
      </c>
      <c r="D50" s="19" t="n">
        <v>75</v>
      </c>
      <c r="E50" s="19" t="n">
        <v>45</v>
      </c>
      <c r="F50" s="19" t="n">
        <v>3</v>
      </c>
      <c r="G50" s="19" t="n">
        <v>500</v>
      </c>
      <c r="H50" s="19" t="n">
        <v>5</v>
      </c>
      <c r="I50" s="19" t="n">
        <v>8</v>
      </c>
      <c r="J50" s="19" t="inlineStr">
        <is>
          <t>Refabrication de modules simples depuis des matériaux disponibles.</t>
        </is>
      </c>
      <c r="K50" s="19" t="inlineStr">
        <is>
          <t>Coûts de prototype à ajuster ; ressources déduites lors du lancement de l'amélioration.</t>
        </is>
      </c>
    </row>
    <row r="51" ht="42" customHeight="1">
      <c r="A51" s="19" t="inlineStr">
        <is>
          <t>Atelier mécanique</t>
        </is>
      </c>
      <c r="B51" s="19" t="n">
        <v>5</v>
      </c>
      <c r="C51" s="19" t="inlineStr">
        <is>
          <t>Atelier industriel</t>
        </is>
      </c>
      <c r="D51" s="19" t="n">
        <v>120</v>
      </c>
      <c r="E51" s="19" t="n">
        <v>75</v>
      </c>
      <c r="F51" s="19" t="n">
        <v>8</v>
      </c>
      <c r="G51" s="19" t="n">
        <v>1000</v>
      </c>
      <c r="H51" s="19" t="n">
        <v>10</v>
      </c>
      <c r="I51" s="19" t="n">
        <v>15</v>
      </c>
      <c r="J51" s="19" t="inlineStr">
        <is>
          <t>Assemblage de pièces lourdes ; nécessite plans et composants rares.</t>
        </is>
      </c>
      <c r="K51" s="19" t="inlineStr">
        <is>
          <t>Coûts de prototype à ajuster ; ressources déduites lors du lancement de l'amélioration.</t>
        </is>
      </c>
    </row>
    <row r="52" ht="42" customHeight="1">
      <c r="A52" s="19" t="inlineStr">
        <is>
          <t>Garage / dépôt véhicules</t>
        </is>
      </c>
      <c r="B52" s="19" t="n">
        <v>1</v>
      </c>
      <c r="C52" s="19" t="inlineStr">
        <is>
          <t>Abri de véhicules</t>
        </is>
      </c>
      <c r="D52" s="19" t="n">
        <v>18</v>
      </c>
      <c r="E52" s="19" t="n">
        <v>6</v>
      </c>
      <c r="F52" s="19" t="n">
        <v>0</v>
      </c>
      <c r="G52" s="19" t="n">
        <v>0</v>
      </c>
      <c r="H52" s="19" t="n">
        <v>0</v>
      </c>
      <c r="I52" s="19" t="n">
        <v>0</v>
      </c>
      <c r="J52" s="19" t="inlineStr">
        <is>
          <t>Stockage de 2 véhicules légers.</t>
        </is>
      </c>
      <c r="K52" s="19" t="inlineStr">
        <is>
          <t>Coûts de prototype à ajuster ; ressources déduites lors du lancement de l'amélioration.</t>
        </is>
      </c>
    </row>
    <row r="53" ht="42" customHeight="1">
      <c r="A53" s="19" t="inlineStr">
        <is>
          <t>Garage / dépôt véhicules</t>
        </is>
      </c>
      <c r="B53" s="19" t="n">
        <v>2</v>
      </c>
      <c r="C53" s="19" t="inlineStr">
        <is>
          <t>Garage couvert</t>
        </is>
      </c>
      <c r="D53" s="19" t="n">
        <v>32</v>
      </c>
      <c r="E53" s="19" t="n">
        <v>16</v>
      </c>
      <c r="F53" s="19" t="n">
        <v>0</v>
      </c>
      <c r="G53" s="19" t="n">
        <v>100</v>
      </c>
      <c r="H53" s="19" t="n">
        <v>1</v>
      </c>
      <c r="I53" s="19" t="n">
        <v>1</v>
      </c>
      <c r="J53" s="19" t="inlineStr">
        <is>
          <t>Stockage de 4 véhicules légers ou 2 moyens.</t>
        </is>
      </c>
      <c r="K53" s="19" t="inlineStr">
        <is>
          <t>Coûts de prototype à ajuster ; ressources déduites lors du lancement de l'amélioration.</t>
        </is>
      </c>
    </row>
    <row r="54" ht="42" customHeight="1">
      <c r="A54" s="19" t="inlineStr">
        <is>
          <t>Garage / dépôt véhicules</t>
        </is>
      </c>
      <c r="B54" s="19" t="n">
        <v>3</v>
      </c>
      <c r="C54" s="19" t="inlineStr">
        <is>
          <t>Garage avec treuil</t>
        </is>
      </c>
      <c r="D54" s="19" t="n">
        <v>55</v>
      </c>
      <c r="E54" s="19" t="n">
        <v>30</v>
      </c>
      <c r="F54" s="19" t="n">
        <v>1</v>
      </c>
      <c r="G54" s="19" t="n">
        <v>250</v>
      </c>
      <c r="H54" s="19" t="n">
        <v>3</v>
      </c>
      <c r="I54" s="19" t="n">
        <v>3</v>
      </c>
      <c r="J54" s="19" t="inlineStr">
        <is>
          <t>Stockage et manutention de véhicules moyens.</t>
        </is>
      </c>
      <c r="K54" s="19" t="inlineStr">
        <is>
          <t>Coûts de prototype à ajuster ; ressources déduites lors du lancement de l'amélioration.</t>
        </is>
      </c>
    </row>
    <row r="55" ht="42" customHeight="1">
      <c r="A55" s="19" t="inlineStr">
        <is>
          <t>Garage / dépôt véhicules</t>
        </is>
      </c>
      <c r="B55" s="19" t="n">
        <v>4</v>
      </c>
      <c r="C55" s="19" t="inlineStr">
        <is>
          <t>Garage lourd</t>
        </is>
      </c>
      <c r="D55" s="19" t="n">
        <v>90</v>
      </c>
      <c r="E55" s="19" t="n">
        <v>55</v>
      </c>
      <c r="F55" s="19" t="n">
        <v>4</v>
      </c>
      <c r="G55" s="19" t="n">
        <v>500</v>
      </c>
      <c r="H55" s="19" t="n">
        <v>6</v>
      </c>
      <c r="I55" s="19" t="n">
        <v>8</v>
      </c>
      <c r="J55" s="19" t="inlineStr">
        <is>
          <t>Accueille les camions et véhicules lourds compatibles.</t>
        </is>
      </c>
      <c r="K55" s="19" t="inlineStr">
        <is>
          <t>Coûts de prototype à ajuster ; ressources déduites lors du lancement de l'amélioration.</t>
        </is>
      </c>
    </row>
    <row r="56" ht="42" customHeight="1">
      <c r="A56" s="19" t="inlineStr">
        <is>
          <t>Garage / dépôt véhicules</t>
        </is>
      </c>
      <c r="B56" s="19" t="n">
        <v>5</v>
      </c>
      <c r="C56" s="19" t="inlineStr">
        <is>
          <t>Garage souterrain</t>
        </is>
      </c>
      <c r="D56" s="19" t="n">
        <v>150</v>
      </c>
      <c r="E56" s="19" t="n">
        <v>95</v>
      </c>
      <c r="F56" s="19" t="n">
        <v>8</v>
      </c>
      <c r="G56" s="19" t="n">
        <v>1000</v>
      </c>
      <c r="H56" s="19" t="n">
        <v>12</v>
      </c>
      <c r="I56" s="19" t="n">
        <v>15</v>
      </c>
      <c r="J56" s="19" t="inlineStr">
        <is>
          <t>Grand dépôt protégé ; nécessite accès vertical adapté.</t>
        </is>
      </c>
      <c r="K56" s="19" t="inlineStr">
        <is>
          <t>Coûts de prototype à ajuster ; ressources déduites lors du lancement de l'amélioration.</t>
        </is>
      </c>
    </row>
    <row r="57" ht="42" customHeight="1">
      <c r="A57" s="19" t="inlineStr">
        <is>
          <t>Atelier de construction automobile</t>
        </is>
      </c>
      <c r="B57" s="19" t="n">
        <v>1</v>
      </c>
      <c r="C57" s="19" t="inlineStr">
        <is>
          <t>Zone d'assemblage</t>
        </is>
      </c>
      <c r="D57" s="19" t="n">
        <v>25</v>
      </c>
      <c r="E57" s="19" t="n">
        <v>10</v>
      </c>
      <c r="F57" s="19" t="n">
        <v>0</v>
      </c>
      <c r="G57" s="19" t="n">
        <v>0</v>
      </c>
      <c r="H57" s="19" t="n">
        <v>0</v>
      </c>
      <c r="I57" s="19" t="n">
        <v>0</v>
      </c>
      <c r="J57" s="19" t="inlineStr">
        <is>
          <t>Assemblage de véhicules légers avec modules simples.</t>
        </is>
      </c>
      <c r="K57" s="19" t="inlineStr">
        <is>
          <t>Coûts de prototype à ajuster ; ressources déduites lors du lancement de l'amélioration.</t>
        </is>
      </c>
    </row>
    <row r="58" ht="42" customHeight="1">
      <c r="A58" s="19" t="inlineStr">
        <is>
          <t>Atelier de construction automobile</t>
        </is>
      </c>
      <c r="B58" s="19" t="n">
        <v>2</v>
      </c>
      <c r="C58" s="19" t="inlineStr">
        <is>
          <t>Atelier modulaire</t>
        </is>
      </c>
      <c r="D58" s="19" t="n">
        <v>45</v>
      </c>
      <c r="E58" s="19" t="n">
        <v>25</v>
      </c>
      <c r="F58" s="19" t="n">
        <v>1</v>
      </c>
      <c r="G58" s="19" t="n">
        <v>100</v>
      </c>
      <c r="H58" s="19" t="n">
        <v>2</v>
      </c>
      <c r="I58" s="19" t="n">
        <v>2</v>
      </c>
      <c r="J58" s="19" t="inlineStr">
        <is>
          <t>Châssis et carrosseries plus complexes.</t>
        </is>
      </c>
      <c r="K58" s="19" t="inlineStr">
        <is>
          <t>Coûts de prototype à ajuster ; ressources déduites lors du lancement de l'amélioration.</t>
        </is>
      </c>
    </row>
    <row r="59" ht="42" customHeight="1">
      <c r="A59" s="19" t="inlineStr">
        <is>
          <t>Atelier de construction automobile</t>
        </is>
      </c>
      <c r="B59" s="19" t="n">
        <v>3</v>
      </c>
      <c r="C59" s="19" t="inlineStr">
        <is>
          <t>Atelier motorisé</t>
        </is>
      </c>
      <c r="D59" s="19" t="n">
        <v>75</v>
      </c>
      <c r="E59" s="19" t="n">
        <v>45</v>
      </c>
      <c r="F59" s="19" t="n">
        <v>3</v>
      </c>
      <c r="G59" s="19" t="n">
        <v>250</v>
      </c>
      <c r="H59" s="19" t="n">
        <v>5</v>
      </c>
      <c r="I59" s="19" t="n">
        <v>5</v>
      </c>
      <c r="J59" s="19" t="inlineStr">
        <is>
          <t>Pont et moyens de levage.</t>
        </is>
      </c>
      <c r="K59" s="19" t="inlineStr">
        <is>
          <t>Coûts de prototype à ajuster ; ressources déduites lors du lancement de l'amélioration.</t>
        </is>
      </c>
    </row>
    <row r="60" ht="42" customHeight="1">
      <c r="A60" s="19" t="inlineStr">
        <is>
          <t>Atelier de construction automobile</t>
        </is>
      </c>
      <c r="B60" s="19" t="n">
        <v>4</v>
      </c>
      <c r="C60" s="19" t="inlineStr">
        <is>
          <t>Atelier lourd</t>
        </is>
      </c>
      <c r="D60" s="19" t="n">
        <v>120</v>
      </c>
      <c r="E60" s="19" t="n">
        <v>75</v>
      </c>
      <c r="F60" s="19" t="n">
        <v>6</v>
      </c>
      <c r="G60" s="19" t="n">
        <v>500</v>
      </c>
      <c r="H60" s="19" t="n">
        <v>10</v>
      </c>
      <c r="I60" s="19" t="n">
        <v>10</v>
      </c>
      <c r="J60" s="19" t="inlineStr">
        <is>
          <t>Assemblage de camions et blindés légers.</t>
        </is>
      </c>
      <c r="K60" s="19" t="inlineStr">
        <is>
          <t>Coûts de prototype à ajuster ; ressources déduites lors du lancement de l'amélioration.</t>
        </is>
      </c>
    </row>
    <row r="61" ht="42" customHeight="1">
      <c r="A61" s="19" t="inlineStr">
        <is>
          <t>Atelier de construction automobile</t>
        </is>
      </c>
      <c r="B61" s="19" t="n">
        <v>5</v>
      </c>
      <c r="C61" s="19" t="inlineStr">
        <is>
          <t>Complexe industriel</t>
        </is>
      </c>
      <c r="D61" s="19" t="n">
        <v>200</v>
      </c>
      <c r="E61" s="19" t="n">
        <v>130</v>
      </c>
      <c r="F61" s="19" t="n">
        <v>12</v>
      </c>
      <c r="G61" s="19" t="n">
        <v>1000</v>
      </c>
      <c r="H61" s="19" t="n">
        <v>18</v>
      </c>
      <c r="I61" s="19" t="n">
        <v>20</v>
      </c>
      <c r="J61" s="19" t="inlineStr">
        <is>
          <t>Assemblage de véhicules lourds ; coûteux en énergie et composants.</t>
        </is>
      </c>
      <c r="K61" s="19" t="inlineStr">
        <is>
          <t>Coûts de prototype à ajuster ; ressources déduites lors du lancement de l'amélioration.</t>
        </is>
      </c>
    </row>
    <row r="62" ht="42" customHeight="1">
      <c r="A62" s="19" t="inlineStr">
        <is>
          <t>Infirmerie</t>
        </is>
      </c>
      <c r="B62" s="19" t="n">
        <v>1</v>
      </c>
      <c r="C62" s="19" t="inlineStr">
        <is>
          <t>Poste de soins</t>
        </is>
      </c>
      <c r="D62" s="19" t="n">
        <v>15</v>
      </c>
      <c r="E62" s="19" t="n">
        <v>4</v>
      </c>
      <c r="F62" s="19" t="n">
        <v>0</v>
      </c>
      <c r="G62" s="19" t="n">
        <v>0</v>
      </c>
      <c r="H62" s="19" t="n">
        <v>0</v>
      </c>
      <c r="I62" s="19" t="n">
        <v>0</v>
      </c>
      <c r="J62" s="19" t="inlineStr">
        <is>
          <t>Soins de base pour quelques blessés.</t>
        </is>
      </c>
      <c r="K62" s="19" t="inlineStr">
        <is>
          <t>Coûts de prototype à ajuster ; ressources déduites lors du lancement de l'amélioration.</t>
        </is>
      </c>
    </row>
    <row r="63" ht="42" customHeight="1">
      <c r="A63" s="19" t="inlineStr">
        <is>
          <t>Infirmerie</t>
        </is>
      </c>
      <c r="B63" s="19" t="n">
        <v>2</v>
      </c>
      <c r="C63" s="19" t="inlineStr">
        <is>
          <t>Infirmerie</t>
        </is>
      </c>
      <c r="D63" s="19" t="n">
        <v>28</v>
      </c>
      <c r="E63" s="19" t="n">
        <v>12</v>
      </c>
      <c r="F63" s="19" t="n">
        <v>0</v>
      </c>
      <c r="G63" s="19" t="n">
        <v>100</v>
      </c>
      <c r="H63" s="19" t="n">
        <v>0</v>
      </c>
      <c r="I63" s="19" t="n">
        <v>1</v>
      </c>
      <c r="J63" s="19" t="inlineStr">
        <is>
          <t>Plus de lits et meilleure récupération.</t>
        </is>
      </c>
      <c r="K63" s="19" t="inlineStr">
        <is>
          <t>Coûts de prototype à ajuster ; ressources déduites lors du lancement de l'amélioration.</t>
        </is>
      </c>
    </row>
    <row r="64" ht="42" customHeight="1">
      <c r="A64" s="19" t="inlineStr">
        <is>
          <t>Infirmerie</t>
        </is>
      </c>
      <c r="B64" s="19" t="n">
        <v>3</v>
      </c>
      <c r="C64" s="19" t="inlineStr">
        <is>
          <t>Infirmerie équipée</t>
        </is>
      </c>
      <c r="D64" s="19" t="n">
        <v>45</v>
      </c>
      <c r="E64" s="19" t="n">
        <v>22</v>
      </c>
      <c r="F64" s="19" t="n">
        <v>1</v>
      </c>
      <c r="G64" s="19" t="n">
        <v>250</v>
      </c>
      <c r="H64" s="19" t="n">
        <v>1</v>
      </c>
      <c r="I64" s="19" t="n">
        <v>3</v>
      </c>
      <c r="J64" s="19" t="inlineStr">
        <is>
          <t>Prise en charge de blessures plus graves.</t>
        </is>
      </c>
      <c r="K64" s="19" t="inlineStr">
        <is>
          <t>Coûts de prototype à ajuster ; ressources déduites lors du lancement de l'amélioration.</t>
        </is>
      </c>
    </row>
    <row r="65" ht="42" customHeight="1">
      <c r="A65" s="19" t="inlineStr">
        <is>
          <t>Infirmerie</t>
        </is>
      </c>
      <c r="B65" s="19" t="n">
        <v>4</v>
      </c>
      <c r="C65" s="19" t="inlineStr">
        <is>
          <t>Centre médical</t>
        </is>
      </c>
      <c r="D65" s="19" t="n">
        <v>75</v>
      </c>
      <c r="E65" s="19" t="n">
        <v>40</v>
      </c>
      <c r="F65" s="19" t="n">
        <v>2</v>
      </c>
      <c r="G65" s="19" t="n">
        <v>500</v>
      </c>
      <c r="H65" s="19" t="n">
        <v>3</v>
      </c>
      <c r="I65" s="19" t="n">
        <v>6</v>
      </c>
      <c r="J65" s="19" t="inlineStr">
        <is>
          <t>Capacité accrue et soins plus efficaces.</t>
        </is>
      </c>
      <c r="K65" s="19" t="inlineStr">
        <is>
          <t>Coûts de prototype à ajuster ; ressources déduites lors du lancement de l'amélioration.</t>
        </is>
      </c>
    </row>
    <row r="66" ht="42" customHeight="1">
      <c r="A66" s="19" t="inlineStr">
        <is>
          <t>Infirmerie</t>
        </is>
      </c>
      <c r="B66" s="19" t="n">
        <v>5</v>
      </c>
      <c r="C66" s="19" t="inlineStr">
        <is>
          <t>Hôpital de base</t>
        </is>
      </c>
      <c r="D66" s="19" t="n">
        <v>120</v>
      </c>
      <c r="E66" s="19" t="n">
        <v>70</v>
      </c>
      <c r="F66" s="19" t="n">
        <v>5</v>
      </c>
      <c r="G66" s="19" t="n">
        <v>1000</v>
      </c>
      <c r="H66" s="19" t="n">
        <v>8</v>
      </c>
      <c r="I66" s="19" t="n">
        <v>12</v>
      </c>
      <c r="J66" s="19" t="inlineStr">
        <is>
          <t>Grand nombre de lits ; forte demande en ressources.</t>
        </is>
      </c>
      <c r="K66" s="19" t="inlineStr">
        <is>
          <t>Coûts de prototype à ajuster ; ressources déduites lors du lancement de l'amélioration.</t>
        </is>
      </c>
    </row>
    <row r="67" ht="42" customHeight="1">
      <c r="A67" s="19" t="inlineStr">
        <is>
          <t>Défenses</t>
        </is>
      </c>
      <c r="B67" s="19" t="n">
        <v>1</v>
      </c>
      <c r="C67" s="19" t="inlineStr">
        <is>
          <t>Barricades</t>
        </is>
      </c>
      <c r="D67" s="19" t="n">
        <v>12</v>
      </c>
      <c r="E67" s="19" t="n">
        <v>4</v>
      </c>
      <c r="F67" s="19" t="n">
        <v>0</v>
      </c>
      <c r="G67" s="19" t="n">
        <v>0</v>
      </c>
      <c r="H67" s="19" t="n">
        <v>0</v>
      </c>
      <c r="I67" s="19" t="n">
        <v>0</v>
      </c>
      <c r="J67" s="19" t="inlineStr">
        <is>
          <t>Protection rudimentaire du périmètre.</t>
        </is>
      </c>
      <c r="K67" s="19" t="inlineStr">
        <is>
          <t>Coûts de prototype à ajuster ; ressources déduites lors du lancement de l'amélioration.</t>
        </is>
      </c>
    </row>
    <row r="68" ht="42" customHeight="1">
      <c r="A68" s="19" t="inlineStr">
        <is>
          <t>Défenses</t>
        </is>
      </c>
      <c r="B68" s="19" t="n">
        <v>2</v>
      </c>
      <c r="C68" s="19" t="inlineStr">
        <is>
          <t>Barbelés et postes</t>
        </is>
      </c>
      <c r="D68" s="19" t="n">
        <v>22</v>
      </c>
      <c r="E68" s="19" t="n">
        <v>12</v>
      </c>
      <c r="F68" s="19" t="n">
        <v>0</v>
      </c>
      <c r="G68" s="19" t="n">
        <v>100</v>
      </c>
      <c r="H68" s="19" t="n">
        <v>0</v>
      </c>
      <c r="I68" s="19" t="n">
        <v>1</v>
      </c>
      <c r="J68" s="19" t="inlineStr">
        <is>
          <t>Ralentit les assaillants.</t>
        </is>
      </c>
      <c r="K68" s="19" t="inlineStr">
        <is>
          <t>Coûts de prototype à ajuster ; ressources déduites lors du lancement de l'amélioration.</t>
        </is>
      </c>
    </row>
    <row r="69" ht="42" customHeight="1">
      <c r="A69" s="19" t="inlineStr">
        <is>
          <t>Défenses</t>
        </is>
      </c>
      <c r="B69" s="19" t="n">
        <v>3</v>
      </c>
      <c r="C69" s="19" t="inlineStr">
        <is>
          <t>Poste fortifié</t>
        </is>
      </c>
      <c r="D69" s="19" t="n">
        <v>40</v>
      </c>
      <c r="E69" s="19" t="n">
        <v>24</v>
      </c>
      <c r="F69" s="19" t="n">
        <v>1</v>
      </c>
      <c r="G69" s="19" t="n">
        <v>250</v>
      </c>
      <c r="H69" s="19" t="n">
        <v>1</v>
      </c>
      <c r="I69" s="19" t="n">
        <v>3</v>
      </c>
      <c r="J69" s="19" t="inlineStr">
        <is>
          <t>Meilleure protection des points d'accès.</t>
        </is>
      </c>
      <c r="K69" s="19" t="inlineStr">
        <is>
          <t>Coûts de prototype à ajuster ; ressources déduites lors du lancement de l'amélioration.</t>
        </is>
      </c>
    </row>
    <row r="70" ht="42" customHeight="1">
      <c r="A70" s="19" t="inlineStr">
        <is>
          <t>Défenses</t>
        </is>
      </c>
      <c r="B70" s="19" t="n">
        <v>4</v>
      </c>
      <c r="C70" s="19" t="inlineStr">
        <is>
          <t>Ligne défensive</t>
        </is>
      </c>
      <c r="D70" s="19" t="n">
        <v>70</v>
      </c>
      <c r="E70" s="19" t="n">
        <v>45</v>
      </c>
      <c r="F70" s="19" t="n">
        <v>3</v>
      </c>
      <c r="G70" s="19" t="n">
        <v>500</v>
      </c>
      <c r="H70" s="19" t="n">
        <v>4</v>
      </c>
      <c r="I70" s="19" t="n">
        <v>6</v>
      </c>
      <c r="J70" s="19" t="inlineStr">
        <is>
          <t>Défenses renforcées et positions de tir.</t>
        </is>
      </c>
      <c r="K70" s="19" t="inlineStr">
        <is>
          <t>Coûts de prototype à ajuster ; ressources déduites lors du lancement de l'amélioration.</t>
        </is>
      </c>
    </row>
    <row r="71" ht="42" customHeight="1">
      <c r="A71" s="19" t="inlineStr">
        <is>
          <t>Défenses</t>
        </is>
      </c>
      <c r="B71" s="19" t="n">
        <v>5</v>
      </c>
      <c r="C71" s="19" t="inlineStr">
        <is>
          <t>Périmètre fortifié</t>
        </is>
      </c>
      <c r="D71" s="19" t="n">
        <v>120</v>
      </c>
      <c r="E71" s="19" t="n">
        <v>80</v>
      </c>
      <c r="F71" s="19" t="n">
        <v>6</v>
      </c>
      <c r="G71" s="19" t="n">
        <v>1000</v>
      </c>
      <c r="H71" s="19" t="n">
        <v>8</v>
      </c>
      <c r="I71" s="19" t="n">
        <v>12</v>
      </c>
      <c r="J71" s="19" t="inlineStr">
        <is>
          <t>Protection avancée ; entretien et munitions nécessaires.</t>
        </is>
      </c>
      <c r="K71" s="19" t="inlineStr">
        <is>
          <t>Coûts de prototype à ajuster ; ressources déduites lors du lancement de l'amélioration.</t>
        </is>
      </c>
    </row>
    <row r="72" ht="42" customHeight="1">
      <c r="A72" s="19" t="inlineStr">
        <is>
          <t>Ventilation et drainage</t>
        </is>
      </c>
      <c r="B72" s="19" t="n">
        <v>1</v>
      </c>
      <c r="C72" s="19" t="inlineStr">
        <is>
          <t>Conduit simple</t>
        </is>
      </c>
      <c r="D72" s="19" t="n">
        <v>12</v>
      </c>
      <c r="E72" s="19" t="n">
        <v>4</v>
      </c>
      <c r="F72" s="19" t="n">
        <v>0</v>
      </c>
      <c r="G72" s="19" t="n">
        <v>0</v>
      </c>
      <c r="H72" s="19" t="n">
        <v>0</v>
      </c>
      <c r="I72" s="19" t="n">
        <v>0</v>
      </c>
      <c r="J72" s="19" t="inlineStr">
        <is>
          <t>Ventilation minimale d'un niveau souterrain.</t>
        </is>
      </c>
      <c r="K72" s="19" t="inlineStr">
        <is>
          <t>Coûts de prototype à ajuster ; ressources déduites lors du lancement de l'amélioration.</t>
        </is>
      </c>
    </row>
    <row r="73" ht="42" customHeight="1">
      <c r="A73" s="19" t="inlineStr">
        <is>
          <t>Ventilation et drainage</t>
        </is>
      </c>
      <c r="B73" s="19" t="n">
        <v>2</v>
      </c>
      <c r="C73" s="19" t="inlineStr">
        <is>
          <t>Ventilation motorisée</t>
        </is>
      </c>
      <c r="D73" s="19" t="n">
        <v>25</v>
      </c>
      <c r="E73" s="19" t="n">
        <v>12</v>
      </c>
      <c r="F73" s="19" t="n">
        <v>0</v>
      </c>
      <c r="G73" s="19" t="n">
        <v>100</v>
      </c>
      <c r="H73" s="19" t="n">
        <v>0</v>
      </c>
      <c r="I73" s="19" t="n">
        <v>1</v>
      </c>
      <c r="J73" s="19" t="inlineStr">
        <is>
          <t>Consomme de l'énergie ; réduit l'humidité.</t>
        </is>
      </c>
      <c r="K73" s="19" t="inlineStr">
        <is>
          <t>Coûts de prototype à ajuster ; ressources déduites lors du lancement de l'amélioration.</t>
        </is>
      </c>
    </row>
    <row r="74" ht="42" customHeight="1">
      <c r="A74" s="19" t="inlineStr">
        <is>
          <t>Ventilation et drainage</t>
        </is>
      </c>
      <c r="B74" s="19" t="n">
        <v>3</v>
      </c>
      <c r="C74" s="19" t="inlineStr">
        <is>
          <t>Ventilation filtrée</t>
        </is>
      </c>
      <c r="D74" s="19" t="n">
        <v>42</v>
      </c>
      <c r="E74" s="19" t="n">
        <v>22</v>
      </c>
      <c r="F74" s="19" t="n">
        <v>1</v>
      </c>
      <c r="G74" s="19" t="n">
        <v>250</v>
      </c>
      <c r="H74" s="19" t="n">
        <v>1</v>
      </c>
      <c r="I74" s="19" t="n">
        <v>3</v>
      </c>
      <c r="J74" s="19" t="inlineStr">
        <is>
          <t>Améliore la qualité de l'air.</t>
        </is>
      </c>
      <c r="K74" s="19" t="inlineStr">
        <is>
          <t>Coûts de prototype à ajuster ; ressources déduites lors du lancement de l'amélioration.</t>
        </is>
      </c>
    </row>
    <row r="75" ht="42" customHeight="1">
      <c r="A75" s="19" t="inlineStr">
        <is>
          <t>Ventilation et drainage</t>
        </is>
      </c>
      <c r="B75" s="19" t="n">
        <v>4</v>
      </c>
      <c r="C75" s="19" t="inlineStr">
        <is>
          <t>Pompes de drainage</t>
        </is>
      </c>
      <c r="D75" s="19" t="n">
        <v>65</v>
      </c>
      <c r="E75" s="19" t="n">
        <v>38</v>
      </c>
      <c r="F75" s="19" t="n">
        <v>2</v>
      </c>
      <c r="G75" s="19" t="n">
        <v>500</v>
      </c>
      <c r="H75" s="19" t="n">
        <v>2</v>
      </c>
      <c r="I75" s="19" t="n">
        <v>5</v>
      </c>
      <c r="J75" s="19" t="inlineStr">
        <is>
          <t>Réduit les risques d'inondation.</t>
        </is>
      </c>
      <c r="K75" s="19" t="inlineStr">
        <is>
          <t>Coûts de prototype à ajuster ; ressources déduites lors du lancement de l'amélioration.</t>
        </is>
      </c>
    </row>
    <row r="76" ht="42" customHeight="1">
      <c r="A76" s="19" t="inlineStr">
        <is>
          <t>Ventilation et drainage</t>
        </is>
      </c>
      <c r="B76" s="19" t="n">
        <v>5</v>
      </c>
      <c r="C76" s="19" t="inlineStr">
        <is>
          <t>Réseau redondant</t>
        </is>
      </c>
      <c r="D76" s="19" t="n">
        <v>100</v>
      </c>
      <c r="E76" s="19" t="n">
        <v>65</v>
      </c>
      <c r="F76" s="19" t="n">
        <v>5</v>
      </c>
      <c r="G76" s="19" t="n">
        <v>1000</v>
      </c>
      <c r="H76" s="19" t="n">
        <v>5</v>
      </c>
      <c r="I76" s="19" t="n">
        <v>10</v>
      </c>
      <c r="J76" s="19" t="inlineStr">
        <is>
          <t>Systèmes de secours ; coûteux mais fiable.</t>
        </is>
      </c>
      <c r="K76" s="19" t="inlineStr">
        <is>
          <t>Coûts de prototype à ajuster ; ressources déduites lors du lancement de l'amélioration.</t>
        </is>
      </c>
    </row>
    <row r="77" ht="42" customHeight="1">
      <c r="A77" s="19" t="inlineStr">
        <is>
          <t>Ascenseur vertical</t>
        </is>
      </c>
      <c r="B77" s="19" t="n">
        <v>1</v>
      </c>
      <c r="C77" s="19" t="inlineStr">
        <is>
          <t>Monte-charge</t>
        </is>
      </c>
      <c r="D77" s="19" t="n">
        <v>20</v>
      </c>
      <c r="E77" s="19" t="n">
        <v>8</v>
      </c>
      <c r="F77" s="19" t="n">
        <v>0</v>
      </c>
      <c r="G77" s="19" t="n">
        <v>0</v>
      </c>
      <c r="H77" s="19" t="n">
        <v>0</v>
      </c>
      <c r="I77" s="19" t="n">
        <v>0</v>
      </c>
      <c r="J77" s="19" t="inlineStr">
        <is>
          <t>Personnes et petites cargaisons.</t>
        </is>
      </c>
      <c r="K77" s="19" t="inlineStr">
        <is>
          <t>Coûts de prototype à ajuster ; ressources déduites lors du lancement de l'amélioration.</t>
        </is>
      </c>
    </row>
    <row r="78" ht="42" customHeight="1">
      <c r="A78" s="19" t="inlineStr">
        <is>
          <t>Ascenseur vertical</t>
        </is>
      </c>
      <c r="B78" s="19" t="n">
        <v>2</v>
      </c>
      <c r="C78" s="19" t="inlineStr">
        <is>
          <t>Monte-charge renforcé</t>
        </is>
      </c>
      <c r="D78" s="19" t="n">
        <v>35</v>
      </c>
      <c r="E78" s="19" t="n">
        <v>18</v>
      </c>
      <c r="F78" s="19" t="n">
        <v>0</v>
      </c>
      <c r="G78" s="19" t="n">
        <v>100</v>
      </c>
      <c r="H78" s="19" t="n">
        <v>1</v>
      </c>
      <c r="I78" s="19" t="n">
        <v>2</v>
      </c>
      <c r="J78" s="19" t="inlineStr">
        <is>
          <t>Groupes et lots de ressources ; moto démontée ou pièces.</t>
        </is>
      </c>
      <c r="K78" s="19" t="inlineStr">
        <is>
          <t>Coûts de prototype à ajuster ; ressources déduites lors du lancement de l'amélioration.</t>
        </is>
      </c>
    </row>
    <row r="79" ht="42" customHeight="1">
      <c r="A79" s="19" t="inlineStr">
        <is>
          <t>Ascenseur vertical</t>
        </is>
      </c>
      <c r="B79" s="19" t="n">
        <v>3</v>
      </c>
      <c r="C79" s="19" t="inlineStr">
        <is>
          <t>Plateforme légère</t>
        </is>
      </c>
      <c r="D79" s="19" t="n">
        <v>60</v>
      </c>
      <c r="E79" s="19" t="n">
        <v>35</v>
      </c>
      <c r="F79" s="19" t="n">
        <v>2</v>
      </c>
      <c r="G79" s="19" t="n">
        <v>250</v>
      </c>
      <c r="H79" s="19" t="n">
        <v>3</v>
      </c>
      <c r="I79" s="19" t="n">
        <v>5</v>
      </c>
      <c r="J79" s="19" t="inlineStr">
        <is>
          <t>Transport d'une moto ou d'un 4×4 léger compatible.</t>
        </is>
      </c>
      <c r="K79" s="19" t="inlineStr">
        <is>
          <t>Coûts de prototype à ajuster ; ressources déduites lors du lancement de l'amélioration.</t>
        </is>
      </c>
    </row>
    <row r="80" ht="42" customHeight="1">
      <c r="A80" s="19" t="inlineStr">
        <is>
          <t>Ascenseur vertical</t>
        </is>
      </c>
      <c r="B80" s="19" t="n">
        <v>4</v>
      </c>
      <c r="C80" s="19" t="inlineStr">
        <is>
          <t>Ascenseur industriel</t>
        </is>
      </c>
      <c r="D80" s="19" t="n">
        <v>100</v>
      </c>
      <c r="E80" s="19" t="n">
        <v>65</v>
      </c>
      <c r="F80" s="19" t="n">
        <v>5</v>
      </c>
      <c r="G80" s="19" t="n">
        <v>500</v>
      </c>
      <c r="H80" s="19" t="n">
        <v>8</v>
      </c>
      <c r="I80" s="19" t="n">
        <v>10</v>
      </c>
      <c r="J80" s="19" t="inlineStr">
        <is>
          <t>Transport de camion moyen selon dimensions et charge.</t>
        </is>
      </c>
      <c r="K80" s="19" t="inlineStr">
        <is>
          <t>Coûts de prototype à ajuster ; ressources déduites lors du lancement de l'amélioration.</t>
        </is>
      </c>
    </row>
    <row r="81" ht="42" customHeight="1">
      <c r="A81" s="19" t="inlineStr">
        <is>
          <t>Ascenseur vertical</t>
        </is>
      </c>
      <c r="B81" s="19" t="n">
        <v>5</v>
      </c>
      <c r="C81" s="19" t="inlineStr">
        <is>
          <t>Puits véhicule lourd</t>
        </is>
      </c>
      <c r="D81" s="19" t="n">
        <v>180</v>
      </c>
      <c r="E81" s="19" t="n">
        <v>120</v>
      </c>
      <c r="F81" s="19" t="n">
        <v>12</v>
      </c>
      <c r="G81" s="19" t="n">
        <v>1000</v>
      </c>
      <c r="H81" s="19" t="n">
        <v>15</v>
      </c>
      <c r="I81" s="19" t="n">
        <v>20</v>
      </c>
      <c r="J81" s="19" t="inlineStr">
        <is>
          <t>Véhicules lourds compatibles ; ouvrage spécialisé et très coûteux.</t>
        </is>
      </c>
      <c r="K81" s="19" t="inlineStr">
        <is>
          <t>Coûts de prototype à ajuster ; ressources déduites lors du lancement de l'amélioration.</t>
        </is>
      </c>
    </row>
  </sheetData>
  <autoFilter ref="A1:K8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20" customWidth="1" min="3" max="3"/>
    <col width="18" customWidth="1" min="4" max="4"/>
    <col width="22" customWidth="1" min="5" max="5"/>
    <col width="24" customWidth="1" min="6" max="6"/>
    <col width="22" customWidth="1" min="7" max="7"/>
    <col width="18" customWidth="1" min="8" max="8"/>
    <col width="76" customWidth="1" min="9" max="9"/>
  </cols>
  <sheetData>
    <row r="1" ht="38" customHeight="1">
      <c r="A1" s="18" t="inlineStr">
        <is>
          <t>Ressource</t>
        </is>
      </c>
      <c r="B1" s="18" t="inlineStr">
        <is>
          <t>Unité affichée</t>
        </is>
      </c>
      <c r="C1" s="18" t="inlineStr">
        <is>
          <t>Capacité exemple</t>
        </is>
      </c>
      <c r="D1" s="18" t="inlineStr">
        <is>
          <t>Stock exemple</t>
        </is>
      </c>
      <c r="E1" s="18" t="inlineStr">
        <is>
          <t>Production / jour</t>
        </is>
      </c>
      <c r="F1" s="18" t="inlineStr">
        <is>
          <t>Consommation / jour</t>
        </is>
      </c>
      <c r="G1" s="18" t="inlineStr">
        <is>
          <t>Variation / jour (calcul)</t>
        </is>
      </c>
      <c r="H1" s="18" t="inlineStr">
        <is>
          <t>Alerte sous</t>
        </is>
      </c>
      <c r="I1" s="18" t="inlineStr">
        <is>
          <t>Règle / note</t>
        </is>
      </c>
    </row>
    <row r="2" ht="42" customHeight="1">
      <c r="A2" s="19" t="inlineStr">
        <is>
          <t>Eau</t>
        </is>
      </c>
      <c r="B2" s="19" t="inlineStr">
        <is>
          <t>L</t>
        </is>
      </c>
      <c r="C2" s="19" t="n">
        <v>20000</v>
      </c>
      <c r="D2" s="19" t="n">
        <v>12400</v>
      </c>
      <c r="E2" s="19" t="n">
        <v>2500</v>
      </c>
      <c r="F2" s="19" t="n">
        <v>1500</v>
      </c>
      <c r="G2" s="21">
        <f>E2-F2</f>
        <v/>
      </c>
      <c r="H2" s="19" t="n">
        <v>5000</v>
      </c>
      <c r="I2" s="19" t="inlineStr">
        <is>
          <t>Stock en litres ; afficher la consommation quotidienne et l'autonomie estimée.</t>
        </is>
      </c>
    </row>
    <row r="3" ht="42" customHeight="1">
      <c r="A3" s="19" t="inlineStr">
        <is>
          <t>Nourriture</t>
        </is>
      </c>
      <c r="B3" s="19" t="inlineStr">
        <is>
          <t>unités de ration</t>
        </is>
      </c>
      <c r="C3" s="19" t="n">
        <v>1000</v>
      </c>
      <c r="D3" s="19" t="n">
        <v>350</v>
      </c>
      <c r="E3" s="19" t="n">
        <v>0</v>
      </c>
      <c r="F3" s="19" t="n">
        <v>20</v>
      </c>
      <c r="G3" s="21">
        <f>E3-F3</f>
        <v/>
      </c>
      <c r="H3" s="19" t="n">
        <v>100</v>
      </c>
      <c r="I3" s="19" t="inlineStr">
        <is>
          <t>Stock unique : viande, œufs, légumes et aliments récupérés sont fusionnés.</t>
        </is>
      </c>
    </row>
    <row r="4" ht="42" customHeight="1">
      <c r="A4" s="19" t="inlineStr">
        <is>
          <t>Carburant</t>
        </is>
      </c>
      <c r="B4" s="19" t="inlineStr">
        <is>
          <t>L</t>
        </is>
      </c>
      <c r="C4" s="19" t="n">
        <v>15000</v>
      </c>
      <c r="D4" s="19" t="n">
        <v>8750</v>
      </c>
      <c r="E4" s="19" t="n">
        <v>500</v>
      </c>
      <c r="F4" s="19" t="n">
        <v>120</v>
      </c>
      <c r="G4" s="21">
        <f>E4-F4</f>
        <v/>
      </c>
      <c r="H4" s="19" t="n">
        <v>3750</v>
      </c>
      <c r="I4" s="19" t="inlineStr">
        <is>
          <t>Stock unique en litres ; le type essence/diesel reste une caractéristique du moteur.</t>
        </is>
      </c>
    </row>
    <row r="5" ht="42" customHeight="1">
      <c r="A5" s="19" t="inlineStr">
        <is>
          <t>Métal</t>
        </is>
      </c>
      <c r="B5" s="19" t="inlineStr">
        <is>
          <t>unités</t>
        </is>
      </c>
      <c r="C5" s="19" t="n">
        <v>500</v>
      </c>
      <c r="D5" s="19" t="n">
        <v>220</v>
      </c>
      <c r="E5" s="19" t="n">
        <v>0</v>
      </c>
      <c r="F5" s="19" t="n">
        <v>0</v>
      </c>
      <c r="G5" s="21">
        <f>E5-F5</f>
        <v/>
      </c>
      <c r="H5" s="19" t="n">
        <v>50</v>
      </c>
      <c r="I5" s="19" t="inlineStr">
        <is>
          <t>Ressource de construction distincte de la ferraille récupérée.</t>
        </is>
      </c>
    </row>
    <row r="6" ht="42" customHeight="1">
      <c r="A6" s="19" t="inlineStr">
        <is>
          <t>Matériaux de construction</t>
        </is>
      </c>
      <c r="B6" s="19" t="inlineStr">
        <is>
          <t>unités</t>
        </is>
      </c>
      <c r="C6" s="19" t="n">
        <v>500</v>
      </c>
      <c r="D6" s="19" t="n">
        <v>300</v>
      </c>
      <c r="E6" s="19" t="n">
        <v>0</v>
      </c>
      <c r="F6" s="19" t="n">
        <v>0</v>
      </c>
      <c r="G6" s="21">
        <f>E6-F6</f>
        <v/>
      </c>
      <c r="H6" s="19" t="n">
        <v>50</v>
      </c>
      <c r="I6" s="19" t="inlineStr">
        <is>
          <t>Utilisés pour bâtiments, renforcements et extensions.</t>
        </is>
      </c>
    </row>
    <row r="7" ht="42" customHeight="1">
      <c r="A7" s="19" t="inlineStr">
        <is>
          <t>Ferraille / pièces mécaniques</t>
        </is>
      </c>
      <c r="B7" s="19" t="inlineStr">
        <is>
          <t>unités</t>
        </is>
      </c>
      <c r="C7" s="19" t="n">
        <v>300</v>
      </c>
      <c r="D7" s="19" t="n">
        <v>180</v>
      </c>
      <c r="E7" s="19" t="n">
        <v>0</v>
      </c>
      <c r="F7" s="19" t="n">
        <v>0</v>
      </c>
      <c r="G7" s="21">
        <f>E7-F7</f>
        <v/>
      </c>
      <c r="H7" s="19" t="n">
        <v>30</v>
      </c>
      <c r="I7" s="19" t="inlineStr">
        <is>
          <t>Récupération, réparation et recyclage ; pas de création infinie.</t>
        </is>
      </c>
    </row>
    <row r="8" ht="42" customHeight="1">
      <c r="A8" s="19" t="inlineStr">
        <is>
          <t>Composants électroniques</t>
        </is>
      </c>
      <c r="B8" s="19" t="inlineStr">
        <is>
          <t>unités</t>
        </is>
      </c>
      <c r="C8" s="19" t="n">
        <v>80</v>
      </c>
      <c r="D8" s="19" t="n">
        <v>24</v>
      </c>
      <c r="E8" s="19" t="n">
        <v>0</v>
      </c>
      <c r="F8" s="19" t="n">
        <v>0</v>
      </c>
      <c r="G8" s="21">
        <f>E8-F8</f>
        <v/>
      </c>
      <c r="H8" s="19" t="n">
        <v>8</v>
      </c>
      <c r="I8" s="19" t="inlineStr">
        <is>
          <t>Composants rares pour pompes avancées, communications et automatismes.</t>
        </is>
      </c>
    </row>
    <row r="9" ht="42" customHeight="1">
      <c r="A9" s="19" t="inlineStr">
        <is>
          <t>Munitions</t>
        </is>
      </c>
      <c r="B9" s="19" t="inlineStr">
        <is>
          <t>unités</t>
        </is>
      </c>
      <c r="C9" s="19" t="n">
        <v>300</v>
      </c>
      <c r="D9" s="19" t="n">
        <v>180</v>
      </c>
      <c r="E9" s="19" t="n">
        <v>0</v>
      </c>
      <c r="F9" s="19" t="n">
        <v>0</v>
      </c>
      <c r="G9" s="21">
        <f>E9-F9</f>
        <v/>
      </c>
      <c r="H9" s="19" t="n">
        <v>30</v>
      </c>
      <c r="I9" s="19" t="inlineStr">
        <is>
          <t>Stock à part ; fabrication industrielle limitée.</t>
        </is>
      </c>
    </row>
    <row r="10" ht="42" customHeight="1">
      <c r="A10" s="19" t="inlineStr">
        <is>
          <t>Médicaments</t>
        </is>
      </c>
      <c r="B10" s="19" t="inlineStr">
        <is>
          <t>unités</t>
        </is>
      </c>
      <c r="C10" s="19" t="n">
        <v>100</v>
      </c>
      <c r="D10" s="19" t="n">
        <v>45</v>
      </c>
      <c r="E10" s="19" t="n">
        <v>0</v>
      </c>
      <c r="F10" s="19" t="n">
        <v>0</v>
      </c>
      <c r="G10" s="21">
        <f>E10-F10</f>
        <v/>
      </c>
      <c r="H10" s="19" t="n">
        <v>10</v>
      </c>
      <c r="I10" s="19" t="inlineStr">
        <is>
          <t>Stock à part pour soins.</t>
        </is>
      </c>
    </row>
    <row r="12" ht="38" customHeight="1">
      <c r="A12" s="22" t="inlineStr">
        <is>
          <t>Important</t>
        </is>
      </c>
      <c r="B12" s="2" t="inlineStr">
        <is>
          <t>Valeurs d'exemple pour tester l'interface ; le HUD réel sera calculé à partir des bâtiments actifs, de la population, des élevages et des expéditions.</t>
        </is>
      </c>
    </row>
  </sheetData>
  <autoFilter ref="A1:I10"/>
  <mergeCells count="1">
    <mergeCell ref="B12:I1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8" customWidth="1" min="3" max="3"/>
    <col width="16" customWidth="1" min="4" max="4"/>
    <col width="25" customWidth="1" min="5" max="5"/>
    <col width="23" customWidth="1" min="6" max="6"/>
    <col width="16" customWidth="1" min="7" max="7"/>
    <col width="25" customWidth="1" min="8" max="8"/>
    <col width="22" customWidth="1" min="9" max="9"/>
    <col width="30" customWidth="1" min="10" max="10"/>
    <col width="78" customWidth="1" min="11" max="11"/>
  </cols>
  <sheetData>
    <row r="1" ht="38" customHeight="1">
      <c r="A1" s="18" t="inlineStr">
        <is>
          <t>Installation</t>
        </is>
      </c>
      <c r="B1" s="18" t="inlineStr">
        <is>
          <t>Niveau</t>
        </is>
      </c>
      <c r="C1" s="18" t="inlineStr">
        <is>
          <t>Coût matériaux</t>
        </is>
      </c>
      <c r="D1" s="18" t="inlineStr">
        <is>
          <t>Coût métal</t>
        </is>
      </c>
      <c r="E1" s="18" t="inlineStr">
        <is>
          <t>Coût initial nourriture</t>
        </is>
      </c>
      <c r="F1" s="18" t="inlineStr">
        <is>
          <t>Coût eau initiale (L)</t>
        </is>
      </c>
      <c r="G1" s="18" t="inlineStr">
        <is>
          <t>Carburant (L)</t>
        </is>
      </c>
      <c r="H1" s="18" t="inlineStr">
        <is>
          <t>Composants électroniques</t>
        </is>
      </c>
      <c r="I1" s="18" t="inlineStr">
        <is>
          <t>Pièces mécaniques</t>
        </is>
      </c>
      <c r="J1" s="18" t="inlineStr">
        <is>
          <t>Production nourriture / jour (unités)</t>
        </is>
      </c>
      <c r="K1" s="18" t="inlineStr">
        <is>
          <t>Règle de conception</t>
        </is>
      </c>
    </row>
    <row r="2" ht="42" customHeight="1">
      <c r="A2" s="19" t="inlineStr">
        <is>
          <t>Poulailler</t>
        </is>
      </c>
      <c r="B2" s="19" t="n">
        <v>1</v>
      </c>
      <c r="C2" s="19" t="n">
        <v>10</v>
      </c>
      <c r="D2" s="19" t="n">
        <v>20</v>
      </c>
      <c r="E2" s="19" t="n">
        <v>10</v>
      </c>
      <c r="F2" s="19" t="n">
        <v>5</v>
      </c>
      <c r="G2" s="19" t="n">
        <v>0</v>
      </c>
      <c r="H2" s="19" t="n">
        <v>0</v>
      </c>
      <c r="I2" s="19" t="n">
        <v>0</v>
      </c>
      <c r="J2" s="19" t="n">
        <v>2</v>
      </c>
      <c r="K2" s="19" t="inlineStr">
        <is>
          <t>Démarrage simple ; production de nourriture après délai de croissance, avec entretien quotidien.</t>
        </is>
      </c>
    </row>
    <row r="3" ht="42" customHeight="1">
      <c r="A3" s="19" t="inlineStr">
        <is>
          <t>Poulailler</t>
        </is>
      </c>
      <c r="B3" s="19" t="n">
        <v>2</v>
      </c>
      <c r="C3" s="19" t="n">
        <v>20</v>
      </c>
      <c r="D3" s="19" t="n">
        <v>40</v>
      </c>
      <c r="E3" s="19" t="n">
        <v>18</v>
      </c>
      <c r="F3" s="19" t="n">
        <v>10</v>
      </c>
      <c r="G3" s="19" t="n">
        <v>0</v>
      </c>
      <c r="H3" s="19" t="n">
        <v>0</v>
      </c>
      <c r="I3" s="19" t="n">
        <v>0</v>
      </c>
      <c r="J3" s="19" t="n">
        <v>4</v>
      </c>
      <c r="K3" s="19" t="inlineStr">
        <is>
          <t>Plus d'animaux et meilleure capacité ; demande davantage de nourriture et d'eau.</t>
        </is>
      </c>
    </row>
    <row r="4" ht="42" customHeight="1">
      <c r="A4" s="19" t="inlineStr">
        <is>
          <t>Poulailler</t>
        </is>
      </c>
      <c r="B4" s="19" t="n">
        <v>3</v>
      </c>
      <c r="C4" s="19" t="n">
        <v>40</v>
      </c>
      <c r="D4" s="19" t="n">
        <v>80</v>
      </c>
      <c r="E4" s="19" t="n">
        <v>32</v>
      </c>
      <c r="F4" s="19" t="n">
        <v>18</v>
      </c>
      <c r="G4" s="19" t="n">
        <v>0</v>
      </c>
      <c r="H4" s="19" t="n">
        <v>0</v>
      </c>
      <c r="I4" s="19" t="n">
        <v>1</v>
      </c>
      <c r="J4" s="19" t="n">
        <v>7</v>
      </c>
      <c r="K4" s="19" t="inlineStr">
        <is>
          <t>Production plus régulière, sensible aux maladies et aux attaques.</t>
        </is>
      </c>
    </row>
    <row r="5" ht="42" customHeight="1">
      <c r="A5" s="19" t="inlineStr">
        <is>
          <t>Porcherie</t>
        </is>
      </c>
      <c r="B5" s="19" t="n">
        <v>1</v>
      </c>
      <c r="C5" s="19" t="n">
        <v>15</v>
      </c>
      <c r="D5" s="19" t="n">
        <v>30</v>
      </c>
      <c r="E5" s="19" t="n">
        <v>25</v>
      </c>
      <c r="F5" s="19" t="n">
        <v>10</v>
      </c>
      <c r="G5" s="19" t="n">
        <v>0</v>
      </c>
      <c r="H5" s="19" t="n">
        <v>0</v>
      </c>
      <c r="I5" s="19" t="n">
        <v>0</v>
      </c>
      <c r="J5" s="19" t="n">
        <v>3</v>
      </c>
      <c r="K5" s="19" t="inlineStr">
        <is>
          <t>Investissement initial élevé en nourriture ; gain différé après croissance des porcs.</t>
        </is>
      </c>
    </row>
    <row r="6" ht="42" customHeight="1">
      <c r="A6" s="19" t="inlineStr">
        <is>
          <t>Porcherie</t>
        </is>
      </c>
      <c r="B6" s="19" t="n">
        <v>2</v>
      </c>
      <c r="C6" s="19" t="n">
        <v>30</v>
      </c>
      <c r="D6" s="19" t="n">
        <v>60</v>
      </c>
      <c r="E6" s="19" t="n">
        <v>45</v>
      </c>
      <c r="F6" s="19" t="n">
        <v>18</v>
      </c>
      <c r="G6" s="19" t="n">
        <v>0</v>
      </c>
      <c r="H6" s="19" t="n">
        <v>0</v>
      </c>
      <c r="I6" s="19" t="n">
        <v>0</v>
      </c>
      <c r="J6" s="19" t="n">
        <v>6</v>
      </c>
      <c r="K6" s="19" t="inlineStr">
        <is>
          <t>Capacité doublée ; demande plus de nourriture et d'eau.</t>
        </is>
      </c>
    </row>
    <row r="7" ht="42" customHeight="1">
      <c r="A7" s="19" t="inlineStr">
        <is>
          <t>Porcherie</t>
        </is>
      </c>
      <c r="B7" s="19" t="n">
        <v>3</v>
      </c>
      <c r="C7" s="19" t="n">
        <v>60</v>
      </c>
      <c r="D7" s="19" t="n">
        <v>120</v>
      </c>
      <c r="E7" s="19" t="n">
        <v>80</v>
      </c>
      <c r="F7" s="19" t="n">
        <v>32</v>
      </c>
      <c r="G7" s="19" t="n">
        <v>0</v>
      </c>
      <c r="H7" s="19" t="n">
        <v>0</v>
      </c>
      <c r="I7" s="19" t="n">
        <v>2</v>
      </c>
      <c r="J7" s="19" t="n">
        <v>10</v>
      </c>
      <c r="K7" s="19" t="inlineStr">
        <is>
          <t>Production plus importante, avec risques sanitaires et besoins de stockage.</t>
        </is>
      </c>
    </row>
    <row r="8" ht="42" customHeight="1">
      <c r="A8" s="19" t="inlineStr">
        <is>
          <t>Potager</t>
        </is>
      </c>
      <c r="B8" s="19" t="n">
        <v>1</v>
      </c>
      <c r="C8" s="19" t="n">
        <v>10</v>
      </c>
      <c r="D8" s="19" t="n">
        <v>15</v>
      </c>
      <c r="E8" s="19" t="n">
        <v>0</v>
      </c>
      <c r="F8" s="19" t="n">
        <v>0</v>
      </c>
      <c r="G8" s="19" t="n">
        <v>0</v>
      </c>
      <c r="H8" s="19" t="n">
        <v>0</v>
      </c>
      <c r="I8" s="19" t="n">
        <v>0</v>
      </c>
      <c r="J8" s="19" t="n">
        <v>3</v>
      </c>
      <c r="K8" s="19" t="inlineStr">
        <is>
          <t>Production saisonnière ; eau et temps de travail nécessaires.</t>
        </is>
      </c>
    </row>
    <row r="9" ht="42" customHeight="1">
      <c r="A9" s="19" t="inlineStr">
        <is>
          <t>Potager</t>
        </is>
      </c>
      <c r="B9" s="19" t="n">
        <v>2</v>
      </c>
      <c r="C9" s="19" t="n">
        <v>20</v>
      </c>
      <c r="D9" s="19" t="n">
        <v>30</v>
      </c>
      <c r="E9" s="19" t="n">
        <v>0</v>
      </c>
      <c r="F9" s="19" t="n">
        <v>0</v>
      </c>
      <c r="G9" s="19" t="n">
        <v>0</v>
      </c>
      <c r="H9" s="19" t="n">
        <v>0</v>
      </c>
      <c r="I9" s="19" t="n">
        <v>0</v>
      </c>
      <c r="J9" s="19" t="n">
        <v>6</v>
      </c>
      <c r="K9" s="19" t="inlineStr">
        <is>
          <t>Surface productive accrue.</t>
        </is>
      </c>
    </row>
    <row r="10" ht="42" customHeight="1">
      <c r="A10" s="19" t="inlineStr">
        <is>
          <t>Potager</t>
        </is>
      </c>
      <c r="B10" s="19" t="n">
        <v>3</v>
      </c>
      <c r="C10" s="19" t="n">
        <v>35</v>
      </c>
      <c r="D10" s="19" t="n">
        <v>50</v>
      </c>
      <c r="E10" s="19" t="n">
        <v>0</v>
      </c>
      <c r="F10" s="19" t="n">
        <v>0</v>
      </c>
      <c r="G10" s="19" t="n">
        <v>0</v>
      </c>
      <c r="H10" s="19" t="n">
        <v>0</v>
      </c>
      <c r="I10" s="19" t="n">
        <v>1</v>
      </c>
      <c r="J10" s="19" t="n">
        <v>10</v>
      </c>
      <c r="K10" s="19" t="inlineStr">
        <is>
          <t>Production renforcée si le territoire et l'eau le permettent.</t>
        </is>
      </c>
    </row>
    <row r="11">
      <c r="A11" s="2" t="inlineStr">
        <is>
          <t>Hypothèse de simulation</t>
        </is>
      </c>
      <c r="B11" s="2" t="n">
        <v>0</v>
      </c>
      <c r="C11" s="2" t="n">
        <v>0</v>
      </c>
      <c r="D11" s="2" t="n">
        <v>0</v>
      </c>
      <c r="E11" s="2" t="n">
        <v>0</v>
      </c>
      <c r="F11" s="2" t="n">
        <v>0</v>
      </c>
      <c r="G11" s="2" t="n">
        <v>0</v>
      </c>
      <c r="H11" s="2" t="n">
        <v>0</v>
      </c>
      <c r="I11" s="2" t="n">
        <v>0</v>
      </c>
      <c r="J11" s="2" t="n">
        <v>8</v>
      </c>
      <c r="K11" s="2" t="inlineStr">
        <is>
          <t>Production nette estimée d'un poulailler niv. 2, après entretien ; valeur provisoire.</t>
        </is>
      </c>
    </row>
    <row r="12">
      <c r="A12" s="2" t="inlineStr">
        <is>
          <t>Hypothèse de simulation</t>
        </is>
      </c>
      <c r="B12" s="2" t="n">
        <v>0</v>
      </c>
      <c r="C12" s="2" t="n">
        <v>0</v>
      </c>
      <c r="D12" s="2" t="n">
        <v>0</v>
      </c>
      <c r="E12" s="2" t="n">
        <v>0</v>
      </c>
      <c r="F12" s="2" t="n">
        <v>0</v>
      </c>
      <c r="G12" s="2" t="n">
        <v>0</v>
      </c>
      <c r="H12" s="2" t="n">
        <v>0</v>
      </c>
      <c r="I12" s="2" t="n">
        <v>0</v>
      </c>
      <c r="J12" s="2" t="n">
        <v>12</v>
      </c>
      <c r="K12" s="2" t="inlineStr">
        <is>
          <t>Production nette estimée d'un potager niv. 2, après entretien ; valeur provisoire.</t>
        </is>
      </c>
    </row>
  </sheetData>
  <autoFilter ref="A1:K10"/>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8" customWidth="1" min="1" max="1"/>
    <col width="82" customWidth="1" min="2" max="2"/>
    <col width="78" customWidth="1" min="3" max="3"/>
  </cols>
  <sheetData>
    <row r="1" ht="38" customHeight="1">
      <c r="A1" s="18" t="inlineStr">
        <is>
          <t>Sujet</t>
        </is>
      </c>
      <c r="B1" s="18" t="inlineStr">
        <is>
          <t>Décision de prototype</t>
        </is>
      </c>
      <c r="C1" s="18" t="inlineStr">
        <is>
          <t>Précision</t>
        </is>
      </c>
    </row>
    <row r="2" ht="42" customHeight="1">
      <c r="A2" s="19" t="inlineStr">
        <is>
          <t>Ressource nourriture</t>
        </is>
      </c>
      <c r="B2" s="19" t="inlineStr">
        <is>
          <t>Une seule ressource pour viande, œufs, légumes et aliments récupérés.</t>
        </is>
      </c>
      <c r="C2" s="19" t="inlineStr">
        <is>
          <t>Pas de distinction viande/légumes/œufs dans le stock du prototype.</t>
        </is>
      </c>
    </row>
    <row r="3" ht="42" customHeight="1">
      <c r="A3" s="19" t="inlineStr">
        <is>
          <t>Unité nourriture</t>
        </is>
      </c>
      <c r="B3" s="19" t="inlineStr">
        <is>
          <t>Pour le prototype, stock abstrait en unités de ration ; 1 survivant consomme 1 unité/jour.</t>
        </is>
      </c>
      <c r="C3" s="19" t="inlineStr">
        <is>
          <t>À l'interface, afficher des unités de nourriture, pas des litres.</t>
        </is>
      </c>
    </row>
    <row r="4" ht="42" customHeight="1">
      <c r="A4" s="19" t="inlineStr">
        <is>
          <t>Eau</t>
        </is>
      </c>
      <c r="B4" s="19" t="inlineStr">
        <is>
          <t>Afficher le stock en litres et la consommation en L/jour.</t>
        </is>
      </c>
      <c r="C4" s="19" t="inlineStr">
        <is>
          <t>La production et la consommation sont calculées sur un cycle de 24 heures de jeu.</t>
        </is>
      </c>
    </row>
    <row r="5" ht="42" customHeight="1">
      <c r="A5" s="19" t="inlineStr">
        <is>
          <t>Carburant</t>
        </is>
      </c>
      <c r="B5" s="19" t="inlineStr">
        <is>
          <t>Stock unique affiché en litres.</t>
        </is>
      </c>
      <c r="C5" s="19" t="inlineStr">
        <is>
          <t>Le type requis est attaché au moteur ; essence et diesel ne sont pas séparés en stocks au prototype.</t>
        </is>
      </c>
    </row>
    <row r="6" ht="42" customHeight="1">
      <c r="A6" s="19" t="inlineStr">
        <is>
          <t>Compatibilité moteur</t>
        </is>
      </c>
      <c r="B6" s="19" t="inlineStr">
        <is>
          <t>Chaque fiche moteur précise essence, diesel ou autre carburant.</t>
        </is>
      </c>
      <c r="C6" s="19" t="inlineStr">
        <is>
          <t>Si le joueur installe un moteur incompatible avec le carburant disponible, afficher un avertissement et empêcher le démarrage ou appliquer une règle explicitement définie.</t>
        </is>
      </c>
    </row>
    <row r="7" ht="42" customHeight="1">
      <c r="A7" s="19" t="inlineStr">
        <is>
          <t>HUD de base</t>
        </is>
      </c>
      <c r="B7" s="19" t="inlineStr">
        <is>
          <t>Jauges Eau, Nourriture et Carburant toujours visibles ; autres ressources dans un panneau détaillé.</t>
        </is>
      </c>
      <c r="C7" s="19" t="inlineStr">
        <is>
          <t>Afficher stock/capacité, production/jour, consommation/jour et tendance.</t>
        </is>
      </c>
    </row>
    <row r="8" ht="42" customHeight="1">
      <c r="A8" s="19" t="inlineStr">
        <is>
          <t>Alerte ressource</t>
        </is>
      </c>
      <c r="B8" s="19" t="inlineStr">
        <is>
          <t>Avertissement sous 25 % de capacité ; urgence sous 10 % ou si autonomie estimée inférieure à 2 jours.</t>
        </is>
      </c>
      <c r="C8" s="19" t="inlineStr">
        <is>
          <t>Les seuils peuvent être modifiés après test.</t>
        </is>
      </c>
    </row>
    <row r="9" ht="42" customHeight="1">
      <c r="A9" s="19" t="inlineStr">
        <is>
          <t>Élevage</t>
        </is>
      </c>
      <c r="B9" s="19" t="inlineStr">
        <is>
          <t>Poulets et cochons exigent un coût initial, consomment nourriture/eau et ne produisent qu'après délai.</t>
        </is>
      </c>
      <c r="C9" s="19" t="inlineStr">
        <is>
          <t>Le rendement est net des coûts d'entretien dans le calcul de la balance quotidienne.</t>
        </is>
      </c>
    </row>
    <row r="10" ht="42" customHeight="1">
      <c r="A10" s="19" t="inlineStr">
        <is>
          <t>Production hors ligne</t>
        </is>
      </c>
      <c r="B10" s="19" t="inlineStr">
        <is>
          <t>La production et la consommation continuent pendant la fermeture du jeu, avec limite de simulation à définir.</t>
        </is>
      </c>
      <c r="C10" s="19" t="inlineStr">
        <is>
          <t>Les événements négatifs doivent rester prévisibles et ne pas provoquer une catastrophe instantanée.</t>
        </is>
      </c>
    </row>
  </sheetData>
  <autoFilter ref="A1:C10"/>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cols>
    <col width="38" customWidth="1" min="1" max="1"/>
    <col width="20" customWidth="1" min="2" max="2"/>
    <col width="28" customWidth="1" min="3" max="3"/>
    <col width="88" customWidth="1" min="4" max="4"/>
  </cols>
  <sheetData>
    <row r="1" ht="36" customHeight="1">
      <c r="A1" s="20" t="inlineStr">
        <is>
          <t>Paramètre</t>
        </is>
      </c>
      <c r="B1" s="20" t="inlineStr">
        <is>
          <t>Valeur prototype</t>
        </is>
      </c>
      <c r="C1" s="20" t="inlineStr">
        <is>
          <t>Unité</t>
        </is>
      </c>
      <c r="D1" s="20" t="inlineStr">
        <is>
          <t>Justification / effet</t>
        </is>
      </c>
    </row>
    <row r="2">
      <c r="A2" s="19" t="inlineStr">
        <is>
          <t>Population de départ</t>
        </is>
      </c>
      <c r="B2" s="19" t="n">
        <v>20</v>
      </c>
      <c r="C2" s="19" t="inlineStr">
        <is>
          <t>survivants</t>
        </is>
      </c>
      <c r="D2" s="19" t="inlineStr">
        <is>
          <t>Base moyenne de début/milieu de partie.</t>
        </is>
      </c>
    </row>
    <row r="3">
      <c r="A3" s="19" t="inlineStr">
        <is>
          <t>Consommation eau par survivant</t>
        </is>
      </c>
      <c r="B3" s="19" t="n">
        <v>12</v>
      </c>
      <c r="C3" s="19" t="inlineStr">
        <is>
          <t>L/personne/jour</t>
        </is>
      </c>
      <c r="D3" s="19" t="inlineStr">
        <is>
          <t>Eau potable et usage quotidien simplifiés ; ne simule pas toute l'hygiène séparément.</t>
        </is>
      </c>
    </row>
    <row r="4">
      <c r="A4" s="19" t="inlineStr">
        <is>
          <t>Consommation nourriture par survivant</t>
        </is>
      </c>
      <c r="B4" s="19" t="n">
        <v>1</v>
      </c>
      <c r="C4" s="19" t="inlineStr">
        <is>
          <t>unité/personne/jour</t>
        </is>
      </c>
      <c r="D4" s="19" t="inlineStr">
        <is>
          <t>Unité abstraite de ration, toutes denrées confondues.</t>
        </is>
      </c>
    </row>
    <row r="5">
      <c r="A5" s="19" t="inlineStr">
        <is>
          <t>Consommation carburant générateurs</t>
        </is>
      </c>
      <c r="B5" s="19" t="n">
        <v>10</v>
      </c>
      <c r="C5" s="19" t="inlineStr">
        <is>
          <t>L/jour</t>
        </is>
      </c>
      <c r="D5" s="19" t="inlineStr">
        <is>
          <t>Hypothèse de base : gros générateur en charge partielle sur une durée limitée, pas 24 h à pleine puissance.</t>
        </is>
      </c>
    </row>
    <row r="6">
      <c r="A6" s="19" t="inlineStr">
        <is>
          <t>Autres consommations carburant base</t>
        </is>
      </c>
      <c r="B6" s="19" t="n">
        <v>5</v>
      </c>
      <c r="C6" s="19" t="inlineStr">
        <is>
          <t>L/jour</t>
        </is>
      </c>
      <c r="D6" s="19" t="inlineStr">
        <is>
          <t>Petits véhicules utilitaires, manutention ou essais ; expéditions exclues.</t>
        </is>
      </c>
    </row>
    <row r="7">
      <c r="A7" s="19" t="inlineStr">
        <is>
          <t>Production puits eau</t>
        </is>
      </c>
      <c r="B7" s="19" t="n">
        <v>500</v>
      </c>
      <c r="C7" s="19" t="inlineStr">
        <is>
          <t>L/jour</t>
        </is>
      </c>
      <c r="D7" s="19" t="inlineStr">
        <is>
          <t>Puits de niveau intermédiaire à pompe mécanique, avant éventuelles améliorations.</t>
        </is>
      </c>
    </row>
    <row r="8">
      <c r="A8" s="19" t="inlineStr">
        <is>
          <t>Production nourriture élevage net</t>
        </is>
      </c>
      <c r="B8" s="19" t="n">
        <v>8</v>
      </c>
      <c r="C8" s="19" t="inlineStr">
        <is>
          <t>unités/jour</t>
        </is>
      </c>
      <c r="D8" s="19" t="inlineStr">
        <is>
          <t>Hypothèse combinée d'un poulailler de niveau 2 après déduction de son entretien.</t>
        </is>
      </c>
    </row>
    <row r="9">
      <c r="A9" s="19" t="inlineStr">
        <is>
          <t>Production nourriture potager net</t>
        </is>
      </c>
      <c r="B9" s="19" t="n">
        <v>12</v>
      </c>
      <c r="C9" s="19" t="inlineStr">
        <is>
          <t>unités/jour</t>
        </is>
      </c>
      <c r="D9" s="19" t="inlineStr">
        <is>
          <t>Potager de niveau 2 en conditions correctes, après prise en compte simplifiée de l'eau et du travail.</t>
        </is>
      </c>
    </row>
    <row r="10">
      <c r="A10" s="19" t="inlineStr">
        <is>
          <t>Production carburant nette</t>
        </is>
      </c>
      <c r="B10" s="19" t="n">
        <v>0</v>
      </c>
      <c r="C10" s="19" t="inlineStr">
        <is>
          <t>L/jour</t>
        </is>
      </c>
      <c r="D10" s="19" t="inlineStr">
        <is>
          <t>Aucune production sans gisement, extraction et raffinage ; on ne crédite pas de carburant par défaut.</t>
        </is>
      </c>
    </row>
    <row r="11">
      <c r="A11" s="19" t="inlineStr">
        <is>
          <t>Marge sécurité eau</t>
        </is>
      </c>
      <c r="B11" s="19" t="n">
        <v>3</v>
      </c>
      <c r="C11" s="19" t="inlineStr">
        <is>
          <t>jours</t>
        </is>
      </c>
      <c r="D11" s="19" t="inlineStr">
        <is>
          <t>Alerte lorsque le stock estimé passe sous trois jours de consommation nette.</t>
        </is>
      </c>
    </row>
    <row r="12">
      <c r="A12" s="19" t="inlineStr">
        <is>
          <t>Marge sécurité nourriture</t>
        </is>
      </c>
      <c r="B12" s="19" t="n">
        <v>3</v>
      </c>
      <c r="C12" s="19" t="inlineStr">
        <is>
          <t>jours</t>
        </is>
      </c>
      <c r="D12" s="19" t="inlineStr">
        <is>
          <t>Alerte lorsque le stock estimé passe sous trois jours de consommation nette.</t>
        </is>
      </c>
    </row>
    <row r="13">
      <c r="A13" s="19" t="inlineStr">
        <is>
          <t>Marge sécurité carburant</t>
        </is>
      </c>
      <c r="B13" s="19" t="n">
        <v>5</v>
      </c>
      <c r="C13" s="19" t="inlineStr">
        <is>
          <t>jours</t>
        </is>
      </c>
      <c r="D13" s="19" t="inlineStr">
        <is>
          <t>Alerte si le stock est inférieur à cinq jours de consommation prévisible.</t>
        </is>
      </c>
    </row>
    <row r="14">
      <c r="A14" s="19" t="inlineStr">
        <is>
          <t>Stock initial eau</t>
        </is>
      </c>
      <c r="B14" s="19" t="n">
        <v>12400</v>
      </c>
      <c r="C14" s="19" t="inlineStr">
        <is>
          <t>L</t>
        </is>
      </c>
      <c r="D14" s="19" t="inlineStr">
        <is>
          <t>Exemple de départ pour le test, capacité de cuves 20 000 L.</t>
        </is>
      </c>
    </row>
    <row r="15">
      <c r="A15" s="19" t="inlineStr">
        <is>
          <t>Stock initial nourriture</t>
        </is>
      </c>
      <c r="B15" s="19" t="n">
        <v>350</v>
      </c>
      <c r="C15" s="19" t="inlineStr">
        <is>
          <t>unités</t>
        </is>
      </c>
      <c r="D15" s="19" t="inlineStr">
        <is>
          <t>Exemple de départ, capacité de stockage 1 000 unités.</t>
        </is>
      </c>
    </row>
    <row r="16">
      <c r="A16" s="19" t="inlineStr">
        <is>
          <t>Stock initial carburant</t>
        </is>
      </c>
      <c r="B16" s="19" t="n">
        <v>8750</v>
      </c>
      <c r="C16" s="19" t="inlineStr">
        <is>
          <t>L</t>
        </is>
      </c>
      <c r="D16" s="19" t="inlineStr">
        <is>
          <t>Exemple de départ, capacité de cuves 15 000 L.</t>
        </is>
      </c>
    </row>
    <row r="17">
      <c r="A17" s="19" t="inlineStr">
        <is>
          <t>Capacité eau</t>
        </is>
      </c>
      <c r="B17" s="19" t="n">
        <v>20000</v>
      </c>
      <c r="C17" s="19" t="inlineStr">
        <is>
          <t>L</t>
        </is>
      </c>
      <c r="D17" s="19" t="inlineStr">
        <is>
          <t>Réservoirs installés.</t>
        </is>
      </c>
    </row>
    <row r="18">
      <c r="A18" s="19" t="inlineStr">
        <is>
          <t>Capacité nourriture</t>
        </is>
      </c>
      <c r="B18" s="19" t="n">
        <v>1000</v>
      </c>
      <c r="C18" s="19" t="inlineStr">
        <is>
          <t>unités</t>
        </is>
      </c>
      <c r="D18" s="19" t="inlineStr">
        <is>
          <t>Réserves et stockage alimentaire.</t>
        </is>
      </c>
    </row>
    <row r="19">
      <c r="A19" s="19" t="inlineStr">
        <is>
          <t>Capacité carburant</t>
        </is>
      </c>
      <c r="B19" s="19" t="n">
        <v>15000</v>
      </c>
      <c r="C19" s="19" t="inlineStr">
        <is>
          <t>L</t>
        </is>
      </c>
      <c r="D19" s="19" t="inlineStr">
        <is>
          <t>Cuves installées.</t>
        </is>
      </c>
    </row>
    <row r="21" ht="45" customHeight="1">
      <c r="A21" s="22" t="inlineStr">
        <is>
          <t>Règle importante</t>
        </is>
      </c>
      <c r="B21" s="2" t="inlineStr">
        <is>
          <t>Les valeurs sont des hypothèses de gameplay. Le bilan quotidien doit être recalculé dynamiquement selon les bâtiments, la population, la météo, les expéditions et les dégâts.</t>
        </is>
      </c>
    </row>
    <row r="22">
      <c r="A22" s="2" t="inlineStr">
        <is>
          <t>Seuil alerte ressource</t>
        </is>
      </c>
      <c r="B22" s="2" t="n">
        <v>0.25</v>
      </c>
      <c r="C22" s="2" t="inlineStr">
        <is>
          <t>fraction de capacité</t>
        </is>
      </c>
      <c r="D22" s="2" t="inlineStr">
        <is>
          <t>Alerte lorsque le stock passe sous 25 % de la capacité.</t>
        </is>
      </c>
    </row>
    <row r="23">
      <c r="A23" s="2" t="inlineStr">
        <is>
          <t>Seuil critique ressource</t>
        </is>
      </c>
      <c r="B23" s="2" t="n">
        <v>0.1</v>
      </c>
      <c r="C23" s="2" t="inlineStr">
        <is>
          <t>fraction de capacité</t>
        </is>
      </c>
      <c r="D23" s="2" t="inlineStr">
        <is>
          <t>Alerte critique sous 10 % de la capacité.</t>
        </is>
      </c>
    </row>
    <row r="24">
      <c r="A24" s="2" t="inlineStr">
        <is>
          <t>Délai avertissement pénurie</t>
        </is>
      </c>
      <c r="B24" s="2" t="n">
        <v>3</v>
      </c>
      <c r="C24" s="2" t="inlineStr">
        <is>
          <t>jours</t>
        </is>
      </c>
      <c r="D24" s="2" t="inlineStr">
        <is>
          <t>Le HUD annonce l'autonomie estimée et avertit avant la pénurie.</t>
        </is>
      </c>
    </row>
    <row r="25">
      <c r="A25" s="2" t="inlineStr">
        <is>
          <t>Pertes fuite mineure</t>
        </is>
      </c>
      <c r="B25" s="2" t="n">
        <v>0.05</v>
      </c>
      <c r="C25" s="2" t="inlineStr">
        <is>
          <t>fraction du stock</t>
        </is>
      </c>
      <c r="D25" s="2" t="inlineStr">
        <is>
          <t>Valeur initiale de test ; perte ponctuelle si la fuite n'est pas contenue.</t>
        </is>
      </c>
    </row>
    <row r="26">
      <c r="A26" s="2" t="inlineStr">
        <is>
          <t>Baisse production mauvaise récolte</t>
        </is>
      </c>
      <c r="B26" s="2" t="n">
        <v>0.3</v>
      </c>
      <c r="C26" s="2" t="inlineStr">
        <is>
          <t>fraction</t>
        </is>
      </c>
      <c r="D26" s="2" t="inlineStr">
        <is>
          <t>Valeur centrale d'un incident de mauvaise récolte.</t>
        </is>
      </c>
    </row>
    <row r="27">
      <c r="A27" s="2" t="inlineStr">
        <is>
          <t>Baisse production élevage malade</t>
        </is>
      </c>
      <c r="B27" s="2" t="n">
        <v>0.5</v>
      </c>
      <c r="C27" s="2" t="inlineStr">
        <is>
          <t>fraction</t>
        </is>
      </c>
      <c r="D27" s="2" t="inlineStr">
        <is>
          <t>Réduction temporaire sur une durée limitée.</t>
        </is>
      </c>
    </row>
  </sheetData>
  <autoFilter ref="A1:D27"/>
  <mergeCells count="1">
    <mergeCell ref="B21:D2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N3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8" customWidth="1" min="2" max="2"/>
    <col width="19" customWidth="1" min="3" max="3"/>
    <col width="23" customWidth="1" min="4" max="4"/>
    <col width="17" customWidth="1" min="5" max="5"/>
    <col width="20" customWidth="1" min="6" max="6"/>
    <col width="23" customWidth="1" min="7" max="7"/>
    <col width="25" customWidth="1" min="8" max="8"/>
    <col width="20" customWidth="1" min="9" max="9"/>
    <col width="21" customWidth="1" min="10" max="10"/>
    <col width="25" customWidth="1" min="11" max="11"/>
    <col width="28" customWidth="1" min="12" max="12"/>
    <col width="21" customWidth="1" min="13" max="13"/>
    <col width="24" customWidth="1" min="14" max="14"/>
  </cols>
  <sheetData>
    <row r="1" ht="36" customHeight="1">
      <c r="A1" s="20" t="inlineStr">
        <is>
          <t>Jour</t>
        </is>
      </c>
      <c r="B1" s="20" t="inlineStr">
        <is>
          <t>Eau début (L)</t>
        </is>
      </c>
      <c r="C1" s="20" t="inlineStr">
        <is>
          <t>Production eau (L)</t>
        </is>
      </c>
      <c r="D1" s="20" t="inlineStr">
        <is>
          <t>Consommation eau (L)</t>
        </is>
      </c>
      <c r="E1" s="20" t="inlineStr">
        <is>
          <t>Eau fin (L)</t>
        </is>
      </c>
      <c r="F1" s="20" t="inlineStr">
        <is>
          <t>Nourriture début</t>
        </is>
      </c>
      <c r="G1" s="20" t="inlineStr">
        <is>
          <t>Production nourriture</t>
        </is>
      </c>
      <c r="H1" s="20" t="inlineStr">
        <is>
          <t>Consommation nourriture</t>
        </is>
      </c>
      <c r="I1" s="20" t="inlineStr">
        <is>
          <t>Nourriture fin</t>
        </is>
      </c>
      <c r="J1" s="20" t="inlineStr">
        <is>
          <t>Carburant début (L)</t>
        </is>
      </c>
      <c r="K1" s="20" t="inlineStr">
        <is>
          <t>Production carburant (L)</t>
        </is>
      </c>
      <c r="L1" s="20" t="inlineStr">
        <is>
          <t>Consommation carburant (L)</t>
        </is>
      </c>
      <c r="M1" s="20" t="inlineStr">
        <is>
          <t>Carburant fin (L)</t>
        </is>
      </c>
      <c r="N1" s="20" t="inlineStr">
        <is>
          <t>État / alerte</t>
        </is>
      </c>
    </row>
    <row r="2">
      <c r="A2" s="19" t="n">
        <v>1</v>
      </c>
      <c r="B2" s="23">
        <f>'Paramètres simulation'!$B$14</f>
        <v/>
      </c>
      <c r="C2" s="23">
        <f>'Paramètres simulation'!$B$7</f>
        <v/>
      </c>
      <c r="D2" s="23">
        <f>'Paramètres simulation'!$B$2*'Paramètres simulation'!$B$3</f>
        <v/>
      </c>
      <c r="E2" s="23">
        <f>MAX(0,MIN('Paramètres simulation'!$B$17,B2+C2-D2))</f>
        <v/>
      </c>
      <c r="F2" s="23">
        <f>'Paramètres simulation'!$B$15</f>
        <v/>
      </c>
      <c r="G2" s="23">
        <f>'Paramètres simulation'!$B$8+'Paramètres simulation'!$B$9</f>
        <v/>
      </c>
      <c r="H2" s="23">
        <f>'Paramètres simulation'!$B$2*'Paramètres simulation'!$B$4</f>
        <v/>
      </c>
      <c r="I2" s="23">
        <f>MAX(0,MIN('Paramètres simulation'!$B$18,F2+G2-H2))</f>
        <v/>
      </c>
      <c r="J2" s="23">
        <f>'Paramètres simulation'!$B$16</f>
        <v/>
      </c>
      <c r="K2" s="23">
        <f>'Paramètres simulation'!$B$10</f>
        <v/>
      </c>
      <c r="L2" s="23">
        <f>'Paramètres simulation'!$B$5+'Paramètres simulation'!$B$6</f>
        <v/>
      </c>
      <c r="M2" s="23">
        <f>MAX(0,MIN('Paramètres simulation'!$B$19,J2+K2-L2))</f>
        <v/>
      </c>
      <c r="N2" s="19">
        <f>IF(E2&lt;=0,"EAU ÉPUISÉE",IF(I2&lt;=0,"NOURRITURE ÉPUISÉE",IF(M2&lt;=0,"CARBURANT ÉPUISÉ",IF(E2&lt;'Paramètres simulation'!$B$17*0.1,"Eau critique",IF(I2&lt;'Paramètres simulation'!$B$18*0.1,"Nourriture critique",IF(M2&lt;'Paramètres simulation'!$B$19*0.1,"Carburant critique","OK"))))))</f>
        <v/>
      </c>
    </row>
    <row r="3">
      <c r="A3" s="19" t="n">
        <v>2</v>
      </c>
      <c r="B3" s="23">
        <f>MIN('Paramètres simulation'!$B$17,E2)</f>
        <v/>
      </c>
      <c r="C3" s="23">
        <f>'Paramètres simulation'!$B$7</f>
        <v/>
      </c>
      <c r="D3" s="23">
        <f>'Paramètres simulation'!$B$2*'Paramètres simulation'!$B$3</f>
        <v/>
      </c>
      <c r="E3" s="23">
        <f>MAX(0,MIN('Paramètres simulation'!$B$17,B3+C3-D3))</f>
        <v/>
      </c>
      <c r="F3" s="23">
        <f>MIN('Paramètres simulation'!$B$18,I2)</f>
        <v/>
      </c>
      <c r="G3" s="23">
        <f>'Paramètres simulation'!$B$8+'Paramètres simulation'!$B$9</f>
        <v/>
      </c>
      <c r="H3" s="23">
        <f>'Paramètres simulation'!$B$2*'Paramètres simulation'!$B$4</f>
        <v/>
      </c>
      <c r="I3" s="23">
        <f>MAX(0,MIN('Paramètres simulation'!$B$18,F3+G3-H3))</f>
        <v/>
      </c>
      <c r="J3" s="23">
        <f>MIN('Paramètres simulation'!$B$19,M2)</f>
        <v/>
      </c>
      <c r="K3" s="23">
        <f>'Paramètres simulation'!$B$10</f>
        <v/>
      </c>
      <c r="L3" s="23">
        <f>'Paramètres simulation'!$B$5+'Paramètres simulation'!$B$6</f>
        <v/>
      </c>
      <c r="M3" s="23">
        <f>MAX(0,MIN('Paramètres simulation'!$B$19,J3+K3-L3))</f>
        <v/>
      </c>
      <c r="N3" s="19">
        <f>IF(E3&lt;=0,"EAU ÉPUISÉE",IF(I3&lt;=0,"NOURRITURE ÉPUISÉE",IF(M3&lt;=0,"CARBURANT ÉPUISÉ",IF(E3&lt;'Paramètres simulation'!$B$17*0.1,"Eau critique",IF(I3&lt;'Paramètres simulation'!$B$18*0.1,"Nourriture critique",IF(M3&lt;'Paramètres simulation'!$B$19*0.1,"Carburant critique","OK"))))))</f>
        <v/>
      </c>
    </row>
    <row r="4">
      <c r="A4" s="19" t="n">
        <v>3</v>
      </c>
      <c r="B4" s="23">
        <f>MIN('Paramètres simulation'!$B$17,E3)</f>
        <v/>
      </c>
      <c r="C4" s="23">
        <f>'Paramètres simulation'!$B$7</f>
        <v/>
      </c>
      <c r="D4" s="23">
        <f>'Paramètres simulation'!$B$2*'Paramètres simulation'!$B$3</f>
        <v/>
      </c>
      <c r="E4" s="23">
        <f>MAX(0,MIN('Paramètres simulation'!$B$17,B4+C4-D4))</f>
        <v/>
      </c>
      <c r="F4" s="23">
        <f>MIN('Paramètres simulation'!$B$18,I3)</f>
        <v/>
      </c>
      <c r="G4" s="23">
        <f>'Paramètres simulation'!$B$8+'Paramètres simulation'!$B$9</f>
        <v/>
      </c>
      <c r="H4" s="23">
        <f>'Paramètres simulation'!$B$2*'Paramètres simulation'!$B$4</f>
        <v/>
      </c>
      <c r="I4" s="23">
        <f>MAX(0,MIN('Paramètres simulation'!$B$18,F4+G4-H4))</f>
        <v/>
      </c>
      <c r="J4" s="23">
        <f>MIN('Paramètres simulation'!$B$19,M3)</f>
        <v/>
      </c>
      <c r="K4" s="23">
        <f>'Paramètres simulation'!$B$10</f>
        <v/>
      </c>
      <c r="L4" s="23">
        <f>'Paramètres simulation'!$B$5+'Paramètres simulation'!$B$6</f>
        <v/>
      </c>
      <c r="M4" s="23">
        <f>MAX(0,MIN('Paramètres simulation'!$B$19,J4+K4-L4))</f>
        <v/>
      </c>
      <c r="N4" s="19">
        <f>IF(E4&lt;=0,"EAU ÉPUISÉE",IF(I4&lt;=0,"NOURRITURE ÉPUISÉE",IF(M4&lt;=0,"CARBURANT ÉPUISÉ",IF(E4&lt;'Paramètres simulation'!$B$17*0.1,"Eau critique",IF(I4&lt;'Paramètres simulation'!$B$18*0.1,"Nourriture critique",IF(M4&lt;'Paramètres simulation'!$B$19*0.1,"Carburant critique","OK"))))))</f>
        <v/>
      </c>
    </row>
    <row r="5">
      <c r="A5" s="19" t="n">
        <v>4</v>
      </c>
      <c r="B5" s="23">
        <f>MIN('Paramètres simulation'!$B$17,E4)</f>
        <v/>
      </c>
      <c r="C5" s="23">
        <f>'Paramètres simulation'!$B$7</f>
        <v/>
      </c>
      <c r="D5" s="23">
        <f>'Paramètres simulation'!$B$2*'Paramètres simulation'!$B$3</f>
        <v/>
      </c>
      <c r="E5" s="23">
        <f>MAX(0,MIN('Paramètres simulation'!$B$17,B5+C5-D5))</f>
        <v/>
      </c>
      <c r="F5" s="23">
        <f>MIN('Paramètres simulation'!$B$18,I4)</f>
        <v/>
      </c>
      <c r="G5" s="23">
        <f>'Paramètres simulation'!$B$8+'Paramètres simulation'!$B$9</f>
        <v/>
      </c>
      <c r="H5" s="23">
        <f>'Paramètres simulation'!$B$2*'Paramètres simulation'!$B$4</f>
        <v/>
      </c>
      <c r="I5" s="23">
        <f>MAX(0,MIN('Paramètres simulation'!$B$18,F5+G5-H5))</f>
        <v/>
      </c>
      <c r="J5" s="23">
        <f>MIN('Paramètres simulation'!$B$19,M4)</f>
        <v/>
      </c>
      <c r="K5" s="23">
        <f>'Paramètres simulation'!$B$10</f>
        <v/>
      </c>
      <c r="L5" s="23">
        <f>'Paramètres simulation'!$B$5+'Paramètres simulation'!$B$6</f>
        <v/>
      </c>
      <c r="M5" s="23">
        <f>MAX(0,MIN('Paramètres simulation'!$B$19,J5+K5-L5))</f>
        <v/>
      </c>
      <c r="N5" s="19">
        <f>IF(E5&lt;=0,"EAU ÉPUISÉE",IF(I5&lt;=0,"NOURRITURE ÉPUISÉE",IF(M5&lt;=0,"CARBURANT ÉPUISÉ",IF(E5&lt;'Paramètres simulation'!$B$17*0.1,"Eau critique",IF(I5&lt;'Paramètres simulation'!$B$18*0.1,"Nourriture critique",IF(M5&lt;'Paramètres simulation'!$B$19*0.1,"Carburant critique","OK"))))))</f>
        <v/>
      </c>
    </row>
    <row r="6">
      <c r="A6" s="19" t="n">
        <v>5</v>
      </c>
      <c r="B6" s="23">
        <f>MIN('Paramètres simulation'!$B$17,E5)</f>
        <v/>
      </c>
      <c r="C6" s="23">
        <f>'Paramètres simulation'!$B$7</f>
        <v/>
      </c>
      <c r="D6" s="23">
        <f>'Paramètres simulation'!$B$2*'Paramètres simulation'!$B$3</f>
        <v/>
      </c>
      <c r="E6" s="23">
        <f>MAX(0,MIN('Paramètres simulation'!$B$17,B6+C6-D6))</f>
        <v/>
      </c>
      <c r="F6" s="23">
        <f>MIN('Paramètres simulation'!$B$18,I5)</f>
        <v/>
      </c>
      <c r="G6" s="23">
        <f>'Paramètres simulation'!$B$8+'Paramètres simulation'!$B$9</f>
        <v/>
      </c>
      <c r="H6" s="23">
        <f>'Paramètres simulation'!$B$2*'Paramètres simulation'!$B$4</f>
        <v/>
      </c>
      <c r="I6" s="23">
        <f>MAX(0,MIN('Paramètres simulation'!$B$18,F6+G6-H6))</f>
        <v/>
      </c>
      <c r="J6" s="23">
        <f>MIN('Paramètres simulation'!$B$19,M5)</f>
        <v/>
      </c>
      <c r="K6" s="23">
        <f>'Paramètres simulation'!$B$10</f>
        <v/>
      </c>
      <c r="L6" s="23">
        <f>'Paramètres simulation'!$B$5+'Paramètres simulation'!$B$6</f>
        <v/>
      </c>
      <c r="M6" s="23">
        <f>MAX(0,MIN('Paramètres simulation'!$B$19,J6+K6-L6))</f>
        <v/>
      </c>
      <c r="N6" s="19">
        <f>IF(E6&lt;=0,"EAU ÉPUISÉE",IF(I6&lt;=0,"NOURRITURE ÉPUISÉE",IF(M6&lt;=0,"CARBURANT ÉPUISÉ",IF(E6&lt;'Paramètres simulation'!$B$17*0.1,"Eau critique",IF(I6&lt;'Paramètres simulation'!$B$18*0.1,"Nourriture critique",IF(M6&lt;'Paramètres simulation'!$B$19*0.1,"Carburant critique","OK"))))))</f>
        <v/>
      </c>
    </row>
    <row r="7">
      <c r="A7" s="19" t="n">
        <v>6</v>
      </c>
      <c r="B7" s="23">
        <f>MIN('Paramètres simulation'!$B$17,E6)</f>
        <v/>
      </c>
      <c r="C7" s="23">
        <f>'Paramètres simulation'!$B$7</f>
        <v/>
      </c>
      <c r="D7" s="23">
        <f>'Paramètres simulation'!$B$2*'Paramètres simulation'!$B$3</f>
        <v/>
      </c>
      <c r="E7" s="23">
        <f>MAX(0,MIN('Paramètres simulation'!$B$17,B7+C7-D7))</f>
        <v/>
      </c>
      <c r="F7" s="23">
        <f>MIN('Paramètres simulation'!$B$18,I6)</f>
        <v/>
      </c>
      <c r="G7" s="23">
        <f>'Paramètres simulation'!$B$8+'Paramètres simulation'!$B$9</f>
        <v/>
      </c>
      <c r="H7" s="23">
        <f>'Paramètres simulation'!$B$2*'Paramètres simulation'!$B$4</f>
        <v/>
      </c>
      <c r="I7" s="23">
        <f>MAX(0,MIN('Paramètres simulation'!$B$18,F7+G7-H7))</f>
        <v/>
      </c>
      <c r="J7" s="23">
        <f>MIN('Paramètres simulation'!$B$19,M6)</f>
        <v/>
      </c>
      <c r="K7" s="23">
        <f>'Paramètres simulation'!$B$10</f>
        <v/>
      </c>
      <c r="L7" s="23">
        <f>'Paramètres simulation'!$B$5+'Paramètres simulation'!$B$6</f>
        <v/>
      </c>
      <c r="M7" s="23">
        <f>MAX(0,MIN('Paramètres simulation'!$B$19,J7+K7-L7))</f>
        <v/>
      </c>
      <c r="N7" s="19">
        <f>IF(E7&lt;=0,"EAU ÉPUISÉE",IF(I7&lt;=0,"NOURRITURE ÉPUISÉE",IF(M7&lt;=0,"CARBURANT ÉPUISÉ",IF(E7&lt;'Paramètres simulation'!$B$17*0.1,"Eau critique",IF(I7&lt;'Paramètres simulation'!$B$18*0.1,"Nourriture critique",IF(M7&lt;'Paramètres simulation'!$B$19*0.1,"Carburant critique","OK"))))))</f>
        <v/>
      </c>
    </row>
    <row r="8">
      <c r="A8" s="19" t="n">
        <v>7</v>
      </c>
      <c r="B8" s="23">
        <f>MIN('Paramètres simulation'!$B$17,E7)</f>
        <v/>
      </c>
      <c r="C8" s="23">
        <f>'Paramètres simulation'!$B$7</f>
        <v/>
      </c>
      <c r="D8" s="23">
        <f>'Paramètres simulation'!$B$2*'Paramètres simulation'!$B$3</f>
        <v/>
      </c>
      <c r="E8" s="23">
        <f>MAX(0,MIN('Paramètres simulation'!$B$17,B8+C8-D8))</f>
        <v/>
      </c>
      <c r="F8" s="23">
        <f>MIN('Paramètres simulation'!$B$18,I7)</f>
        <v/>
      </c>
      <c r="G8" s="23">
        <f>'Paramètres simulation'!$B$8+'Paramètres simulation'!$B$9</f>
        <v/>
      </c>
      <c r="H8" s="23">
        <f>'Paramètres simulation'!$B$2*'Paramètres simulation'!$B$4</f>
        <v/>
      </c>
      <c r="I8" s="23">
        <f>MAX(0,MIN('Paramètres simulation'!$B$18,F8+G8-H8))</f>
        <v/>
      </c>
      <c r="J8" s="23">
        <f>MIN('Paramètres simulation'!$B$19,M7)</f>
        <v/>
      </c>
      <c r="K8" s="23">
        <f>'Paramètres simulation'!$B$10</f>
        <v/>
      </c>
      <c r="L8" s="23">
        <f>'Paramètres simulation'!$B$5+'Paramètres simulation'!$B$6</f>
        <v/>
      </c>
      <c r="M8" s="23">
        <f>MAX(0,MIN('Paramètres simulation'!$B$19,J8+K8-L8))</f>
        <v/>
      </c>
      <c r="N8" s="19">
        <f>IF(E8&lt;=0,"EAU ÉPUISÉE",IF(I8&lt;=0,"NOURRITURE ÉPUISÉE",IF(M8&lt;=0,"CARBURANT ÉPUISÉ",IF(E8&lt;'Paramètres simulation'!$B$17*0.1,"Eau critique",IF(I8&lt;'Paramètres simulation'!$B$18*0.1,"Nourriture critique",IF(M8&lt;'Paramètres simulation'!$B$19*0.1,"Carburant critique","OK"))))))</f>
        <v/>
      </c>
    </row>
    <row r="9">
      <c r="A9" s="19" t="n">
        <v>8</v>
      </c>
      <c r="B9" s="23">
        <f>MIN('Paramètres simulation'!$B$17,E8)</f>
        <v/>
      </c>
      <c r="C9" s="23">
        <f>'Paramètres simulation'!$B$7</f>
        <v/>
      </c>
      <c r="D9" s="23">
        <f>'Paramètres simulation'!$B$2*'Paramètres simulation'!$B$3</f>
        <v/>
      </c>
      <c r="E9" s="23">
        <f>MAX(0,MIN('Paramètres simulation'!$B$17,B9+C9-D9))</f>
        <v/>
      </c>
      <c r="F9" s="23">
        <f>MIN('Paramètres simulation'!$B$18,I8)</f>
        <v/>
      </c>
      <c r="G9" s="23">
        <f>'Paramètres simulation'!$B$8+'Paramètres simulation'!$B$9</f>
        <v/>
      </c>
      <c r="H9" s="23">
        <f>'Paramètres simulation'!$B$2*'Paramètres simulation'!$B$4</f>
        <v/>
      </c>
      <c r="I9" s="23">
        <f>MAX(0,MIN('Paramètres simulation'!$B$18,F9+G9-H9))</f>
        <v/>
      </c>
      <c r="J9" s="23">
        <f>MIN('Paramètres simulation'!$B$19,M8)</f>
        <v/>
      </c>
      <c r="K9" s="23">
        <f>'Paramètres simulation'!$B$10</f>
        <v/>
      </c>
      <c r="L9" s="23">
        <f>'Paramètres simulation'!$B$5+'Paramètres simulation'!$B$6</f>
        <v/>
      </c>
      <c r="M9" s="23">
        <f>MAX(0,MIN('Paramètres simulation'!$B$19,J9+K9-L9))</f>
        <v/>
      </c>
      <c r="N9" s="19">
        <f>IF(E9&lt;=0,"EAU ÉPUISÉE",IF(I9&lt;=0,"NOURRITURE ÉPUISÉE",IF(M9&lt;=0,"CARBURANT ÉPUISÉ",IF(E9&lt;'Paramètres simulation'!$B$17*0.1,"Eau critique",IF(I9&lt;'Paramètres simulation'!$B$18*0.1,"Nourriture critique",IF(M9&lt;'Paramètres simulation'!$B$19*0.1,"Carburant critique","OK"))))))</f>
        <v/>
      </c>
    </row>
    <row r="10">
      <c r="A10" s="19" t="n">
        <v>9</v>
      </c>
      <c r="B10" s="23">
        <f>MIN('Paramètres simulation'!$B$17,E9)</f>
        <v/>
      </c>
      <c r="C10" s="23">
        <f>'Paramètres simulation'!$B$7</f>
        <v/>
      </c>
      <c r="D10" s="23">
        <f>'Paramètres simulation'!$B$2*'Paramètres simulation'!$B$3</f>
        <v/>
      </c>
      <c r="E10" s="23">
        <f>MAX(0,MIN('Paramètres simulation'!$B$17,B10+C10-D10))</f>
        <v/>
      </c>
      <c r="F10" s="23">
        <f>MIN('Paramètres simulation'!$B$18,I9)</f>
        <v/>
      </c>
      <c r="G10" s="23">
        <f>'Paramètres simulation'!$B$8+'Paramètres simulation'!$B$9</f>
        <v/>
      </c>
      <c r="H10" s="23">
        <f>'Paramètres simulation'!$B$2*'Paramètres simulation'!$B$4</f>
        <v/>
      </c>
      <c r="I10" s="23">
        <f>MAX(0,MIN('Paramètres simulation'!$B$18,F10+G10-H10))</f>
        <v/>
      </c>
      <c r="J10" s="23">
        <f>MIN('Paramètres simulation'!$B$19,M9)</f>
        <v/>
      </c>
      <c r="K10" s="23">
        <f>'Paramètres simulation'!$B$10</f>
        <v/>
      </c>
      <c r="L10" s="23">
        <f>'Paramètres simulation'!$B$5+'Paramètres simulation'!$B$6</f>
        <v/>
      </c>
      <c r="M10" s="23">
        <f>MAX(0,MIN('Paramètres simulation'!$B$19,J10+K10-L10))</f>
        <v/>
      </c>
      <c r="N10" s="19">
        <f>IF(E10&lt;=0,"EAU ÉPUISÉE",IF(I10&lt;=0,"NOURRITURE ÉPUISÉE",IF(M10&lt;=0,"CARBURANT ÉPUISÉ",IF(E10&lt;'Paramètres simulation'!$B$17*0.1,"Eau critique",IF(I10&lt;'Paramètres simulation'!$B$18*0.1,"Nourriture critique",IF(M10&lt;'Paramètres simulation'!$B$19*0.1,"Carburant critique","OK"))))))</f>
        <v/>
      </c>
    </row>
    <row r="11">
      <c r="A11" s="19" t="n">
        <v>10</v>
      </c>
      <c r="B11" s="23">
        <f>MIN('Paramètres simulation'!$B$17,E10)</f>
        <v/>
      </c>
      <c r="C11" s="23">
        <f>'Paramètres simulation'!$B$7</f>
        <v/>
      </c>
      <c r="D11" s="23">
        <f>'Paramètres simulation'!$B$2*'Paramètres simulation'!$B$3</f>
        <v/>
      </c>
      <c r="E11" s="23">
        <f>MAX(0,MIN('Paramètres simulation'!$B$17,B11+C11-D11))</f>
        <v/>
      </c>
      <c r="F11" s="23">
        <f>MIN('Paramètres simulation'!$B$18,I10)</f>
        <v/>
      </c>
      <c r="G11" s="23">
        <f>'Paramètres simulation'!$B$8+'Paramètres simulation'!$B$9</f>
        <v/>
      </c>
      <c r="H11" s="23">
        <f>'Paramètres simulation'!$B$2*'Paramètres simulation'!$B$4</f>
        <v/>
      </c>
      <c r="I11" s="23">
        <f>MAX(0,MIN('Paramètres simulation'!$B$18,F11+G11-H11))</f>
        <v/>
      </c>
      <c r="J11" s="23">
        <f>MIN('Paramètres simulation'!$B$19,M10)</f>
        <v/>
      </c>
      <c r="K11" s="23">
        <f>'Paramètres simulation'!$B$10</f>
        <v/>
      </c>
      <c r="L11" s="23">
        <f>'Paramètres simulation'!$B$5+'Paramètres simulation'!$B$6</f>
        <v/>
      </c>
      <c r="M11" s="23">
        <f>MAX(0,MIN('Paramètres simulation'!$B$19,J11+K11-L11))</f>
        <v/>
      </c>
      <c r="N11" s="19">
        <f>IF(E11&lt;=0,"EAU ÉPUISÉE",IF(I11&lt;=0,"NOURRITURE ÉPUISÉE",IF(M11&lt;=0,"CARBURANT ÉPUISÉ",IF(E11&lt;'Paramètres simulation'!$B$17*0.1,"Eau critique",IF(I11&lt;'Paramètres simulation'!$B$18*0.1,"Nourriture critique",IF(M11&lt;'Paramètres simulation'!$B$19*0.1,"Carburant critique","OK"))))))</f>
        <v/>
      </c>
    </row>
    <row r="12">
      <c r="A12" s="19" t="n">
        <v>11</v>
      </c>
      <c r="B12" s="23">
        <f>MIN('Paramètres simulation'!$B$17,E11)</f>
        <v/>
      </c>
      <c r="C12" s="23">
        <f>'Paramètres simulation'!$B$7</f>
        <v/>
      </c>
      <c r="D12" s="23">
        <f>'Paramètres simulation'!$B$2*'Paramètres simulation'!$B$3</f>
        <v/>
      </c>
      <c r="E12" s="23">
        <f>MAX(0,MIN('Paramètres simulation'!$B$17,B12+C12-D12))</f>
        <v/>
      </c>
      <c r="F12" s="23">
        <f>MIN('Paramètres simulation'!$B$18,I11)</f>
        <v/>
      </c>
      <c r="G12" s="23">
        <f>'Paramètres simulation'!$B$8+'Paramètres simulation'!$B$9</f>
        <v/>
      </c>
      <c r="H12" s="23">
        <f>'Paramètres simulation'!$B$2*'Paramètres simulation'!$B$4</f>
        <v/>
      </c>
      <c r="I12" s="23">
        <f>MAX(0,MIN('Paramètres simulation'!$B$18,F12+G12-H12))</f>
        <v/>
      </c>
      <c r="J12" s="23">
        <f>MIN('Paramètres simulation'!$B$19,M11)</f>
        <v/>
      </c>
      <c r="K12" s="23">
        <f>'Paramètres simulation'!$B$10</f>
        <v/>
      </c>
      <c r="L12" s="23">
        <f>'Paramètres simulation'!$B$5+'Paramètres simulation'!$B$6</f>
        <v/>
      </c>
      <c r="M12" s="23">
        <f>MAX(0,MIN('Paramètres simulation'!$B$19,J12+K12-L12))</f>
        <v/>
      </c>
      <c r="N12" s="19">
        <f>IF(E12&lt;=0,"EAU ÉPUISÉE",IF(I12&lt;=0,"NOURRITURE ÉPUISÉE",IF(M12&lt;=0,"CARBURANT ÉPUISÉ",IF(E12&lt;'Paramètres simulation'!$B$17*0.1,"Eau critique",IF(I12&lt;'Paramètres simulation'!$B$18*0.1,"Nourriture critique",IF(M12&lt;'Paramètres simulation'!$B$19*0.1,"Carburant critique","OK"))))))</f>
        <v/>
      </c>
    </row>
    <row r="13">
      <c r="A13" s="19" t="n">
        <v>12</v>
      </c>
      <c r="B13" s="23">
        <f>MIN('Paramètres simulation'!$B$17,E12)</f>
        <v/>
      </c>
      <c r="C13" s="23">
        <f>'Paramètres simulation'!$B$7</f>
        <v/>
      </c>
      <c r="D13" s="23">
        <f>'Paramètres simulation'!$B$2*'Paramètres simulation'!$B$3</f>
        <v/>
      </c>
      <c r="E13" s="23">
        <f>MAX(0,MIN('Paramètres simulation'!$B$17,B13+C13-D13))</f>
        <v/>
      </c>
      <c r="F13" s="23">
        <f>MIN('Paramètres simulation'!$B$18,I12)</f>
        <v/>
      </c>
      <c r="G13" s="23">
        <f>'Paramètres simulation'!$B$8+'Paramètres simulation'!$B$9</f>
        <v/>
      </c>
      <c r="H13" s="23">
        <f>'Paramètres simulation'!$B$2*'Paramètres simulation'!$B$4</f>
        <v/>
      </c>
      <c r="I13" s="23">
        <f>MAX(0,MIN('Paramètres simulation'!$B$18,F13+G13-H13))</f>
        <v/>
      </c>
      <c r="J13" s="23">
        <f>MIN('Paramètres simulation'!$B$19,M12)</f>
        <v/>
      </c>
      <c r="K13" s="23">
        <f>'Paramètres simulation'!$B$10</f>
        <v/>
      </c>
      <c r="L13" s="23">
        <f>'Paramètres simulation'!$B$5+'Paramètres simulation'!$B$6</f>
        <v/>
      </c>
      <c r="M13" s="23">
        <f>MAX(0,MIN('Paramètres simulation'!$B$19,J13+K13-L13))</f>
        <v/>
      </c>
      <c r="N13" s="19">
        <f>IF(E13&lt;=0,"EAU ÉPUISÉE",IF(I13&lt;=0,"NOURRITURE ÉPUISÉE",IF(M13&lt;=0,"CARBURANT ÉPUISÉ",IF(E13&lt;'Paramètres simulation'!$B$17*0.1,"Eau critique",IF(I13&lt;'Paramètres simulation'!$B$18*0.1,"Nourriture critique",IF(M13&lt;'Paramètres simulation'!$B$19*0.1,"Carburant critique","OK"))))))</f>
        <v/>
      </c>
    </row>
    <row r="14">
      <c r="A14" s="19" t="n">
        <v>13</v>
      </c>
      <c r="B14" s="23">
        <f>MIN('Paramètres simulation'!$B$17,E13)</f>
        <v/>
      </c>
      <c r="C14" s="23">
        <f>'Paramètres simulation'!$B$7</f>
        <v/>
      </c>
      <c r="D14" s="23">
        <f>'Paramètres simulation'!$B$2*'Paramètres simulation'!$B$3</f>
        <v/>
      </c>
      <c r="E14" s="23">
        <f>MAX(0,MIN('Paramètres simulation'!$B$17,B14+C14-D14))</f>
        <v/>
      </c>
      <c r="F14" s="23">
        <f>MIN('Paramètres simulation'!$B$18,I13)</f>
        <v/>
      </c>
      <c r="G14" s="23">
        <f>'Paramètres simulation'!$B$8+'Paramètres simulation'!$B$9</f>
        <v/>
      </c>
      <c r="H14" s="23">
        <f>'Paramètres simulation'!$B$2*'Paramètres simulation'!$B$4</f>
        <v/>
      </c>
      <c r="I14" s="23">
        <f>MAX(0,MIN('Paramètres simulation'!$B$18,F14+G14-H14))</f>
        <v/>
      </c>
      <c r="J14" s="23">
        <f>MIN('Paramètres simulation'!$B$19,M13)</f>
        <v/>
      </c>
      <c r="K14" s="23">
        <f>'Paramètres simulation'!$B$10</f>
        <v/>
      </c>
      <c r="L14" s="23">
        <f>'Paramètres simulation'!$B$5+'Paramètres simulation'!$B$6</f>
        <v/>
      </c>
      <c r="M14" s="23">
        <f>MAX(0,MIN('Paramètres simulation'!$B$19,J14+K14-L14))</f>
        <v/>
      </c>
      <c r="N14" s="19">
        <f>IF(E14&lt;=0,"EAU ÉPUISÉE",IF(I14&lt;=0,"NOURRITURE ÉPUISÉE",IF(M14&lt;=0,"CARBURANT ÉPUISÉ",IF(E14&lt;'Paramètres simulation'!$B$17*0.1,"Eau critique",IF(I14&lt;'Paramètres simulation'!$B$18*0.1,"Nourriture critique",IF(M14&lt;'Paramètres simulation'!$B$19*0.1,"Carburant critique","OK"))))))</f>
        <v/>
      </c>
    </row>
    <row r="15">
      <c r="A15" s="19" t="n">
        <v>14</v>
      </c>
      <c r="B15" s="23">
        <f>MIN('Paramètres simulation'!$B$17,E14)</f>
        <v/>
      </c>
      <c r="C15" s="23">
        <f>'Paramètres simulation'!$B$7</f>
        <v/>
      </c>
      <c r="D15" s="23">
        <f>'Paramètres simulation'!$B$2*'Paramètres simulation'!$B$3</f>
        <v/>
      </c>
      <c r="E15" s="23">
        <f>MAX(0,MIN('Paramètres simulation'!$B$17,B15+C15-D15))</f>
        <v/>
      </c>
      <c r="F15" s="23">
        <f>MIN('Paramètres simulation'!$B$18,I14)</f>
        <v/>
      </c>
      <c r="G15" s="23">
        <f>'Paramètres simulation'!$B$8+'Paramètres simulation'!$B$9</f>
        <v/>
      </c>
      <c r="H15" s="23">
        <f>'Paramètres simulation'!$B$2*'Paramètres simulation'!$B$4</f>
        <v/>
      </c>
      <c r="I15" s="23">
        <f>MAX(0,MIN('Paramètres simulation'!$B$18,F15+G15-H15))</f>
        <v/>
      </c>
      <c r="J15" s="23">
        <f>MIN('Paramètres simulation'!$B$19,M14)</f>
        <v/>
      </c>
      <c r="K15" s="23">
        <f>'Paramètres simulation'!$B$10</f>
        <v/>
      </c>
      <c r="L15" s="23">
        <f>'Paramètres simulation'!$B$5+'Paramètres simulation'!$B$6</f>
        <v/>
      </c>
      <c r="M15" s="23">
        <f>MAX(0,MIN('Paramètres simulation'!$B$19,J15+K15-L15))</f>
        <v/>
      </c>
      <c r="N15" s="19">
        <f>IF(E15&lt;=0,"EAU ÉPUISÉE",IF(I15&lt;=0,"NOURRITURE ÉPUISÉE",IF(M15&lt;=0,"CARBURANT ÉPUISÉ",IF(E15&lt;'Paramètres simulation'!$B$17*0.1,"Eau critique",IF(I15&lt;'Paramètres simulation'!$B$18*0.1,"Nourriture critique",IF(M15&lt;'Paramètres simulation'!$B$19*0.1,"Carburant critique","OK"))))))</f>
        <v/>
      </c>
    </row>
    <row r="16">
      <c r="A16" s="19" t="n">
        <v>15</v>
      </c>
      <c r="B16" s="23">
        <f>MIN('Paramètres simulation'!$B$17,E15)</f>
        <v/>
      </c>
      <c r="C16" s="23">
        <f>'Paramètres simulation'!$B$7</f>
        <v/>
      </c>
      <c r="D16" s="23">
        <f>'Paramètres simulation'!$B$2*'Paramètres simulation'!$B$3</f>
        <v/>
      </c>
      <c r="E16" s="23">
        <f>MAX(0,MIN('Paramètres simulation'!$B$17,B16+C16-D16))</f>
        <v/>
      </c>
      <c r="F16" s="23">
        <f>MIN('Paramètres simulation'!$B$18,I15)</f>
        <v/>
      </c>
      <c r="G16" s="23">
        <f>'Paramètres simulation'!$B$8+'Paramètres simulation'!$B$9</f>
        <v/>
      </c>
      <c r="H16" s="23">
        <f>'Paramètres simulation'!$B$2*'Paramètres simulation'!$B$4</f>
        <v/>
      </c>
      <c r="I16" s="23">
        <f>MAX(0,MIN('Paramètres simulation'!$B$18,F16+G16-H16))</f>
        <v/>
      </c>
      <c r="J16" s="23">
        <f>MIN('Paramètres simulation'!$B$19,M15)</f>
        <v/>
      </c>
      <c r="K16" s="23">
        <f>'Paramètres simulation'!$B$10</f>
        <v/>
      </c>
      <c r="L16" s="23">
        <f>'Paramètres simulation'!$B$5+'Paramètres simulation'!$B$6</f>
        <v/>
      </c>
      <c r="M16" s="23">
        <f>MAX(0,MIN('Paramètres simulation'!$B$19,J16+K16-L16))</f>
        <v/>
      </c>
      <c r="N16" s="19">
        <f>IF(E16&lt;=0,"EAU ÉPUISÉE",IF(I16&lt;=0,"NOURRITURE ÉPUISÉE",IF(M16&lt;=0,"CARBURANT ÉPUISÉ",IF(E16&lt;'Paramètres simulation'!$B$17*0.1,"Eau critique",IF(I16&lt;'Paramètres simulation'!$B$18*0.1,"Nourriture critique",IF(M16&lt;'Paramètres simulation'!$B$19*0.1,"Carburant critique","OK"))))))</f>
        <v/>
      </c>
    </row>
    <row r="17">
      <c r="A17" s="19" t="n">
        <v>16</v>
      </c>
      <c r="B17" s="23">
        <f>MIN('Paramètres simulation'!$B$17,E16)</f>
        <v/>
      </c>
      <c r="C17" s="23">
        <f>'Paramètres simulation'!$B$7</f>
        <v/>
      </c>
      <c r="D17" s="23">
        <f>'Paramètres simulation'!$B$2*'Paramètres simulation'!$B$3</f>
        <v/>
      </c>
      <c r="E17" s="23">
        <f>MAX(0,MIN('Paramètres simulation'!$B$17,B17+C17-D17))</f>
        <v/>
      </c>
      <c r="F17" s="23">
        <f>MIN('Paramètres simulation'!$B$18,I16)</f>
        <v/>
      </c>
      <c r="G17" s="23">
        <f>'Paramètres simulation'!$B$8+'Paramètres simulation'!$B$9</f>
        <v/>
      </c>
      <c r="H17" s="23">
        <f>'Paramètres simulation'!$B$2*'Paramètres simulation'!$B$4</f>
        <v/>
      </c>
      <c r="I17" s="23">
        <f>MAX(0,MIN('Paramètres simulation'!$B$18,F17+G17-H17))</f>
        <v/>
      </c>
      <c r="J17" s="23">
        <f>MIN('Paramètres simulation'!$B$19,M16)</f>
        <v/>
      </c>
      <c r="K17" s="23">
        <f>'Paramètres simulation'!$B$10</f>
        <v/>
      </c>
      <c r="L17" s="23">
        <f>'Paramètres simulation'!$B$5+'Paramètres simulation'!$B$6</f>
        <v/>
      </c>
      <c r="M17" s="23">
        <f>MAX(0,MIN('Paramètres simulation'!$B$19,J17+K17-L17))</f>
        <v/>
      </c>
      <c r="N17" s="19">
        <f>IF(E17&lt;=0,"EAU ÉPUISÉE",IF(I17&lt;=0,"NOURRITURE ÉPUISÉE",IF(M17&lt;=0,"CARBURANT ÉPUISÉ",IF(E17&lt;'Paramètres simulation'!$B$17*0.1,"Eau critique",IF(I17&lt;'Paramètres simulation'!$B$18*0.1,"Nourriture critique",IF(M17&lt;'Paramètres simulation'!$B$19*0.1,"Carburant critique","OK"))))))</f>
        <v/>
      </c>
    </row>
    <row r="18">
      <c r="A18" s="19" t="n">
        <v>17</v>
      </c>
      <c r="B18" s="23">
        <f>MIN('Paramètres simulation'!$B$17,E17)</f>
        <v/>
      </c>
      <c r="C18" s="23">
        <f>'Paramètres simulation'!$B$7</f>
        <v/>
      </c>
      <c r="D18" s="23">
        <f>'Paramètres simulation'!$B$2*'Paramètres simulation'!$B$3</f>
        <v/>
      </c>
      <c r="E18" s="23">
        <f>MAX(0,MIN('Paramètres simulation'!$B$17,B18+C18-D18))</f>
        <v/>
      </c>
      <c r="F18" s="23">
        <f>MIN('Paramètres simulation'!$B$18,I17)</f>
        <v/>
      </c>
      <c r="G18" s="23">
        <f>'Paramètres simulation'!$B$8+'Paramètres simulation'!$B$9</f>
        <v/>
      </c>
      <c r="H18" s="23">
        <f>'Paramètres simulation'!$B$2*'Paramètres simulation'!$B$4</f>
        <v/>
      </c>
      <c r="I18" s="23">
        <f>MAX(0,MIN('Paramètres simulation'!$B$18,F18+G18-H18))</f>
        <v/>
      </c>
      <c r="J18" s="23">
        <f>MIN('Paramètres simulation'!$B$19,M17)</f>
        <v/>
      </c>
      <c r="K18" s="23">
        <f>'Paramètres simulation'!$B$10</f>
        <v/>
      </c>
      <c r="L18" s="23">
        <f>'Paramètres simulation'!$B$5+'Paramètres simulation'!$B$6</f>
        <v/>
      </c>
      <c r="M18" s="23">
        <f>MAX(0,MIN('Paramètres simulation'!$B$19,J18+K18-L18))</f>
        <v/>
      </c>
      <c r="N18" s="19">
        <f>IF(E18&lt;=0,"EAU ÉPUISÉE",IF(I18&lt;=0,"NOURRITURE ÉPUISÉE",IF(M18&lt;=0,"CARBURANT ÉPUISÉ",IF(E18&lt;'Paramètres simulation'!$B$17*0.1,"Eau critique",IF(I18&lt;'Paramètres simulation'!$B$18*0.1,"Nourriture critique",IF(M18&lt;'Paramètres simulation'!$B$19*0.1,"Carburant critique","OK"))))))</f>
        <v/>
      </c>
    </row>
    <row r="19">
      <c r="A19" s="19" t="n">
        <v>18</v>
      </c>
      <c r="B19" s="23">
        <f>MIN('Paramètres simulation'!$B$17,E18)</f>
        <v/>
      </c>
      <c r="C19" s="23">
        <f>'Paramètres simulation'!$B$7</f>
        <v/>
      </c>
      <c r="D19" s="23">
        <f>'Paramètres simulation'!$B$2*'Paramètres simulation'!$B$3</f>
        <v/>
      </c>
      <c r="E19" s="23">
        <f>MAX(0,MIN('Paramètres simulation'!$B$17,B19+C19-D19))</f>
        <v/>
      </c>
      <c r="F19" s="23">
        <f>MIN('Paramètres simulation'!$B$18,I18)</f>
        <v/>
      </c>
      <c r="G19" s="23">
        <f>'Paramètres simulation'!$B$8+'Paramètres simulation'!$B$9</f>
        <v/>
      </c>
      <c r="H19" s="23">
        <f>'Paramètres simulation'!$B$2*'Paramètres simulation'!$B$4</f>
        <v/>
      </c>
      <c r="I19" s="23">
        <f>MAX(0,MIN('Paramètres simulation'!$B$18,F19+G19-H19))</f>
        <v/>
      </c>
      <c r="J19" s="23">
        <f>MIN('Paramètres simulation'!$B$19,M18)</f>
        <v/>
      </c>
      <c r="K19" s="23">
        <f>'Paramètres simulation'!$B$10</f>
        <v/>
      </c>
      <c r="L19" s="23">
        <f>'Paramètres simulation'!$B$5+'Paramètres simulation'!$B$6</f>
        <v/>
      </c>
      <c r="M19" s="23">
        <f>MAX(0,MIN('Paramètres simulation'!$B$19,J19+K19-L19))</f>
        <v/>
      </c>
      <c r="N19" s="19">
        <f>IF(E19&lt;=0,"EAU ÉPUISÉE",IF(I19&lt;=0,"NOURRITURE ÉPUISÉE",IF(M19&lt;=0,"CARBURANT ÉPUISÉ",IF(E19&lt;'Paramètres simulation'!$B$17*0.1,"Eau critique",IF(I19&lt;'Paramètres simulation'!$B$18*0.1,"Nourriture critique",IF(M19&lt;'Paramètres simulation'!$B$19*0.1,"Carburant critique","OK"))))))</f>
        <v/>
      </c>
    </row>
    <row r="20">
      <c r="A20" s="19" t="n">
        <v>19</v>
      </c>
      <c r="B20" s="23">
        <f>MIN('Paramètres simulation'!$B$17,E19)</f>
        <v/>
      </c>
      <c r="C20" s="23">
        <f>'Paramètres simulation'!$B$7</f>
        <v/>
      </c>
      <c r="D20" s="23">
        <f>'Paramètres simulation'!$B$2*'Paramètres simulation'!$B$3</f>
        <v/>
      </c>
      <c r="E20" s="23">
        <f>MAX(0,MIN('Paramètres simulation'!$B$17,B20+C20-D20))</f>
        <v/>
      </c>
      <c r="F20" s="23">
        <f>MIN('Paramètres simulation'!$B$18,I19)</f>
        <v/>
      </c>
      <c r="G20" s="23">
        <f>'Paramètres simulation'!$B$8+'Paramètres simulation'!$B$9</f>
        <v/>
      </c>
      <c r="H20" s="23">
        <f>'Paramètres simulation'!$B$2*'Paramètres simulation'!$B$4</f>
        <v/>
      </c>
      <c r="I20" s="23">
        <f>MAX(0,MIN('Paramètres simulation'!$B$18,F20+G20-H20))</f>
        <v/>
      </c>
      <c r="J20" s="23">
        <f>MIN('Paramètres simulation'!$B$19,M19)</f>
        <v/>
      </c>
      <c r="K20" s="23">
        <f>'Paramètres simulation'!$B$10</f>
        <v/>
      </c>
      <c r="L20" s="23">
        <f>'Paramètres simulation'!$B$5+'Paramètres simulation'!$B$6</f>
        <v/>
      </c>
      <c r="M20" s="23">
        <f>MAX(0,MIN('Paramètres simulation'!$B$19,J20+K20-L20))</f>
        <v/>
      </c>
      <c r="N20" s="19">
        <f>IF(E20&lt;=0,"EAU ÉPUISÉE",IF(I20&lt;=0,"NOURRITURE ÉPUISÉE",IF(M20&lt;=0,"CARBURANT ÉPUISÉ",IF(E20&lt;'Paramètres simulation'!$B$17*0.1,"Eau critique",IF(I20&lt;'Paramètres simulation'!$B$18*0.1,"Nourriture critique",IF(M20&lt;'Paramètres simulation'!$B$19*0.1,"Carburant critique","OK"))))))</f>
        <v/>
      </c>
    </row>
    <row r="21">
      <c r="A21" s="19" t="n">
        <v>20</v>
      </c>
      <c r="B21" s="23">
        <f>MIN('Paramètres simulation'!$B$17,E20)</f>
        <v/>
      </c>
      <c r="C21" s="23">
        <f>'Paramètres simulation'!$B$7</f>
        <v/>
      </c>
      <c r="D21" s="23">
        <f>'Paramètres simulation'!$B$2*'Paramètres simulation'!$B$3</f>
        <v/>
      </c>
      <c r="E21" s="23">
        <f>MAX(0,MIN('Paramètres simulation'!$B$17,B21+C21-D21))</f>
        <v/>
      </c>
      <c r="F21" s="23">
        <f>MIN('Paramètres simulation'!$B$18,I20)</f>
        <v/>
      </c>
      <c r="G21" s="23">
        <f>'Paramètres simulation'!$B$8+'Paramètres simulation'!$B$9</f>
        <v/>
      </c>
      <c r="H21" s="23">
        <f>'Paramètres simulation'!$B$2*'Paramètres simulation'!$B$4</f>
        <v/>
      </c>
      <c r="I21" s="23">
        <f>MAX(0,MIN('Paramètres simulation'!$B$18,F21+G21-H21))</f>
        <v/>
      </c>
      <c r="J21" s="23">
        <f>MIN('Paramètres simulation'!$B$19,M20)</f>
        <v/>
      </c>
      <c r="K21" s="23">
        <f>'Paramètres simulation'!$B$10</f>
        <v/>
      </c>
      <c r="L21" s="23">
        <f>'Paramètres simulation'!$B$5+'Paramètres simulation'!$B$6</f>
        <v/>
      </c>
      <c r="M21" s="23">
        <f>MAX(0,MIN('Paramètres simulation'!$B$19,J21+K21-L21))</f>
        <v/>
      </c>
      <c r="N21" s="19">
        <f>IF(E21&lt;=0,"EAU ÉPUISÉE",IF(I21&lt;=0,"NOURRITURE ÉPUISÉE",IF(M21&lt;=0,"CARBURANT ÉPUISÉ",IF(E21&lt;'Paramètres simulation'!$B$17*0.1,"Eau critique",IF(I21&lt;'Paramètres simulation'!$B$18*0.1,"Nourriture critique",IF(M21&lt;'Paramètres simulation'!$B$19*0.1,"Carburant critique","OK"))))))</f>
        <v/>
      </c>
    </row>
    <row r="22">
      <c r="A22" s="19" t="n">
        <v>21</v>
      </c>
      <c r="B22" s="23">
        <f>MIN('Paramètres simulation'!$B$17,E21)</f>
        <v/>
      </c>
      <c r="C22" s="23">
        <f>'Paramètres simulation'!$B$7</f>
        <v/>
      </c>
      <c r="D22" s="23">
        <f>'Paramètres simulation'!$B$2*'Paramètres simulation'!$B$3</f>
        <v/>
      </c>
      <c r="E22" s="23">
        <f>MAX(0,MIN('Paramètres simulation'!$B$17,B22+C22-D22))</f>
        <v/>
      </c>
      <c r="F22" s="23">
        <f>MIN('Paramètres simulation'!$B$18,I21)</f>
        <v/>
      </c>
      <c r="G22" s="23">
        <f>'Paramètres simulation'!$B$8+'Paramètres simulation'!$B$9</f>
        <v/>
      </c>
      <c r="H22" s="23">
        <f>'Paramètres simulation'!$B$2*'Paramètres simulation'!$B$4</f>
        <v/>
      </c>
      <c r="I22" s="23">
        <f>MAX(0,MIN('Paramètres simulation'!$B$18,F22+G22-H22))</f>
        <v/>
      </c>
      <c r="J22" s="23">
        <f>MIN('Paramètres simulation'!$B$19,M21)</f>
        <v/>
      </c>
      <c r="K22" s="23">
        <f>'Paramètres simulation'!$B$10</f>
        <v/>
      </c>
      <c r="L22" s="23">
        <f>'Paramètres simulation'!$B$5+'Paramètres simulation'!$B$6</f>
        <v/>
      </c>
      <c r="M22" s="23">
        <f>MAX(0,MIN('Paramètres simulation'!$B$19,J22+K22-L22))</f>
        <v/>
      </c>
      <c r="N22" s="19">
        <f>IF(E22&lt;=0,"EAU ÉPUISÉE",IF(I22&lt;=0,"NOURRITURE ÉPUISÉE",IF(M22&lt;=0,"CARBURANT ÉPUISÉ",IF(E22&lt;'Paramètres simulation'!$B$17*0.1,"Eau critique",IF(I22&lt;'Paramètres simulation'!$B$18*0.1,"Nourriture critique",IF(M22&lt;'Paramètres simulation'!$B$19*0.1,"Carburant critique","OK"))))))</f>
        <v/>
      </c>
    </row>
    <row r="23">
      <c r="A23" s="19" t="n">
        <v>22</v>
      </c>
      <c r="B23" s="23">
        <f>MIN('Paramètres simulation'!$B$17,E22)</f>
        <v/>
      </c>
      <c r="C23" s="23">
        <f>'Paramètres simulation'!$B$7</f>
        <v/>
      </c>
      <c r="D23" s="23">
        <f>'Paramètres simulation'!$B$2*'Paramètres simulation'!$B$3</f>
        <v/>
      </c>
      <c r="E23" s="23">
        <f>MAX(0,MIN('Paramètres simulation'!$B$17,B23+C23-D23))</f>
        <v/>
      </c>
      <c r="F23" s="23">
        <f>MIN('Paramètres simulation'!$B$18,I22)</f>
        <v/>
      </c>
      <c r="G23" s="23">
        <f>'Paramètres simulation'!$B$8+'Paramètres simulation'!$B$9</f>
        <v/>
      </c>
      <c r="H23" s="23">
        <f>'Paramètres simulation'!$B$2*'Paramètres simulation'!$B$4</f>
        <v/>
      </c>
      <c r="I23" s="23">
        <f>MAX(0,MIN('Paramètres simulation'!$B$18,F23+G23-H23))</f>
        <v/>
      </c>
      <c r="J23" s="23">
        <f>MIN('Paramètres simulation'!$B$19,M22)</f>
        <v/>
      </c>
      <c r="K23" s="23">
        <f>'Paramètres simulation'!$B$10</f>
        <v/>
      </c>
      <c r="L23" s="23">
        <f>'Paramètres simulation'!$B$5+'Paramètres simulation'!$B$6</f>
        <v/>
      </c>
      <c r="M23" s="23">
        <f>MAX(0,MIN('Paramètres simulation'!$B$19,J23+K23-L23))</f>
        <v/>
      </c>
      <c r="N23" s="19">
        <f>IF(E23&lt;=0,"EAU ÉPUISÉE",IF(I23&lt;=0,"NOURRITURE ÉPUISÉE",IF(M23&lt;=0,"CARBURANT ÉPUISÉ",IF(E23&lt;'Paramètres simulation'!$B$17*0.1,"Eau critique",IF(I23&lt;'Paramètres simulation'!$B$18*0.1,"Nourriture critique",IF(M23&lt;'Paramètres simulation'!$B$19*0.1,"Carburant critique","OK"))))))</f>
        <v/>
      </c>
    </row>
    <row r="24">
      <c r="A24" s="19" t="n">
        <v>23</v>
      </c>
      <c r="B24" s="23">
        <f>MIN('Paramètres simulation'!$B$17,E23)</f>
        <v/>
      </c>
      <c r="C24" s="23">
        <f>'Paramètres simulation'!$B$7</f>
        <v/>
      </c>
      <c r="D24" s="23">
        <f>'Paramètres simulation'!$B$2*'Paramètres simulation'!$B$3</f>
        <v/>
      </c>
      <c r="E24" s="23">
        <f>MAX(0,MIN('Paramètres simulation'!$B$17,B24+C24-D24))</f>
        <v/>
      </c>
      <c r="F24" s="23">
        <f>MIN('Paramètres simulation'!$B$18,I23)</f>
        <v/>
      </c>
      <c r="G24" s="23">
        <f>'Paramètres simulation'!$B$8+'Paramètres simulation'!$B$9</f>
        <v/>
      </c>
      <c r="H24" s="23">
        <f>'Paramètres simulation'!$B$2*'Paramètres simulation'!$B$4</f>
        <v/>
      </c>
      <c r="I24" s="23">
        <f>MAX(0,MIN('Paramètres simulation'!$B$18,F24+G24-H24))</f>
        <v/>
      </c>
      <c r="J24" s="23">
        <f>MIN('Paramètres simulation'!$B$19,M23)</f>
        <v/>
      </c>
      <c r="K24" s="23">
        <f>'Paramètres simulation'!$B$10</f>
        <v/>
      </c>
      <c r="L24" s="23">
        <f>'Paramètres simulation'!$B$5+'Paramètres simulation'!$B$6</f>
        <v/>
      </c>
      <c r="M24" s="23">
        <f>MAX(0,MIN('Paramètres simulation'!$B$19,J24+K24-L24))</f>
        <v/>
      </c>
      <c r="N24" s="19">
        <f>IF(E24&lt;=0,"EAU ÉPUISÉE",IF(I24&lt;=0,"NOURRITURE ÉPUISÉE",IF(M24&lt;=0,"CARBURANT ÉPUISÉ",IF(E24&lt;'Paramètres simulation'!$B$17*0.1,"Eau critique",IF(I24&lt;'Paramètres simulation'!$B$18*0.1,"Nourriture critique",IF(M24&lt;'Paramètres simulation'!$B$19*0.1,"Carburant critique","OK"))))))</f>
        <v/>
      </c>
    </row>
    <row r="25">
      <c r="A25" s="19" t="n">
        <v>24</v>
      </c>
      <c r="B25" s="23">
        <f>MIN('Paramètres simulation'!$B$17,E24)</f>
        <v/>
      </c>
      <c r="C25" s="23">
        <f>'Paramètres simulation'!$B$7</f>
        <v/>
      </c>
      <c r="D25" s="23">
        <f>'Paramètres simulation'!$B$2*'Paramètres simulation'!$B$3</f>
        <v/>
      </c>
      <c r="E25" s="23">
        <f>MAX(0,MIN('Paramètres simulation'!$B$17,B25+C25-D25))</f>
        <v/>
      </c>
      <c r="F25" s="23">
        <f>MIN('Paramètres simulation'!$B$18,I24)</f>
        <v/>
      </c>
      <c r="G25" s="23">
        <f>'Paramètres simulation'!$B$8+'Paramètres simulation'!$B$9</f>
        <v/>
      </c>
      <c r="H25" s="23">
        <f>'Paramètres simulation'!$B$2*'Paramètres simulation'!$B$4</f>
        <v/>
      </c>
      <c r="I25" s="23">
        <f>MAX(0,MIN('Paramètres simulation'!$B$18,F25+G25-H25))</f>
        <v/>
      </c>
      <c r="J25" s="23">
        <f>MIN('Paramètres simulation'!$B$19,M24)</f>
        <v/>
      </c>
      <c r="K25" s="23">
        <f>'Paramètres simulation'!$B$10</f>
        <v/>
      </c>
      <c r="L25" s="23">
        <f>'Paramètres simulation'!$B$5+'Paramètres simulation'!$B$6</f>
        <v/>
      </c>
      <c r="M25" s="23">
        <f>MAX(0,MIN('Paramètres simulation'!$B$19,J25+K25-L25))</f>
        <v/>
      </c>
      <c r="N25" s="19">
        <f>IF(E25&lt;=0,"EAU ÉPUISÉE",IF(I25&lt;=0,"NOURRITURE ÉPUISÉE",IF(M25&lt;=0,"CARBURANT ÉPUISÉ",IF(E25&lt;'Paramètres simulation'!$B$17*0.1,"Eau critique",IF(I25&lt;'Paramètres simulation'!$B$18*0.1,"Nourriture critique",IF(M25&lt;'Paramètres simulation'!$B$19*0.1,"Carburant critique","OK"))))))</f>
        <v/>
      </c>
    </row>
    <row r="26">
      <c r="A26" s="19" t="n">
        <v>25</v>
      </c>
      <c r="B26" s="23">
        <f>MIN('Paramètres simulation'!$B$17,E25)</f>
        <v/>
      </c>
      <c r="C26" s="23">
        <f>'Paramètres simulation'!$B$7</f>
        <v/>
      </c>
      <c r="D26" s="23">
        <f>'Paramètres simulation'!$B$2*'Paramètres simulation'!$B$3</f>
        <v/>
      </c>
      <c r="E26" s="23">
        <f>MAX(0,MIN('Paramètres simulation'!$B$17,B26+C26-D26))</f>
        <v/>
      </c>
      <c r="F26" s="23">
        <f>MIN('Paramètres simulation'!$B$18,I25)</f>
        <v/>
      </c>
      <c r="G26" s="23">
        <f>'Paramètres simulation'!$B$8+'Paramètres simulation'!$B$9</f>
        <v/>
      </c>
      <c r="H26" s="23">
        <f>'Paramètres simulation'!$B$2*'Paramètres simulation'!$B$4</f>
        <v/>
      </c>
      <c r="I26" s="23">
        <f>MAX(0,MIN('Paramètres simulation'!$B$18,F26+G26-H26))</f>
        <v/>
      </c>
      <c r="J26" s="23">
        <f>MIN('Paramètres simulation'!$B$19,M25)</f>
        <v/>
      </c>
      <c r="K26" s="23">
        <f>'Paramètres simulation'!$B$10</f>
        <v/>
      </c>
      <c r="L26" s="23">
        <f>'Paramètres simulation'!$B$5+'Paramètres simulation'!$B$6</f>
        <v/>
      </c>
      <c r="M26" s="23">
        <f>MAX(0,MIN('Paramètres simulation'!$B$19,J26+K26-L26))</f>
        <v/>
      </c>
      <c r="N26" s="19">
        <f>IF(E26&lt;=0,"EAU ÉPUISÉE",IF(I26&lt;=0,"NOURRITURE ÉPUISÉE",IF(M26&lt;=0,"CARBURANT ÉPUISÉ",IF(E26&lt;'Paramètres simulation'!$B$17*0.1,"Eau critique",IF(I26&lt;'Paramètres simulation'!$B$18*0.1,"Nourriture critique",IF(M26&lt;'Paramètres simulation'!$B$19*0.1,"Carburant critique","OK"))))))</f>
        <v/>
      </c>
    </row>
    <row r="27">
      <c r="A27" s="19" t="n">
        <v>26</v>
      </c>
      <c r="B27" s="23">
        <f>MIN('Paramètres simulation'!$B$17,E26)</f>
        <v/>
      </c>
      <c r="C27" s="23">
        <f>'Paramètres simulation'!$B$7</f>
        <v/>
      </c>
      <c r="D27" s="23">
        <f>'Paramètres simulation'!$B$2*'Paramètres simulation'!$B$3</f>
        <v/>
      </c>
      <c r="E27" s="23">
        <f>MAX(0,MIN('Paramètres simulation'!$B$17,B27+C27-D27))</f>
        <v/>
      </c>
      <c r="F27" s="23">
        <f>MIN('Paramètres simulation'!$B$18,I26)</f>
        <v/>
      </c>
      <c r="G27" s="23">
        <f>'Paramètres simulation'!$B$8+'Paramètres simulation'!$B$9</f>
        <v/>
      </c>
      <c r="H27" s="23">
        <f>'Paramètres simulation'!$B$2*'Paramètres simulation'!$B$4</f>
        <v/>
      </c>
      <c r="I27" s="23">
        <f>MAX(0,MIN('Paramètres simulation'!$B$18,F27+G27-H27))</f>
        <v/>
      </c>
      <c r="J27" s="23">
        <f>MIN('Paramètres simulation'!$B$19,M26)</f>
        <v/>
      </c>
      <c r="K27" s="23">
        <f>'Paramètres simulation'!$B$10</f>
        <v/>
      </c>
      <c r="L27" s="23">
        <f>'Paramètres simulation'!$B$5+'Paramètres simulation'!$B$6</f>
        <v/>
      </c>
      <c r="M27" s="23">
        <f>MAX(0,MIN('Paramètres simulation'!$B$19,J27+K27-L27))</f>
        <v/>
      </c>
      <c r="N27" s="19">
        <f>IF(E27&lt;=0,"EAU ÉPUISÉE",IF(I27&lt;=0,"NOURRITURE ÉPUISÉE",IF(M27&lt;=0,"CARBURANT ÉPUISÉ",IF(E27&lt;'Paramètres simulation'!$B$17*0.1,"Eau critique",IF(I27&lt;'Paramètres simulation'!$B$18*0.1,"Nourriture critique",IF(M27&lt;'Paramètres simulation'!$B$19*0.1,"Carburant critique","OK"))))))</f>
        <v/>
      </c>
    </row>
    <row r="28">
      <c r="A28" s="19" t="n">
        <v>27</v>
      </c>
      <c r="B28" s="23">
        <f>MIN('Paramètres simulation'!$B$17,E27)</f>
        <v/>
      </c>
      <c r="C28" s="23">
        <f>'Paramètres simulation'!$B$7</f>
        <v/>
      </c>
      <c r="D28" s="23">
        <f>'Paramètres simulation'!$B$2*'Paramètres simulation'!$B$3</f>
        <v/>
      </c>
      <c r="E28" s="23">
        <f>MAX(0,MIN('Paramètres simulation'!$B$17,B28+C28-D28))</f>
        <v/>
      </c>
      <c r="F28" s="23">
        <f>MIN('Paramètres simulation'!$B$18,I27)</f>
        <v/>
      </c>
      <c r="G28" s="23">
        <f>'Paramètres simulation'!$B$8+'Paramètres simulation'!$B$9</f>
        <v/>
      </c>
      <c r="H28" s="23">
        <f>'Paramètres simulation'!$B$2*'Paramètres simulation'!$B$4</f>
        <v/>
      </c>
      <c r="I28" s="23">
        <f>MAX(0,MIN('Paramètres simulation'!$B$18,F28+G28-H28))</f>
        <v/>
      </c>
      <c r="J28" s="23">
        <f>MIN('Paramètres simulation'!$B$19,M27)</f>
        <v/>
      </c>
      <c r="K28" s="23">
        <f>'Paramètres simulation'!$B$10</f>
        <v/>
      </c>
      <c r="L28" s="23">
        <f>'Paramètres simulation'!$B$5+'Paramètres simulation'!$B$6</f>
        <v/>
      </c>
      <c r="M28" s="23">
        <f>MAX(0,MIN('Paramètres simulation'!$B$19,J28+K28-L28))</f>
        <v/>
      </c>
      <c r="N28" s="19">
        <f>IF(E28&lt;=0,"EAU ÉPUISÉE",IF(I28&lt;=0,"NOURRITURE ÉPUISÉE",IF(M28&lt;=0,"CARBURANT ÉPUISÉ",IF(E28&lt;'Paramètres simulation'!$B$17*0.1,"Eau critique",IF(I28&lt;'Paramètres simulation'!$B$18*0.1,"Nourriture critique",IF(M28&lt;'Paramètres simulation'!$B$19*0.1,"Carburant critique","OK"))))))</f>
        <v/>
      </c>
    </row>
    <row r="29">
      <c r="A29" s="19" t="n">
        <v>28</v>
      </c>
      <c r="B29" s="23">
        <f>MIN('Paramètres simulation'!$B$17,E28)</f>
        <v/>
      </c>
      <c r="C29" s="23">
        <f>'Paramètres simulation'!$B$7</f>
        <v/>
      </c>
      <c r="D29" s="23">
        <f>'Paramètres simulation'!$B$2*'Paramètres simulation'!$B$3</f>
        <v/>
      </c>
      <c r="E29" s="23">
        <f>MAX(0,MIN('Paramètres simulation'!$B$17,B29+C29-D29))</f>
        <v/>
      </c>
      <c r="F29" s="23">
        <f>MIN('Paramètres simulation'!$B$18,I28)</f>
        <v/>
      </c>
      <c r="G29" s="23">
        <f>'Paramètres simulation'!$B$8+'Paramètres simulation'!$B$9</f>
        <v/>
      </c>
      <c r="H29" s="23">
        <f>'Paramètres simulation'!$B$2*'Paramètres simulation'!$B$4</f>
        <v/>
      </c>
      <c r="I29" s="23">
        <f>MAX(0,MIN('Paramètres simulation'!$B$18,F29+G29-H29))</f>
        <v/>
      </c>
      <c r="J29" s="23">
        <f>MIN('Paramètres simulation'!$B$19,M28)</f>
        <v/>
      </c>
      <c r="K29" s="23">
        <f>'Paramètres simulation'!$B$10</f>
        <v/>
      </c>
      <c r="L29" s="23">
        <f>'Paramètres simulation'!$B$5+'Paramètres simulation'!$B$6</f>
        <v/>
      </c>
      <c r="M29" s="23">
        <f>MAX(0,MIN('Paramètres simulation'!$B$19,J29+K29-L29))</f>
        <v/>
      </c>
      <c r="N29" s="19">
        <f>IF(E29&lt;=0,"EAU ÉPUISÉE",IF(I29&lt;=0,"NOURRITURE ÉPUISÉE",IF(M29&lt;=0,"CARBURANT ÉPUISÉ",IF(E29&lt;'Paramètres simulation'!$B$17*0.1,"Eau critique",IF(I29&lt;'Paramètres simulation'!$B$18*0.1,"Nourriture critique",IF(M29&lt;'Paramètres simulation'!$B$19*0.1,"Carburant critique","OK"))))))</f>
        <v/>
      </c>
    </row>
    <row r="30">
      <c r="A30" s="19" t="n">
        <v>29</v>
      </c>
      <c r="B30" s="23">
        <f>MIN('Paramètres simulation'!$B$17,E29)</f>
        <v/>
      </c>
      <c r="C30" s="23">
        <f>'Paramètres simulation'!$B$7</f>
        <v/>
      </c>
      <c r="D30" s="23">
        <f>'Paramètres simulation'!$B$2*'Paramètres simulation'!$B$3</f>
        <v/>
      </c>
      <c r="E30" s="23">
        <f>MAX(0,MIN('Paramètres simulation'!$B$17,B30+C30-D30))</f>
        <v/>
      </c>
      <c r="F30" s="23">
        <f>MIN('Paramètres simulation'!$B$18,I29)</f>
        <v/>
      </c>
      <c r="G30" s="23">
        <f>'Paramètres simulation'!$B$8+'Paramètres simulation'!$B$9</f>
        <v/>
      </c>
      <c r="H30" s="23">
        <f>'Paramètres simulation'!$B$2*'Paramètres simulation'!$B$4</f>
        <v/>
      </c>
      <c r="I30" s="23">
        <f>MAX(0,MIN('Paramètres simulation'!$B$18,F30+G30-H30))</f>
        <v/>
      </c>
      <c r="J30" s="23">
        <f>MIN('Paramètres simulation'!$B$19,M29)</f>
        <v/>
      </c>
      <c r="K30" s="23">
        <f>'Paramètres simulation'!$B$10</f>
        <v/>
      </c>
      <c r="L30" s="23">
        <f>'Paramètres simulation'!$B$5+'Paramètres simulation'!$B$6</f>
        <v/>
      </c>
      <c r="M30" s="23">
        <f>MAX(0,MIN('Paramètres simulation'!$B$19,J30+K30-L30))</f>
        <v/>
      </c>
      <c r="N30" s="19">
        <f>IF(E30&lt;=0,"EAU ÉPUISÉE",IF(I30&lt;=0,"NOURRITURE ÉPUISÉE",IF(M30&lt;=0,"CARBURANT ÉPUISÉ",IF(E30&lt;'Paramètres simulation'!$B$17*0.1,"Eau critique",IF(I30&lt;'Paramètres simulation'!$B$18*0.1,"Nourriture critique",IF(M30&lt;'Paramètres simulation'!$B$19*0.1,"Carburant critique","OK"))))))</f>
        <v/>
      </c>
    </row>
    <row r="31">
      <c r="A31" s="19" t="n">
        <v>30</v>
      </c>
      <c r="B31" s="23">
        <f>MIN('Paramètres simulation'!$B$17,E30)</f>
        <v/>
      </c>
      <c r="C31" s="23">
        <f>'Paramètres simulation'!$B$7</f>
        <v/>
      </c>
      <c r="D31" s="23">
        <f>'Paramètres simulation'!$B$2*'Paramètres simulation'!$B$3</f>
        <v/>
      </c>
      <c r="E31" s="23">
        <f>MAX(0,MIN('Paramètres simulation'!$B$17,B31+C31-D31))</f>
        <v/>
      </c>
      <c r="F31" s="23">
        <f>MIN('Paramètres simulation'!$B$18,I30)</f>
        <v/>
      </c>
      <c r="G31" s="23">
        <f>'Paramètres simulation'!$B$8+'Paramètres simulation'!$B$9</f>
        <v/>
      </c>
      <c r="H31" s="23">
        <f>'Paramètres simulation'!$B$2*'Paramètres simulation'!$B$4</f>
        <v/>
      </c>
      <c r="I31" s="23">
        <f>MAX(0,MIN('Paramètres simulation'!$B$18,F31+G31-H31))</f>
        <v/>
      </c>
      <c r="J31" s="23">
        <f>MIN('Paramètres simulation'!$B$19,M30)</f>
        <v/>
      </c>
      <c r="K31" s="23">
        <f>'Paramètres simulation'!$B$10</f>
        <v/>
      </c>
      <c r="L31" s="23">
        <f>'Paramètres simulation'!$B$5+'Paramètres simulation'!$B$6</f>
        <v/>
      </c>
      <c r="M31" s="23">
        <f>MAX(0,MIN('Paramètres simulation'!$B$19,J31+K31-L31))</f>
        <v/>
      </c>
      <c r="N31" s="19">
        <f>IF(E31&lt;=0,"EAU ÉPUISÉE",IF(I31&lt;=0,"NOURRITURE ÉPUISÉE",IF(M31&lt;=0,"CARBURANT ÉPUISÉ",IF(E31&lt;'Paramètres simulation'!$B$17*0.1,"Eau critique",IF(I31&lt;'Paramètres simulation'!$B$18*0.1,"Nourriture critique",IF(M31&lt;'Paramètres simulation'!$B$19*0.1,"Carburant critique","OK"))))))</f>
        <v/>
      </c>
    </row>
  </sheetData>
  <autoFilter ref="A1:N3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 width="76" customWidth="1" min="3" max="3"/>
  </cols>
  <sheetData>
    <row r="1" ht="36" customHeight="1">
      <c r="A1" s="20" t="inlineStr">
        <is>
          <t>Champ UI</t>
        </is>
      </c>
      <c r="B1" s="20" t="inlineStr">
        <is>
          <t>Exemple / règle</t>
        </is>
      </c>
      <c r="C1" s="20" t="inlineStr">
        <is>
          <t>Comportement</t>
        </is>
      </c>
    </row>
    <row r="2">
      <c r="A2" s="19" t="inlineStr">
        <is>
          <t>Nom du modèle</t>
        </is>
      </c>
      <c r="B2" s="19" t="inlineStr">
        <is>
          <t>BMW R75</t>
        </is>
      </c>
      <c r="C2" s="19" t="inlineStr">
        <is>
          <t>Nom exact du véhicule récupéré.</t>
        </is>
      </c>
    </row>
    <row r="3">
      <c r="A3" s="19" t="inlineStr">
        <is>
          <t>Description courte</t>
        </is>
      </c>
      <c r="B3" s="19" t="inlineStr">
        <is>
          <t>Moto militaire avec side-car, conçue pour la reconnaissance et les déplacements rapides. Faible capacité d'emport, mais facile à déplacer et à ravitailler.</t>
        </is>
      </c>
      <c r="C3" s="19" t="inlineStr">
        <is>
          <t>2 à 3 phrases maximum, affichées dans le panneau latéral.</t>
        </is>
      </c>
    </row>
    <row r="4">
      <c r="A4" s="19" t="inlineStr">
        <is>
          <t>État mécanique</t>
        </is>
      </c>
      <c r="B4" s="19" t="inlineStr">
        <is>
          <t>À calculer</t>
        </is>
      </c>
      <c r="C4" s="19" t="inlineStr">
        <is>
          <t>État moteur, transmission, roues, armes et équipements.</t>
        </is>
      </c>
    </row>
    <row r="5">
      <c r="A5" s="19" t="inlineStr">
        <is>
          <t>Carburant requis</t>
        </is>
      </c>
      <c r="B5" s="19" t="inlineStr">
        <is>
          <t>Essence</t>
        </is>
      </c>
      <c r="C5" s="19" t="inlineStr">
        <is>
          <t>Propriété du moteur ; le stock global reste « Carburant » en litres au prototype.</t>
        </is>
      </c>
    </row>
    <row r="6">
      <c r="A6" s="19" t="inlineStr">
        <is>
          <t>Carburant dans le réservoir</t>
        </is>
      </c>
      <c r="B6" s="19" t="inlineStr">
        <is>
          <t>À calculer en L</t>
        </is>
      </c>
      <c r="C6" s="19" t="inlineStr">
        <is>
          <t>Affichage de la quantité présente, séparée du stock de base.</t>
        </is>
      </c>
    </row>
    <row r="7">
      <c r="A7" s="19" t="inlineStr">
        <is>
          <t>Pièces manquantes</t>
        </is>
      </c>
      <c r="B7" s="19" t="inlineStr">
        <is>
          <t>À calculer</t>
        </is>
      </c>
      <c r="C7" s="19" t="inlineStr">
        <is>
          <t>Liste des pièces nécessaires à la remise en état.</t>
        </is>
      </c>
    </row>
    <row r="8">
      <c r="A8" s="19" t="inlineStr">
        <is>
          <t>Emplacement</t>
        </is>
      </c>
      <c r="B8" s="19" t="inlineStr">
        <is>
          <t>Cour de récupération / expédition / garage</t>
        </is>
      </c>
      <c r="C8" s="19" t="inlineStr">
        <is>
          <t>Indique où le véhicule se trouve.</t>
        </is>
      </c>
    </row>
    <row r="9">
      <c r="A9" s="19" t="inlineStr">
        <is>
          <t>Actions</t>
        </is>
      </c>
      <c r="B9" s="19" t="inlineStr">
        <is>
          <t>Examiner, réparer si complet, démanteler, équiper, déplacer</t>
        </is>
      </c>
      <c r="C9" s="19" t="inlineStr">
        <is>
          <t>Les actions dépendent de l'état réel et des règles de récupération.</t>
        </is>
      </c>
    </row>
  </sheetData>
  <autoFilter ref="A1:C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46" customWidth="1" min="3" max="3"/>
    <col width="35" customWidth="1" min="4" max="4"/>
    <col width="48" customWidth="1" min="5" max="5"/>
    <col width="45" customWidth="1" min="6" max="6"/>
    <col width="22" customWidth="1" min="7" max="7"/>
    <col width="72" customWidth="1" min="8" max="8"/>
  </cols>
  <sheetData>
    <row r="1" ht="40" customHeight="1">
      <c r="A1" s="20" t="inlineStr">
        <is>
          <t>Événement</t>
        </is>
      </c>
      <c r="B1" s="20" t="inlineStr">
        <is>
          <t>Déclencheur</t>
        </is>
      </c>
      <c r="C1" s="20" t="inlineStr">
        <is>
          <t>Effet initial</t>
        </is>
      </c>
      <c r="D1" s="20" t="inlineStr">
        <is>
          <t>Durée / progression</t>
        </is>
      </c>
      <c r="E1" s="20" t="inlineStr">
        <is>
          <t>Réponse du joueur</t>
        </is>
      </c>
      <c r="F1" s="20" t="inlineStr">
        <is>
          <t>Conséquence si ignoré</t>
        </is>
      </c>
      <c r="G1" s="20" t="inlineStr">
        <is>
          <t>Gravité</t>
        </is>
      </c>
      <c r="H1" s="20" t="inlineStr">
        <is>
          <t>Règle d'équilibrage</t>
        </is>
      </c>
    </row>
    <row r="2" ht="38" customHeight="1">
      <c r="A2" s="19" t="inlineStr">
        <is>
          <t>Panne de pompe à eau</t>
        </is>
      </c>
      <c r="B2" s="19" t="inlineStr">
        <is>
          <t>Usure ou incident aléatoire si pompe mécanique/électrique installée</t>
        </is>
      </c>
      <c r="C2" s="19" t="inlineStr">
        <is>
          <t>Production d'eau réduite à 0 pour le puits concerné</t>
        </is>
      </c>
      <c r="D2" s="19" t="inlineStr">
        <is>
          <t>Jusqu'à réparation ; pénalité continue chaque jour</t>
        </is>
      </c>
      <c r="E2" s="19" t="inlineStr">
        <is>
          <t>Réparer avec pièces et temps ; basculer sur une autre source ou rationner</t>
        </is>
      </c>
      <c r="F2" s="19" t="inlineStr">
        <is>
          <t>Le stock baisse selon consommation quotidienne</t>
        </is>
      </c>
      <c r="G2" s="19" t="inlineStr">
        <is>
          <t>Moyenne</t>
        </is>
      </c>
      <c r="H2" s="19" t="inlineStr">
        <is>
          <t>Alerte immédiate ; pas de destruction automatique du stock.</t>
        </is>
      </c>
    </row>
    <row r="3" ht="38" customHeight="1">
      <c r="A3" s="19" t="inlineStr">
        <is>
          <t>Panne de générateur</t>
        </is>
      </c>
      <c r="B3" s="19" t="inlineStr">
        <is>
          <t>Usure, surcharge ou événement</t>
        </is>
      </c>
      <c r="C3" s="19" t="inlineStr">
        <is>
          <t>Électricité indisponible sur le circuit concerné</t>
        </is>
      </c>
      <c r="D3" s="19" t="inlineStr">
        <is>
          <t>Dès la panne jusqu'à réparation</t>
        </is>
      </c>
      <c r="E3" s="19" t="inlineStr">
        <is>
          <t>Réparer, réduire la charge ou démarrer un groupe de secours</t>
        </is>
      </c>
      <c r="F3" s="19" t="inlineStr">
        <is>
          <t>Pompes, ascenseur et ventilation s'arrêtent selon priorité</t>
        </is>
      </c>
      <c r="G3" s="19" t="inlineStr">
        <is>
          <t>Élevée en sous-sol</t>
        </is>
      </c>
      <c r="H3" s="19" t="inlineStr">
        <is>
          <t>Les bâtiments non alimentés ne doivent pas tous s'arrêter si un réseau secondaire existe.</t>
        </is>
      </c>
    </row>
    <row r="4" ht="38" customHeight="1">
      <c r="A4" s="19" t="inlineStr">
        <is>
          <t>Mauvaise récolte</t>
        </is>
      </c>
      <c r="B4" s="19" t="inlineStr">
        <is>
          <t>Aléatoire selon météo, eau et état du potager</t>
        </is>
      </c>
      <c r="C4" s="19" t="inlineStr">
        <is>
          <t>Production du potager réduite de 25 à 60 %</t>
        </is>
      </c>
      <c r="D4" s="19" t="inlineStr">
        <is>
          <t>Un cycle de récolte</t>
        </is>
      </c>
      <c r="E4" s="19" t="inlineStr">
        <is>
          <t>Économiser la nourriture, échanger, augmenter l'élevage ou partir en collecte</t>
        </is>
      </c>
      <c r="F4" s="19" t="inlineStr">
        <is>
          <t>Le stock alimentaire diminue progressivement</t>
        </is>
      </c>
      <c r="G4" s="19" t="inlineStr">
        <is>
          <t>Moyenne</t>
        </is>
      </c>
      <c r="H4" s="19" t="inlineStr">
        <is>
          <t>Annonce en avance si météo défavorable connue.</t>
        </is>
      </c>
    </row>
    <row r="5" ht="38" customHeight="1">
      <c r="A5" s="19" t="inlineStr">
        <is>
          <t>Maladie dans l'élevage</t>
        </is>
      </c>
      <c r="B5" s="19" t="inlineStr">
        <is>
          <t>Hygiène faible, surpopulation ou événement</t>
        </is>
      </c>
      <c r="C5" s="19" t="inlineStr">
        <is>
          <t>Production de l'installation réduite de 25 à 75 %</t>
        </is>
      </c>
      <c r="D5" s="19" t="inlineStr">
        <is>
          <t>Jusqu'au traitement ou à la fin du cycle</t>
        </is>
      </c>
      <c r="E5" s="19" t="inlineStr">
        <is>
          <t>Dépenser médicaments/eau, isoler l'installation ou réduire le cheptel</t>
        </is>
      </c>
      <c r="F5" s="19" t="inlineStr">
        <is>
          <t>Production faible ; pertes limitées possibles</t>
        </is>
      </c>
      <c r="G5" s="19" t="inlineStr">
        <is>
          <t>Moyenne</t>
        </is>
      </c>
      <c r="H5" s="19" t="inlineStr">
        <is>
          <t>Ne pas supprimer tout l'élevage instantanément.</t>
        </is>
      </c>
    </row>
    <row r="6" ht="38" customHeight="1">
      <c r="A6" s="19" t="inlineStr">
        <is>
          <t>Manque de nourriture</t>
        </is>
      </c>
      <c r="B6" s="19" t="inlineStr">
        <is>
          <t>Stock projeté inférieur à 3 jours de consommation</t>
        </is>
      </c>
      <c r="C6" s="19" t="inlineStr">
        <is>
          <t>Alerte HUD ; aucun malus immédiat majeur</t>
        </is>
      </c>
      <c r="D6" s="19" t="inlineStr">
        <is>
          <t>Pénalités par paliers selon durée du déficit</t>
        </is>
      </c>
      <c r="E6" s="19" t="inlineStr">
        <is>
          <t>Réduire ration temporairement, produire, commercer ou expédier une collecte</t>
        </is>
      </c>
      <c r="F6" s="19" t="inlineStr">
        <is>
          <t>Moral et efficacité diminuent ; santé affectée si prolongé</t>
        </is>
      </c>
      <c r="G6" s="19" t="inlineStr">
        <is>
          <t>Élevée</t>
        </is>
      </c>
      <c r="H6" s="19" t="inlineStr">
        <is>
          <t>Le jeu annonce les jours d'autonomie et offre une fenêtre de réaction.</t>
        </is>
      </c>
    </row>
    <row r="7" ht="38" customHeight="1">
      <c r="A7" s="19" t="inlineStr">
        <is>
          <t>Manque d'eau</t>
        </is>
      </c>
      <c r="B7" s="19" t="inlineStr">
        <is>
          <t>Stock projeté inférieur à 3 jours de consommation</t>
        </is>
      </c>
      <c r="C7" s="19" t="inlineStr">
        <is>
          <t>Alerte HUD ; priorité aux besoins humains</t>
        </is>
      </c>
      <c r="D7" s="19" t="inlineStr">
        <is>
          <t>Pénalités progressives selon durée</t>
        </is>
      </c>
      <c r="E7" s="19" t="inlineStr">
        <is>
          <t>Réparer puits, rationner les usages non essentiels, commercer</t>
        </is>
      </c>
      <c r="F7" s="19" t="inlineStr">
        <is>
          <t>Efficacité des bâtiments et santé se dégradent</t>
        </is>
      </c>
      <c r="G7" s="19" t="inlineStr">
        <is>
          <t>Élevée</t>
        </is>
      </c>
      <c r="H7" s="19" t="inlineStr">
        <is>
          <t>Les besoins vitaux sont prioritaires sur les ateliers.</t>
        </is>
      </c>
    </row>
    <row r="8" ht="38" customHeight="1">
      <c r="A8" s="19" t="inlineStr">
        <is>
          <t>Carburant bas</t>
        </is>
      </c>
      <c r="B8" s="19" t="inlineStr">
        <is>
          <t>Autonomie prévisionnelle sous 5 jours</t>
        </is>
      </c>
      <c r="C8" s="19" t="inlineStr">
        <is>
          <t>Alerte HUD ; limiter les usages non essentiels</t>
        </is>
      </c>
      <c r="D8" s="19" t="inlineStr">
        <is>
          <t>Tant que la réserve reste basse</t>
        </is>
      </c>
      <c r="E8" s="19" t="inlineStr">
        <is>
          <t>Couper générateurs non prioritaires, ravitailler, raffiner ou commercer</t>
        </is>
      </c>
      <c r="F8" s="19" t="inlineStr">
        <is>
          <t>Expéditions et bâtiments énergivores deviennent indisponibles</t>
        </is>
      </c>
      <c r="G8" s="19" t="inlineStr">
        <is>
          <t>Moyenne</t>
        </is>
      </c>
      <c r="H8" s="19" t="inlineStr">
        <is>
          <t>Ne jamais consommer le carburant des véhicules sans l'afficher.</t>
        </is>
      </c>
    </row>
    <row r="9" ht="38" customHeight="1">
      <c r="A9" s="19" t="inlineStr">
        <is>
          <t>Raid de pillards</t>
        </is>
      </c>
      <c r="B9" s="19" t="inlineStr">
        <is>
          <t>Risque selon territoire, défense, bruit et temps écoulé</t>
        </is>
      </c>
      <c r="C9" s="19" t="inlineStr">
        <is>
          <t>Avertissement si éclaireurs détectés ; sinon attaque directe possible</t>
        </is>
      </c>
      <c r="D9" s="19" t="inlineStr">
        <is>
          <t>Événement ponctuel avec dégâts persistants</t>
        </is>
      </c>
      <c r="E9" s="19" t="inlineStr">
        <is>
          <t>Activer défenses, assigner survivants, mettre à l'abri les stocks</t>
        </is>
      </c>
      <c r="F9" s="19" t="inlineStr">
        <is>
          <t>Dégâts aux bâtiments, blessés et pertes de ressources possibles</t>
        </is>
      </c>
      <c r="G9" s="19" t="inlineStr">
        <is>
          <t>Variable</t>
        </is>
      </c>
      <c r="H9" s="19" t="inlineStr">
        <is>
          <t>La préparation réduit les dégâts ; une base bien défendue ne doit pas être invulnérable.</t>
        </is>
      </c>
    </row>
    <row r="10" ht="38" customHeight="1">
      <c r="A10" s="19" t="inlineStr">
        <is>
          <t>Fuite de cuve</t>
        </is>
      </c>
      <c r="B10" s="19" t="inlineStr">
        <is>
          <t>Dégâts, usure ou sabotage</t>
        </is>
      </c>
      <c r="C10" s="19" t="inlineStr">
        <is>
          <t>Perte de 5 à 20 % du stock concerné si fuite non contenue</t>
        </is>
      </c>
      <c r="D10" s="19" t="inlineStr">
        <is>
          <t>Perte quotidienne jusqu'à isolation/réparation</t>
        </is>
      </c>
      <c r="E10" s="19" t="inlineStr">
        <is>
          <t>Isoler le réservoir et réparer avec pièces</t>
        </is>
      </c>
      <c r="F10" s="19" t="inlineStr">
        <is>
          <t>Pertes supplémentaires et risque d'incendie pour carburant</t>
        </is>
      </c>
      <c r="G10" s="19" t="inlineStr">
        <is>
          <t>Moyenne à élevée</t>
        </is>
      </c>
      <c r="H10" s="19" t="inlineStr">
        <is>
          <t>La perte est plafonnée ; un seul incident ne vide pas instantanément une grande cuve.</t>
        </is>
      </c>
    </row>
    <row r="11" ht="38" customHeight="1">
      <c r="A11" s="19" t="inlineStr">
        <is>
          <t>Inondation souterraine</t>
        </is>
      </c>
      <c r="B11" s="19" t="inlineStr">
        <is>
          <t>Drainage en panne, fortes pluies ou nappe haute</t>
        </is>
      </c>
      <c r="C11" s="19" t="inlineStr">
        <is>
          <t>Un niveau souterrain devient partiellement indisponible</t>
        </is>
      </c>
      <c r="D11" s="19" t="inlineStr">
        <is>
          <t>Jusqu'à drainage et réparation</t>
        </is>
      </c>
      <c r="E11" s="19" t="inlineStr">
        <is>
          <t>Rétablir pompes, énergie et accès ; déplacer les véhicules si possible</t>
        </is>
      </c>
      <c r="F11" s="19" t="inlineStr">
        <is>
          <t>Stockage/ateliers ralentis, dégâts aux composants sensibles</t>
        </is>
      </c>
      <c r="G11" s="19" t="inlineStr">
        <is>
          <t>Élevée</t>
        </is>
      </c>
      <c r="H11" s="19" t="inlineStr">
        <is>
          <t>Le risque dépend de la profondeur et des améliorations de drainage.</t>
        </is>
      </c>
    </row>
    <row r="12" ht="38" customHeight="1">
      <c r="A12" s="19" t="inlineStr">
        <is>
          <t>Panne d'ascenseur</t>
        </is>
      </c>
      <c r="B12" s="19" t="inlineStr">
        <is>
          <t>Usure, surcharge ou attaque</t>
        </is>
      </c>
      <c r="C12" s="19" t="inlineStr">
        <is>
          <t>Transports verticaux bloqués</t>
        </is>
      </c>
      <c r="D12" s="19" t="inlineStr">
        <is>
          <t>Jusqu'à réparation</t>
        </is>
      </c>
      <c r="E12" s="19" t="inlineStr">
        <is>
          <t>Réparer, utiliser un accès secondaire ou déplacer les opérations en surface</t>
        </is>
      </c>
      <c r="F12" s="19" t="inlineStr">
        <is>
          <t>Véhicules et stocks souterrains restent accessibles mais immobilisés</t>
        </is>
      </c>
      <c r="G12" s="19" t="inlineStr">
        <is>
          <t>Moyenne</t>
        </is>
      </c>
      <c r="H12" s="19" t="inlineStr">
        <is>
          <t>Ne pas faire disparaître les véhicules ; bloquer temporairement leur sortie.</t>
        </is>
      </c>
    </row>
    <row r="13" ht="38" customHeight="1">
      <c r="A13" s="19" t="inlineStr">
        <is>
          <t>Échange commercial retardé</t>
        </is>
      </c>
      <c r="B13" s="19" t="inlineStr">
        <is>
          <t>Route dangereuse, panne ou contrôle hostile</t>
        </is>
      </c>
      <c r="C13" s="19" t="inlineStr">
        <is>
          <t>Arrivée retardée et consommation supplémentaire du convoi</t>
        </is>
      </c>
      <c r="D13" s="19" t="inlineStr">
        <is>
          <t>Jusqu'au retour ou à la résolution</t>
        </is>
      </c>
      <c r="E13" s="19" t="inlineStr">
        <is>
          <t>Envoyer un véhicule de soutien, changer la route ou accepter le délai</t>
        </is>
      </c>
      <c r="F13" s="19" t="inlineStr">
        <is>
          <t>Réserves embarquées réduites ; marchandise peut être partiellement perdue</t>
        </is>
      </c>
      <c r="G13" s="19" t="inlineStr">
        <is>
          <t>Moyenne</t>
        </is>
      </c>
      <c r="H13" s="19" t="inlineStr">
        <is>
          <t>Le risque augmente avec distance, météo et hostilité du territoire.</t>
        </is>
      </c>
    </row>
  </sheetData>
  <autoFilter ref="A1:H1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 width="52" customWidth="1" min="3" max="3"/>
    <col width="54" customWidth="1" min="4" max="4"/>
    <col width="58" customWidth="1" min="5" max="5"/>
    <col width="68" customWidth="1" min="6" max="6"/>
  </cols>
  <sheetData>
    <row r="1" ht="40" customHeight="1">
      <c r="A1" s="20" t="inlineStr">
        <is>
          <t>Ressource</t>
        </is>
      </c>
      <c r="B1" s="20" t="inlineStr">
        <is>
          <t>Durée du déficit</t>
        </is>
      </c>
      <c r="C1" s="20" t="inlineStr">
        <is>
          <t>Effet sur les survivants</t>
        </is>
      </c>
      <c r="D1" s="20" t="inlineStr">
        <is>
          <t>Effet sur les bâtiments</t>
        </is>
      </c>
      <c r="E1" s="20" t="inlineStr">
        <is>
          <t>Avertissement / possibilité d'action</t>
        </is>
      </c>
      <c r="F1" s="20" t="inlineStr">
        <is>
          <t>Règle</t>
        </is>
      </c>
    </row>
    <row r="2" ht="38" customHeight="1">
      <c r="A2" s="19" t="inlineStr">
        <is>
          <t>Nourriture</t>
        </is>
      </c>
      <c r="B2" s="19" t="inlineStr">
        <is>
          <t>0 à 1 jour</t>
        </is>
      </c>
      <c r="C2" s="19" t="inlineStr">
        <is>
          <t>Pas de pénalité grave ; alerte et rationnement possible</t>
        </is>
      </c>
      <c r="D2" s="19" t="inlineStr">
        <is>
          <t>Aucun effet direct</t>
        </is>
      </c>
      <c r="E2" s="19" t="inlineStr">
        <is>
          <t>Alerte stock bas + autonomie en jours</t>
        </is>
      </c>
      <c r="F2" s="19" t="inlineStr">
        <is>
          <t>Éviter une mort immédiate après une seule journée.</t>
        </is>
      </c>
    </row>
    <row r="3" ht="38" customHeight="1">
      <c r="A3" s="19" t="inlineStr">
        <is>
          <t>Nourriture</t>
        </is>
      </c>
      <c r="B3" s="19" t="inlineStr">
        <is>
          <t>2 à 3 jours</t>
        </is>
      </c>
      <c r="C3" s="19" t="inlineStr">
        <is>
          <t>Moral et efficacité de travail réduits légèrement</t>
        </is>
      </c>
      <c r="D3" s="19" t="inlineStr">
        <is>
          <t>Production des bâtiments -10 %</t>
        </is>
      </c>
      <c r="E3" s="19" t="inlineStr">
        <is>
          <t>Conseiller collecte, commerce ou réduction de ration</t>
        </is>
      </c>
      <c r="F3" s="19" t="inlineStr">
        <is>
          <t>Pénalité cumulée mais plafonnée.</t>
        </is>
      </c>
    </row>
    <row r="4" ht="38" customHeight="1">
      <c r="A4" s="19" t="inlineStr">
        <is>
          <t>Nourriture</t>
        </is>
      </c>
      <c r="B4" s="19" t="inlineStr">
        <is>
          <t>4 à 6 jours</t>
        </is>
      </c>
      <c r="C4" s="19" t="inlineStr">
        <is>
          <t>Fatigue et risque de maladie accrus</t>
        </is>
      </c>
      <c r="D4" s="19" t="inlineStr">
        <is>
          <t>Production des bâtiments -25 %</t>
        </is>
      </c>
      <c r="E4" s="19" t="inlineStr">
        <is>
          <t>Alerte critique, priorité aux enfants et blessés selon règles de jeu</t>
        </is>
      </c>
      <c r="F4" s="19" t="inlineStr">
        <is>
          <t>Réversible si le stock revient.</t>
        </is>
      </c>
    </row>
    <row r="5" ht="38" customHeight="1">
      <c r="A5" s="19" t="inlineStr">
        <is>
          <t>Nourriture</t>
        </is>
      </c>
      <c r="B5" s="19" t="inlineStr">
        <is>
          <t>7 jours et plus</t>
        </is>
      </c>
      <c r="C5" s="19" t="inlineStr">
        <is>
          <t>Malnutrition grave ; risque de décès seulement après durée prolongée et avertissements</t>
        </is>
      </c>
      <c r="D5" s="19" t="inlineStr">
        <is>
          <t>Absences et baisse de production importante</t>
        </is>
      </c>
      <c r="E5" s="19" t="inlineStr">
        <is>
          <t>Dernière alerte explicite ; solutions d'urgence proposées</t>
        </is>
      </c>
      <c r="F5" s="19" t="inlineStr">
        <is>
          <t>Ne jamais tuer silencieusement des survivants hors ligne.</t>
        </is>
      </c>
    </row>
    <row r="6" ht="38" customHeight="1">
      <c r="A6" s="19" t="inlineStr">
        <is>
          <t>Eau</t>
        </is>
      </c>
      <c r="B6" s="19" t="inlineStr">
        <is>
          <t>0 à 1 jour</t>
        </is>
      </c>
      <c r="C6" s="19" t="inlineStr">
        <is>
          <t>Alerte urgente, priorités de consommation</t>
        </is>
      </c>
      <c r="D6" s="19" t="inlineStr">
        <is>
          <t>Usages non essentiels réduits automatiquement si option activée</t>
        </is>
      </c>
      <c r="E6" s="19" t="inlineStr">
        <is>
          <t>Réparer puits, distribuer réserves, couper usages non vitaux</t>
        </is>
      </c>
      <c r="F6" s="19" t="inlineStr">
        <is>
          <t>L'eau potable est prioritaire.</t>
        </is>
      </c>
    </row>
    <row r="7" ht="38" customHeight="1">
      <c r="A7" s="19" t="inlineStr">
        <is>
          <t>Eau</t>
        </is>
      </c>
      <c r="B7" s="19" t="inlineStr">
        <is>
          <t>2 à 3 jours</t>
        </is>
      </c>
      <c r="C7" s="19" t="inlineStr">
        <is>
          <t>Fatigue et baisse de rendement</t>
        </is>
      </c>
      <c r="D7" s="19" t="inlineStr">
        <is>
          <t>Ateliers et élevages -15 %</t>
        </is>
      </c>
      <c r="E7" s="19" t="inlineStr">
        <is>
          <t>Alerte critique et estimation du temps avant épuisement</t>
        </is>
      </c>
      <c r="F7" s="19" t="inlineStr">
        <is>
          <t>Réversible si approvisionnement rétabli.</t>
        </is>
      </c>
    </row>
    <row r="8" ht="38" customHeight="1">
      <c r="A8" s="19" t="inlineStr">
        <is>
          <t>Eau</t>
        </is>
      </c>
      <c r="B8" s="19" t="inlineStr">
        <is>
          <t>4 jours et plus</t>
        </is>
      </c>
      <c r="C8" s="19" t="inlineStr">
        <is>
          <t>Risque sanitaire élevé</t>
        </is>
      </c>
      <c r="D8" s="19" t="inlineStr">
        <is>
          <t>Élevages/potagers fortement pénalisés ; logements deviennent difficiles à maintenir</t>
        </is>
      </c>
      <c r="E8" s="19" t="inlineStr">
        <is>
          <t>Demander une aide commerciale ou lancer une collecte d'urgence</t>
        </is>
      </c>
      <c r="F8" s="19" t="inlineStr">
        <is>
          <t>Conséquences graves mais annoncées.</t>
        </is>
      </c>
    </row>
    <row r="9" ht="38" customHeight="1">
      <c r="A9" s="19" t="inlineStr">
        <is>
          <t>Carburant</t>
        </is>
      </c>
      <c r="B9" s="19" t="inlineStr">
        <is>
          <t>Stock sous 25 %</t>
        </is>
      </c>
      <c r="C9" s="19" t="inlineStr">
        <is>
          <t>Aucun effet direct sur la santé</t>
        </is>
      </c>
      <c r="D9" s="19" t="inlineStr">
        <is>
          <t>Usages énergétiques non prioritaires recommandés à l'arrêt</t>
        </is>
      </c>
      <c r="E9" s="19" t="inlineStr">
        <is>
          <t>Alerte stock bas et estimation d'autonomie</t>
        </is>
      </c>
      <c r="F9" s="19" t="inlineStr">
        <is>
          <t>Le joueur choisit la priorité du réseau.</t>
        </is>
      </c>
    </row>
    <row r="10" ht="38" customHeight="1">
      <c r="A10" s="19" t="inlineStr">
        <is>
          <t>Carburant</t>
        </is>
      </c>
      <c r="B10" s="19" t="inlineStr">
        <is>
          <t>Stock sous 10 %</t>
        </is>
      </c>
      <c r="C10" s="19" t="inlineStr">
        <is>
          <t>Aucun effet direct immédiat</t>
        </is>
      </c>
      <c r="D10" s="19" t="inlineStr">
        <is>
          <t>Ascenseur et ateliers lourds limités si générateur thermique unique</t>
        </is>
      </c>
      <c r="E10" s="19" t="inlineStr">
        <is>
          <t>Alerte critique, options de délestage affichées</t>
        </is>
      </c>
      <c r="F10" s="19" t="inlineStr">
        <is>
          <t>Garder une réserve d'urgence configurable.</t>
        </is>
      </c>
    </row>
    <row r="11" ht="38" customHeight="1">
      <c r="A11" s="19" t="inlineStr">
        <is>
          <t>Carburant</t>
        </is>
      </c>
      <c r="B11" s="19" t="inlineStr">
        <is>
          <t>Stock épuisé</t>
        </is>
      </c>
      <c r="C11" s="19" t="inlineStr">
        <is>
          <t>Aucun effet direct sur la population</t>
        </is>
      </c>
      <c r="D11" s="19" t="inlineStr">
        <is>
          <t>Générateurs thermiques à l'arrêt ; véhicules sans carburant immobilisés</t>
        </is>
      </c>
      <c r="E11" s="19" t="inlineStr">
        <is>
          <t>Récupération manuelle, commerce, groupe de secours si disponible</t>
        </is>
      </c>
      <c r="F11" s="19" t="inlineStr">
        <is>
          <t>Ne pas retirer le carburant déjà présent dans les réservoirs des véhicules.</t>
        </is>
      </c>
    </row>
  </sheetData>
  <autoFilter ref="A1:F1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4" customWidth="1" min="3" max="3"/>
    <col width="48" customWidth="1" min="4" max="4"/>
    <col width="72" customWidth="1" min="5" max="5"/>
  </cols>
  <sheetData>
    <row r="1" ht="40" customHeight="1">
      <c r="A1" s="20" t="inlineStr">
        <is>
          <t>Jour</t>
        </is>
      </c>
      <c r="B1" s="20" t="inlineStr">
        <is>
          <t>Événement de test</t>
        </is>
      </c>
      <c r="C1" s="20" t="inlineStr">
        <is>
          <t>Effet temporaire</t>
        </is>
      </c>
      <c r="D1" s="20" t="inlineStr">
        <is>
          <t>Réponse attendue</t>
        </is>
      </c>
      <c r="E1" s="20" t="inlineStr">
        <is>
          <t>Résultat attendu / point à vérifier</t>
        </is>
      </c>
    </row>
    <row r="2" ht="38" customHeight="1">
      <c r="A2" s="19" t="n">
        <v>1</v>
      </c>
      <c r="B2" s="19" t="inlineStr">
        <is>
          <t>Début de partie</t>
        </is>
      </c>
      <c r="C2" s="19" t="inlineStr">
        <is>
          <t>Aucun</t>
        </is>
      </c>
      <c r="D2" s="19" t="inlineStr">
        <is>
          <t>Observer les jauges et les bilans</t>
        </is>
      </c>
      <c r="E2" s="19" t="inlineStr">
        <is>
          <t>Le joueur comprend stocks, capacité et autonomie.</t>
        </is>
      </c>
    </row>
    <row r="3" ht="38" customHeight="1">
      <c r="A3" s="19" t="n">
        <v>2</v>
      </c>
      <c r="B3" s="19" t="inlineStr">
        <is>
          <t>Panne de pompe mécanique</t>
        </is>
      </c>
      <c r="C3" s="19" t="inlineStr">
        <is>
          <t>Production d'eau à 0 pendant 1 jour</t>
        </is>
      </c>
      <c r="D3" s="19" t="inlineStr">
        <is>
          <t>Réparer avec pièces ou consommer le stock</t>
        </is>
      </c>
      <c r="E3" s="19" t="inlineStr">
        <is>
          <t>La panne est visible et réparable.</t>
        </is>
      </c>
    </row>
    <row r="4" ht="38" customHeight="1">
      <c r="A4" s="19" t="n">
        <v>3</v>
      </c>
      <c r="B4" s="19" t="inlineStr">
        <is>
          <t>Pompe réparée</t>
        </is>
      </c>
      <c r="C4" s="19" t="inlineStr">
        <is>
          <t>Retour à la production normale</t>
        </is>
      </c>
      <c r="D4" s="19" t="inlineStr">
        <is>
          <t>Reprendre la production</t>
        </is>
      </c>
      <c r="E4" s="19" t="inlineStr">
        <is>
          <t>L'eau ne tombe pas instantanément à zéro.</t>
        </is>
      </c>
    </row>
    <row r="5" ht="38" customHeight="1">
      <c r="A5" s="19" t="n">
        <v>4</v>
      </c>
      <c r="B5" s="19" t="inlineStr">
        <is>
          <t>Aucun événement</t>
        </is>
      </c>
      <c r="C5" s="19" t="inlineStr">
        <is>
          <t>Production normale</t>
        </is>
      </c>
      <c r="D5" s="19" t="inlineStr">
        <is>
          <t>Aucune action nécessaire</t>
        </is>
      </c>
      <c r="E5" s="19" t="inlineStr">
        <is>
          <t>Vérifier stabilité du bilan.</t>
        </is>
      </c>
    </row>
    <row r="6" ht="38" customHeight="1">
      <c r="A6" s="19" t="n">
        <v>5</v>
      </c>
      <c r="B6" s="19" t="inlineStr">
        <is>
          <t>Prévision météo défavorable</t>
        </is>
      </c>
      <c r="C6" s="19" t="inlineStr">
        <is>
          <t>Potager annoncé à -30 % sur le prochain cycle</t>
        </is>
      </c>
      <c r="D6" s="19" t="inlineStr">
        <is>
          <t>Préparer une réserve ou accepter une baisse</t>
        </is>
      </c>
      <c r="E6" s="19" t="inlineStr">
        <is>
          <t>L'information donne un temps de réaction.</t>
        </is>
      </c>
    </row>
    <row r="7" ht="38" customHeight="1">
      <c r="A7" s="19" t="n">
        <v>6</v>
      </c>
      <c r="B7" s="19" t="inlineStr">
        <is>
          <t>Mauvaise récolte</t>
        </is>
      </c>
      <c r="C7" s="19" t="inlineStr">
        <is>
          <t>Production nourriture réduite de 30 %</t>
        </is>
      </c>
      <c r="D7" s="19" t="inlineStr">
        <is>
          <t>Activer rationnement léger ou commerce</t>
        </is>
      </c>
      <c r="E7" s="19" t="inlineStr">
        <is>
          <t>La nourriture baisse mais n'est pas immédiatement épuisée.</t>
        </is>
      </c>
    </row>
    <row r="8" ht="38" customHeight="1">
      <c r="A8" s="19" t="n">
        <v>7</v>
      </c>
      <c r="B8" s="19" t="inlineStr">
        <is>
          <t>Récolte suivante normale</t>
        </is>
      </c>
      <c r="C8" s="19" t="inlineStr">
        <is>
          <t>Retour progressif</t>
        </is>
      </c>
      <c r="D8" s="19" t="inlineStr">
        <is>
          <t>Reconstituer les réserves</t>
        </is>
      </c>
      <c r="E8" s="19" t="inlineStr">
        <is>
          <t>Le système permet de se remettre d'un incident.</t>
        </is>
      </c>
    </row>
    <row r="9" ht="38" customHeight="1">
      <c r="A9" s="19" t="n">
        <v>8</v>
      </c>
      <c r="B9" s="19" t="inlineStr">
        <is>
          <t>Alerte carburant</t>
        </is>
      </c>
      <c r="C9" s="19" t="inlineStr">
        <is>
          <t>Autonomie inférieure au seuil de sécurité</t>
        </is>
      </c>
      <c r="D9" s="19" t="inlineStr">
        <is>
          <t>Couper les usages non essentiels</t>
        </is>
      </c>
      <c r="E9" s="19" t="inlineStr">
        <is>
          <t>Le joueur peut préserver le carburant.</t>
        </is>
      </c>
    </row>
    <row r="10" ht="38" customHeight="1">
      <c r="A10" s="19" t="n">
        <v>9</v>
      </c>
      <c r="B10" s="19" t="inlineStr">
        <is>
          <t>Générateur secondaire activé</t>
        </is>
      </c>
      <c r="C10" s="19" t="inlineStr">
        <is>
          <t>Consommation réduite sur le circuit principal mais capacité moindre</t>
        </is>
      </c>
      <c r="D10" s="19" t="inlineStr">
        <is>
          <t>Choisir les bâtiments prioritaires</t>
        </is>
      </c>
      <c r="E10" s="19" t="inlineStr">
        <is>
          <t>Le réseau électrique a des compromis.</t>
        </is>
      </c>
    </row>
    <row r="11" ht="38" customHeight="1">
      <c r="A11" s="19" t="n">
        <v>10</v>
      </c>
      <c r="B11" s="19" t="inlineStr">
        <is>
          <t>Éclaireurs de pillards détectés</t>
        </is>
      </c>
      <c r="C11" s="19" t="inlineStr">
        <is>
          <t>Avertissement avant raid</t>
        </is>
      </c>
      <c r="D11" s="19" t="inlineStr">
        <is>
          <t>Affecter des survivants et préparer les défenses</t>
        </is>
      </c>
      <c r="E11" s="19" t="inlineStr">
        <is>
          <t>La préparation réduit les dégâts.</t>
        </is>
      </c>
    </row>
    <row r="12" ht="38" customHeight="1">
      <c r="A12" s="19" t="n">
        <v>11</v>
      </c>
      <c r="B12" s="19" t="inlineStr">
        <is>
          <t>Raid de pillards</t>
        </is>
      </c>
      <c r="C12" s="19" t="inlineStr">
        <is>
          <t>Dégâts sur une défense et petite perte de matériaux</t>
        </is>
      </c>
      <c r="D12" s="19" t="inlineStr">
        <is>
          <t>Réparer et récupérer les débris</t>
        </is>
      </c>
      <c r="E12" s="19" t="inlineStr">
        <is>
          <t>L'attaque coûte des ressources sans détruire automatiquement la base.</t>
        </is>
      </c>
    </row>
    <row r="13" ht="38" customHeight="1">
      <c r="A13" s="19" t="n">
        <v>12</v>
      </c>
      <c r="B13" s="19" t="inlineStr">
        <is>
          <t>Réparation des défenses</t>
        </is>
      </c>
      <c r="C13" s="19" t="inlineStr">
        <is>
          <t>Consommation de matériaux/métal</t>
        </is>
      </c>
      <c r="D13" s="19" t="inlineStr">
        <is>
          <t>Lancer les réparations</t>
        </is>
      </c>
      <c r="E13" s="19" t="inlineStr">
        <is>
          <t>Le coût de la sécurité est visible.</t>
        </is>
      </c>
    </row>
    <row r="14" ht="38" customHeight="1">
      <c r="A14" s="19" t="n">
        <v>13</v>
      </c>
      <c r="B14" s="19" t="inlineStr">
        <is>
          <t>Élevage malade</t>
        </is>
      </c>
      <c r="C14" s="19" t="inlineStr">
        <is>
          <t>Poulailler produit -50 % pendant 2 jours</t>
        </is>
      </c>
      <c r="D14" s="19" t="inlineStr">
        <is>
          <t>Utiliser médicaments ou attendre</t>
        </is>
      </c>
      <c r="E14" s="19" t="inlineStr">
        <is>
          <t>La production a des aléas contrôlables.</t>
        </is>
      </c>
    </row>
    <row r="15" ht="38" customHeight="1">
      <c r="A15" s="19" t="n">
        <v>14</v>
      </c>
      <c r="B15" s="19" t="inlineStr">
        <is>
          <t>Traitement de l'élevage</t>
        </is>
      </c>
      <c r="C15" s="19" t="inlineStr">
        <is>
          <t>Retour progressif</t>
        </is>
      </c>
      <c r="D15" s="19" t="inlineStr">
        <is>
          <t>Dépenser ressources de soin</t>
        </is>
      </c>
      <c r="E15" s="19" t="inlineStr">
        <is>
          <t>Le traitement vaut le coût si les stocks le permettent.</t>
        </is>
      </c>
    </row>
    <row r="16" ht="38" customHeight="1">
      <c r="A16" s="19" t="n">
        <v>15</v>
      </c>
      <c r="B16" s="19" t="inlineStr">
        <is>
          <t>Bilan intermédiaire</t>
        </is>
      </c>
      <c r="C16" s="19" t="inlineStr">
        <is>
          <t>Aucun</t>
        </is>
      </c>
      <c r="D16" s="19" t="inlineStr">
        <is>
          <t>Consulter les tendances sur 15 jours</t>
        </is>
      </c>
      <c r="E16" s="19" t="inlineStr">
        <is>
          <t>Le tableau de bord aide à planifier.</t>
        </is>
      </c>
    </row>
    <row r="17" ht="38" customHeight="1">
      <c r="A17" s="19" t="n">
        <v>16</v>
      </c>
      <c r="B17" s="19" t="inlineStr">
        <is>
          <t>Fuite mineure de cuve</t>
        </is>
      </c>
      <c r="C17" s="19" t="inlineStr">
        <is>
          <t>Perte de 5 % du carburant stocké si non isolée</t>
        </is>
      </c>
      <c r="D17" s="19" t="inlineStr">
        <is>
          <t>Isoler la cuve et réparer</t>
        </is>
      </c>
      <c r="E17" s="19" t="inlineStr">
        <is>
          <t>Le carburant est précieux et la réparation urgente.</t>
        </is>
      </c>
    </row>
    <row r="18" ht="38" customHeight="1">
      <c r="A18" s="19" t="n">
        <v>17</v>
      </c>
      <c r="B18" s="19" t="inlineStr">
        <is>
          <t>Cuve réparée</t>
        </is>
      </c>
      <c r="C18" s="19" t="inlineStr">
        <is>
          <t>Pertes arrêtées</t>
        </is>
      </c>
      <c r="D18" s="19" t="inlineStr">
        <is>
          <t>Reprendre la gestion normale</t>
        </is>
      </c>
      <c r="E18" s="19" t="inlineStr">
        <is>
          <t>La fuite ne persiste pas après réparation.</t>
        </is>
      </c>
    </row>
    <row r="19" ht="38" customHeight="1">
      <c r="A19" s="19" t="n">
        <v>18</v>
      </c>
      <c r="B19" s="19" t="inlineStr">
        <is>
          <t>Panne d'ascenseur</t>
        </is>
      </c>
      <c r="C19" s="19" t="inlineStr">
        <is>
          <t>Transport vertical bloqué</t>
        </is>
      </c>
      <c r="D19" s="19" t="inlineStr">
        <is>
          <t>Réparer ou utiliser accès secondaire</t>
        </is>
      </c>
      <c r="E19" s="19" t="inlineStr">
        <is>
          <t>Les véhicules restent stockés et récupérables.</t>
        </is>
      </c>
    </row>
    <row r="20" ht="38" customHeight="1">
      <c r="A20" s="19" t="n">
        <v>19</v>
      </c>
      <c r="B20" s="19" t="inlineStr">
        <is>
          <t>Ascenseur réparé</t>
        </is>
      </c>
      <c r="C20" s="19" t="inlineStr">
        <is>
          <t>Accès rétabli</t>
        </is>
      </c>
      <c r="D20" s="19" t="inlineStr">
        <is>
          <t>Reprendre les transports</t>
        </is>
      </c>
      <c r="E20" s="19" t="inlineStr">
        <is>
          <t>La logistique verticale a une vraie valeur.</t>
        </is>
      </c>
    </row>
    <row r="21" ht="38" customHeight="1">
      <c r="A21" s="19" t="n">
        <v>20</v>
      </c>
      <c r="B21" s="19" t="inlineStr">
        <is>
          <t>Échange commercial retardé</t>
        </is>
      </c>
      <c r="C21" s="19" t="inlineStr">
        <is>
          <t>Convoi consomme plus de réserves</t>
        </is>
      </c>
      <c r="D21" s="19" t="inlineStr">
        <is>
          <t>Attendre, changer route ou soutien</t>
        </is>
      </c>
      <c r="E21" s="19" t="inlineStr">
        <is>
          <t>Le risque de trajet est lisible.</t>
        </is>
      </c>
    </row>
    <row r="22" ht="38" customHeight="1">
      <c r="A22" s="19" t="n">
        <v>21</v>
      </c>
      <c r="B22" s="19" t="inlineStr">
        <is>
          <t>Retour de l'échange</t>
        </is>
      </c>
      <c r="C22" s="19" t="inlineStr">
        <is>
          <t>Ressources partiellement livrées selon résultat</t>
        </is>
      </c>
      <c r="D22" s="19" t="inlineStr">
        <is>
          <t>Ajuster la production</t>
        </is>
      </c>
      <c r="E22" s="19" t="inlineStr">
        <is>
          <t>Le commerce peut compléter la production locale.</t>
        </is>
      </c>
    </row>
    <row r="23" ht="38" customHeight="1">
      <c r="A23" s="19" t="n">
        <v>22</v>
      </c>
      <c r="B23" s="19" t="inlineStr">
        <is>
          <t>Production stable</t>
        </is>
      </c>
      <c r="C23" s="19" t="inlineStr">
        <is>
          <t>Aucun</t>
        </is>
      </c>
      <c r="D23" s="19" t="inlineStr">
        <is>
          <t>Maintenir la réserve de sécurité</t>
        </is>
      </c>
      <c r="E23" s="19" t="inlineStr">
        <is>
          <t>Le joueur doit éviter de dépenser tout le stock.</t>
        </is>
      </c>
    </row>
    <row r="24" ht="38" customHeight="1">
      <c r="A24" s="19" t="n">
        <v>23</v>
      </c>
      <c r="B24" s="19" t="inlineStr">
        <is>
          <t>Consommation accrue</t>
        </is>
      </c>
      <c r="C24" s="19" t="inlineStr">
        <is>
          <t>Arrivée de nouveaux survivants : +5 habitants</t>
        </is>
      </c>
      <c r="D24" s="19" t="inlineStr">
        <is>
          <t>Augmenter nourriture/eau ou limiter les admissions</t>
        </is>
      </c>
      <c r="E24" s="19" t="inlineStr">
        <is>
          <t>Les nouveaux habitants ont un coût récurrent.</t>
        </is>
      </c>
    </row>
    <row r="25" ht="38" customHeight="1">
      <c r="A25" s="19" t="n">
        <v>24</v>
      </c>
      <c r="B25" s="19" t="inlineStr">
        <is>
          <t>Alerte nourriture</t>
        </is>
      </c>
      <c r="C25" s="19" t="inlineStr">
        <is>
          <t>Autonomie réduite par hausse de population</t>
        </is>
      </c>
      <c r="D25" s="19" t="inlineStr">
        <is>
          <t>Lancer une production ou collecte</t>
        </is>
      </c>
      <c r="E25" s="19" t="inlineStr">
        <is>
          <t>La croissance démographique demande une décision.</t>
        </is>
      </c>
    </row>
    <row r="26" ht="38" customHeight="1">
      <c r="A26" s="19" t="n">
        <v>25</v>
      </c>
      <c r="B26" s="19" t="inlineStr">
        <is>
          <t>Récolte normale</t>
        </is>
      </c>
      <c r="C26" s="19" t="inlineStr">
        <is>
          <t>Retour à rendement normal</t>
        </is>
      </c>
      <c r="D26" s="19" t="inlineStr">
        <is>
          <t>Reconstituer les stocks</t>
        </is>
      </c>
      <c r="E26" s="19" t="inlineStr">
        <is>
          <t>Les effets ne sont pas permanents.</t>
        </is>
      </c>
    </row>
    <row r="27" ht="38" customHeight="1">
      <c r="A27" s="19" t="n">
        <v>26</v>
      </c>
      <c r="B27" s="19" t="inlineStr">
        <is>
          <t>Puits de pétrole découvert</t>
        </is>
      </c>
      <c r="C27" s="19" t="inlineStr">
        <is>
          <t>Gisement local révélé, pas encore exploitable</t>
        </is>
      </c>
      <c r="D27" s="19" t="inlineStr">
        <is>
          <t>Investir dans forage et raffinage</t>
        </is>
      </c>
      <c r="E27" s="19" t="inlineStr">
        <is>
          <t>Découverte ne signifie pas production gratuite.</t>
        </is>
      </c>
    </row>
    <row r="28" ht="38" customHeight="1">
      <c r="A28" s="19" t="n">
        <v>27</v>
      </c>
      <c r="B28" s="19" t="inlineStr">
        <is>
          <t>Début des travaux</t>
        </is>
      </c>
      <c r="C28" s="19" t="inlineStr">
        <is>
          <t>Coûts de matériaux, métal et pièces</t>
        </is>
      </c>
      <c r="D28" s="19" t="inlineStr">
        <is>
          <t>Construire les installations</t>
        </is>
      </c>
      <c r="E28" s="19" t="inlineStr">
        <is>
          <t>L'autonomie énergétique exige un investissement.</t>
        </is>
      </c>
    </row>
    <row r="29" ht="38" customHeight="1">
      <c r="A29" s="19" t="n">
        <v>28</v>
      </c>
      <c r="B29" s="19" t="inlineStr">
        <is>
          <t>Raffinerie prête</t>
        </is>
      </c>
      <c r="C29" s="19" t="inlineStr">
        <is>
          <t>Petite production de carburant après mise en service</t>
        </is>
      </c>
      <c r="D29" s="19" t="inlineStr">
        <is>
          <t>Gérer le rendement et l'énergie</t>
        </is>
      </c>
      <c r="E29" s="19" t="inlineStr">
        <is>
          <t>Le brut n'est pas directement utilisable par tous les moteurs.</t>
        </is>
      </c>
    </row>
    <row r="30" ht="38" customHeight="1">
      <c r="A30" s="19" t="n">
        <v>29</v>
      </c>
      <c r="B30" s="19" t="inlineStr">
        <is>
          <t>Bilan ressources</t>
        </is>
      </c>
      <c r="C30" s="19" t="inlineStr">
        <is>
          <t>Aucun</t>
        </is>
      </c>
      <c r="D30" s="19" t="inlineStr">
        <is>
          <t>Comparer production et consommation</t>
        </is>
      </c>
      <c r="E30" s="19" t="inlineStr">
        <is>
          <t>Identifier les déficits structurels.</t>
        </is>
      </c>
    </row>
    <row r="31" ht="38" customHeight="1">
      <c r="A31" s="19" t="n">
        <v>30</v>
      </c>
      <c r="B31" s="19" t="inlineStr">
        <is>
          <t>Rapport mensuel</t>
        </is>
      </c>
      <c r="C31" s="19" t="inlineStr">
        <is>
          <t>Résumé des stocks, incidents, pertes et améliorations</t>
        </is>
      </c>
      <c r="D31" s="19" t="inlineStr">
        <is>
          <t>Planifier le mois suivant</t>
        </is>
      </c>
      <c r="E31" s="19" t="inlineStr">
        <is>
          <t>Le joueur comprend les conséquences de ses décisions.</t>
        </is>
      </c>
    </row>
  </sheetData>
  <autoFilter ref="A1:E3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1"/>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44" customWidth="1" min="3" max="3"/>
    <col width="46" customWidth="1" min="4" max="4"/>
    <col width="60" customWidth="1" min="5" max="5"/>
    <col width="42" customWidth="1" min="6" max="6"/>
    <col width="22" customWidth="1" min="7" max="7"/>
  </cols>
  <sheetData>
    <row r="1" ht="32" customHeight="1">
      <c r="A1" s="25" t="inlineStr">
        <is>
          <t>ID</t>
        </is>
      </c>
      <c r="B1" s="25" t="inlineStr">
        <is>
          <t>Phase</t>
        </is>
      </c>
      <c r="C1" s="25" t="inlineStr">
        <is>
          <t>Entrées requises</t>
        </is>
      </c>
      <c r="D1" s="25" t="inlineStr">
        <is>
          <t>Actions du joueur</t>
        </is>
      </c>
      <c r="E1" s="25" t="inlineStr">
        <is>
          <t>Calculs / vérifications</t>
        </is>
      </c>
      <c r="F1" s="25" t="inlineStr">
        <is>
          <t>Sorties</t>
        </is>
      </c>
      <c r="G1" s="25" t="inlineStr">
        <is>
          <t>Statut</t>
        </is>
      </c>
    </row>
    <row r="2" ht="54" customHeight="1">
      <c r="A2" s="2" t="inlineStr">
        <is>
          <t>EXP-01</t>
        </is>
      </c>
      <c r="B2" s="2" t="inlineStr">
        <is>
          <t>Objectif</t>
        </is>
      </c>
      <c r="C2" s="2" t="inlineStr">
        <is>
          <t>Carte, renseignements, objectifs actifs</t>
        </is>
      </c>
      <c r="D2" s="2" t="inlineStr">
        <is>
          <t>Choisir destination, objectif principal et secondaire</t>
        </is>
      </c>
      <c r="E2" s="2" t="inlineStr">
        <is>
          <t>Vérifier accessibilité, prérequis, danger connu et récompenses plausibles</t>
        </is>
      </c>
      <c r="F2" s="2" t="inlineStr">
        <is>
          <t>Contrat d’expédition / objectif enregistré</t>
        </is>
      </c>
      <c r="G2" s="2" t="inlineStr">
        <is>
          <t>Structure validée</t>
        </is>
      </c>
    </row>
    <row r="3" ht="54" customHeight="1">
      <c r="A3" s="2" t="inlineStr">
        <is>
          <t>EXP-02</t>
        </is>
      </c>
      <c r="B3" s="2" t="inlineStr">
        <is>
          <t>Préparation</t>
        </is>
      </c>
      <c r="C3" s="2" t="inlineStr">
        <is>
          <t>Véhicules, survivants, équipement, stocks</t>
        </is>
      </c>
      <c r="D3" s="2" t="inlineStr">
        <is>
          <t>Composer convoi, choisir équipage, provisions et cargaison</t>
        </is>
      </c>
      <c r="E3" s="2" t="inlineStr">
        <is>
          <t>Compatibilité carburant, places, capacité, état mécanique, équipement requis</t>
        </is>
      </c>
      <c r="F3" s="2" t="inlineStr">
        <is>
          <t>Composition et coût prévisionnel</t>
        </is>
      </c>
      <c r="G3" s="2" t="inlineStr">
        <is>
          <t>Structure validée</t>
        </is>
      </c>
    </row>
    <row r="4" ht="54" customHeight="1">
      <c r="A4" s="2" t="inlineStr">
        <is>
          <t>EXP-03</t>
        </is>
      </c>
      <c r="B4" s="2" t="inlineStr">
        <is>
          <t>Briefing</t>
        </is>
      </c>
      <c r="C4" s="2" t="inlineStr">
        <is>
          <t>Composition, carte, rapports, paramètres de risque</t>
        </is>
      </c>
      <c r="D4" s="2" t="inlineStr">
        <is>
          <t>Confirmer, modifier ou annuler le départ</t>
        </is>
      </c>
      <c r="E4" s="2" t="inlineStr">
        <is>
          <t>Estimer durée, consommation, autonomie retour et risque par segment</t>
        </is>
      </c>
      <c r="F4" s="2" t="inlineStr">
        <is>
          <t>Fourchettes et niveau de risque motivé</t>
        </is>
      </c>
      <c r="G4" s="2" t="inlineStr">
        <is>
          <t>Structure validée</t>
        </is>
      </c>
    </row>
    <row r="5" ht="54" customHeight="1">
      <c r="A5" s="2" t="inlineStr">
        <is>
          <t>EXP-04</t>
        </is>
      </c>
      <c r="B5" s="2" t="inlineStr">
        <is>
          <t>Transit</t>
        </is>
      </c>
      <c r="C5" s="2" t="inlineStr">
        <is>
          <t>Route, météo, terrain, véhicule, équipage</t>
        </is>
      </c>
      <c r="D5" s="2" t="inlineStr">
        <is>
          <t>Choisir vitesse/route si disponible, observer ou contourner</t>
        </is>
      </c>
      <c r="E5" s="2" t="inlineStr">
        <is>
          <t>Consommation, temps, usure, déclencheurs d’événement</t>
        </is>
      </c>
      <c r="F5" s="2" t="inlineStr">
        <is>
          <t>État mis à jour à chaque segment</t>
        </is>
      </c>
      <c r="G5" s="2" t="inlineStr">
        <is>
          <t>Structure validée</t>
        </is>
      </c>
    </row>
    <row r="6" ht="54" customHeight="1">
      <c r="A6" s="2" t="inlineStr">
        <is>
          <t>EXP-05</t>
        </is>
      </c>
      <c r="B6" s="2" t="inlineStr">
        <is>
          <t>Événement</t>
        </is>
      </c>
      <c r="C6" s="2" t="inlineStr">
        <is>
          <t>Déclencheur et conditions contextuelles</t>
        </is>
      </c>
      <c r="D6" s="2" t="inlineStr">
        <is>
          <t>Observer, contourner, fouiller, négocier, combattre, réparer, aider ou fuir</t>
        </is>
      </c>
      <c r="E6" s="2" t="inlineStr">
        <is>
          <t>Coûts immédiats, risques, conséquences différées, journal</t>
        </is>
      </c>
      <c r="F6" s="2" t="inlineStr">
        <is>
          <t>Résultat et nouvel état du convoi</t>
        </is>
      </c>
      <c r="G6" s="2" t="inlineStr">
        <is>
          <t>Structure validée</t>
        </is>
      </c>
    </row>
    <row r="7" ht="54" customHeight="1">
      <c r="A7" s="2" t="inlineStr">
        <is>
          <t>EXP-06</t>
        </is>
      </c>
      <c r="B7" s="2" t="inlineStr">
        <is>
          <t>Objectif local</t>
        </is>
      </c>
      <c r="C7" s="2" t="inlineStr">
        <is>
          <t>Site, menace, outils, capacité de chargement</t>
        </is>
      </c>
      <c r="D7" s="2" t="inlineStr">
        <is>
          <t>Fouiller, sécuriser, récupérer, échanger ou renoncer</t>
        </is>
      </c>
      <c r="E7" s="2" t="inlineStr">
        <is>
          <t>Temps, poids, danger, état des objets, disponibilité persistante</t>
        </is>
      </c>
      <c r="F7" s="2" t="inlineStr">
        <is>
          <t>Butin/infos/relations, état du site</t>
        </is>
      </c>
      <c r="G7" s="2" t="inlineStr">
        <is>
          <t>Structure validée</t>
        </is>
      </c>
    </row>
    <row r="8" ht="54" customHeight="1">
      <c r="A8" s="2" t="inlineStr">
        <is>
          <t>EXP-07</t>
        </is>
      </c>
      <c r="B8" s="2" t="inlineStr">
        <is>
          <t>Décision de poursuite</t>
        </is>
      </c>
      <c r="C8" s="2" t="inlineStr">
        <is>
          <t>Stocks restants, état des véhicules, risque mis à jour</t>
        </is>
      </c>
      <c r="D8" s="2" t="inlineStr">
        <is>
          <t>Poursuivre, se replier, changer l’objectif ou abandonner du matériel</t>
        </is>
      </c>
      <c r="E8" s="2" t="inlineStr">
        <is>
          <t>Autonomie réelle, charge utile, état de l’équipage</t>
        </is>
      </c>
      <c r="F8" s="2" t="inlineStr">
        <is>
          <t>Nouvelle route ou ordre de retour</t>
        </is>
      </c>
      <c r="G8" s="2" t="inlineStr">
        <is>
          <t>Structure validée</t>
        </is>
      </c>
    </row>
    <row r="9" ht="54" customHeight="1">
      <c r="A9" s="2" t="inlineStr">
        <is>
          <t>EXP-08</t>
        </is>
      </c>
      <c r="B9" s="2" t="inlineStr">
        <is>
          <t>Retour</t>
        </is>
      </c>
      <c r="C9" s="2" t="inlineStr">
        <is>
          <t>Itinéraire retour, ressources, cargaison</t>
        </is>
      </c>
      <c r="D9" s="2" t="inlineStr">
        <is>
          <t>Choisir itinéraire de retour si possible</t>
        </is>
      </c>
      <c r="E9" s="2" t="inlineStr">
        <is>
          <t>Carburant, temps, événements, capacité, véhicule remorqué</t>
        </is>
      </c>
      <c r="F9" s="2" t="inlineStr">
        <is>
          <t>Convoi de retour</t>
        </is>
      </c>
      <c r="G9" s="2" t="inlineStr">
        <is>
          <t>Structure validée</t>
        </is>
      </c>
    </row>
    <row r="10" ht="54" customHeight="1">
      <c r="A10" s="2" t="inlineStr">
        <is>
          <t>EXP-09</t>
        </is>
      </c>
      <c r="B10" s="2" t="inlineStr">
        <is>
          <t>Bilan</t>
        </is>
      </c>
      <c r="C10" s="2" t="inlineStr">
        <is>
          <t>État final, journal d’événements, inventaires</t>
        </is>
      </c>
      <c r="D10" s="2" t="inlineStr">
        <is>
          <t>Consulter le rapport</t>
        </is>
      </c>
      <c r="E10" s="2" t="inlineStr">
        <is>
          <t>Rapprocher estimation et résultat ; éviter doublons ; appliquer gains/pertes</t>
        </is>
      </c>
      <c r="F10" s="2" t="inlineStr">
        <is>
          <t>Rapport complet, stocks mis à jour</t>
        </is>
      </c>
      <c r="G10" s="2" t="inlineStr">
        <is>
          <t>Structure validée</t>
        </is>
      </c>
    </row>
    <row r="11" ht="54" customHeight="1">
      <c r="A11" s="2" t="inlineStr">
        <is>
          <t>EXP-10</t>
        </is>
      </c>
      <c r="B11" s="2" t="inlineStr">
        <is>
          <t>Récupération à la base</t>
        </is>
      </c>
      <c r="C11" s="2" t="inlineStr">
        <is>
          <t>Blessés, véhicules, cargaison, épaves</t>
        </is>
      </c>
      <c r="D11" s="2" t="inlineStr">
        <is>
          <t>Affecter soins, décharger, réparer, démonter et réorganiser</t>
        </is>
      </c>
      <c r="E11" s="2" t="inlineStr">
        <is>
          <t>Validation des transferts et composants réellement présents</t>
        </is>
      </c>
      <c r="F11" s="2" t="inlineStr">
        <is>
          <t>Base et véhicules actualisés</t>
        </is>
      </c>
      <c r="G11" s="2" t="inlineStr">
        <is>
          <t>Structure validée</t>
        </is>
      </c>
    </row>
  </sheetData>
  <autoFilter ref="A1:G1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13"/>
  <sheetViews>
    <sheetView showGridLines="0" workbookViewId="0">
      <pane ySplit="1" topLeftCell="A2" activePane="bottomLeft" state="frozen"/>
      <selection pane="bottomLeft" activeCell="A1" sqref="A1"/>
    </sheetView>
  </sheetViews>
  <sheetFormatPr baseColWidth="8" defaultRowHeight="15"/>
  <cols>
    <col width="14" customWidth="1" min="1" max="1"/>
    <col width="26" customWidth="1" min="2" max="2"/>
    <col width="54" customWidth="1" min="3" max="3"/>
    <col width="46" customWidth="1" min="4" max="4"/>
    <col width="44" customWidth="1" min="5" max="5"/>
    <col width="22" customWidth="1" min="6" max="6"/>
  </cols>
  <sheetData>
    <row r="1" ht="32" customHeight="1">
      <c r="A1" s="25" t="inlineStr">
        <is>
          <t>ID</t>
        </is>
      </c>
      <c r="B1" s="25" t="inlineStr">
        <is>
          <t>Facteur</t>
        </is>
      </c>
      <c r="C1" s="25" t="inlineStr">
        <is>
          <t>Effet attendu</t>
        </is>
      </c>
      <c r="D1" s="25" t="inlineStr">
        <is>
          <t>Information affichée au joueur</t>
        </is>
      </c>
      <c r="E1" s="25" t="inlineStr">
        <is>
          <t>Contre-mesures possibles</t>
        </is>
      </c>
      <c r="F1" s="25" t="inlineStr">
        <is>
          <t>Statut</t>
        </is>
      </c>
    </row>
    <row r="2" ht="54" customHeight="1">
      <c r="A2" s="2" t="inlineStr">
        <is>
          <t>RISK-01</t>
        </is>
      </c>
      <c r="B2" s="2" t="inlineStr">
        <is>
          <t>Menace locale</t>
        </is>
      </c>
      <c r="C2" s="2" t="inlineStr">
        <is>
          <t>Augmente la fréquence ou la gravité des rencontres hostiles</t>
        </is>
      </c>
      <c r="D2" s="2" t="inlineStr">
        <is>
          <t>Niveau de menace et source du renseignement</t>
        </is>
      </c>
      <c r="E2" s="2" t="inlineStr">
        <is>
          <t>Reconnaissance, détour, escorte, réduction du bruit</t>
        </is>
      </c>
      <c r="F2" s="2" t="inlineStr">
        <is>
          <t>À équilibrer</t>
        </is>
      </c>
    </row>
    <row r="3" ht="54" customHeight="1">
      <c r="A3" s="2" t="inlineStr">
        <is>
          <t>RISK-02</t>
        </is>
      </c>
      <c r="B3" s="2" t="inlineStr">
        <is>
          <t>Itinéraire inconnu</t>
        </is>
      </c>
      <c r="C3" s="2" t="inlineStr">
        <is>
          <t>Augmente l’incertitude sur terrain, durée et événements</t>
        </is>
      </c>
      <c r="D3" s="2" t="inlineStr">
        <is>
          <t>Zone non cartographiée / estimation large</t>
        </is>
      </c>
      <c r="E3" s="2" t="inlineStr">
        <is>
          <t>Éclaireur, carte, information d’une faction</t>
        </is>
      </c>
      <c r="F3" s="2" t="inlineStr">
        <is>
          <t>Validé</t>
        </is>
      </c>
    </row>
    <row r="4" ht="54" customHeight="1">
      <c r="A4" s="2" t="inlineStr">
        <is>
          <t>RISK-03</t>
        </is>
      </c>
      <c r="B4" s="2" t="inlineStr">
        <is>
          <t>Terrain difficile</t>
        </is>
      </c>
      <c r="C4" s="2" t="inlineStr">
        <is>
          <t>Augmente durée, consommation, usure ou risque de panne</t>
        </is>
      </c>
      <c r="D4" s="2" t="inlineStr">
        <is>
          <t>Type de terrain et pénalité estimée</t>
        </is>
      </c>
      <c r="E4" s="2" t="inlineStr">
        <is>
          <t>Véhicule adapté, détour, vitesse réduite</t>
        </is>
      </c>
      <c r="F4" s="2" t="inlineStr">
        <is>
          <t>À équilibrer</t>
        </is>
      </c>
    </row>
    <row r="5" ht="54" customHeight="1">
      <c r="A5" s="2" t="inlineStr">
        <is>
          <t>RISK-04</t>
        </is>
      </c>
      <c r="B5" s="2" t="inlineStr">
        <is>
          <t>Charge élevée</t>
        </is>
      </c>
      <c r="C5" s="2" t="inlineStr">
        <is>
          <t>Peut augmenter consommation, freinage, usure et risque de panne</t>
        </is>
      </c>
      <c r="D5" s="2" t="inlineStr">
        <is>
          <t>Charge utilisée / capacité totale</t>
        </is>
      </c>
      <c r="E5" s="2" t="inlineStr">
        <is>
          <t>Répartir la cargaison, véhicule de transport</t>
        </is>
      </c>
      <c r="F5" s="2" t="inlineStr">
        <is>
          <t>Validé</t>
        </is>
      </c>
    </row>
    <row r="6" ht="54" customHeight="1">
      <c r="A6" s="2" t="inlineStr">
        <is>
          <t>RISK-05</t>
        </is>
      </c>
      <c r="B6" s="2" t="inlineStr">
        <is>
          <t>État mécanique dégradé</t>
        </is>
      </c>
      <c r="C6" s="2" t="inlineStr">
        <is>
          <t>Augmente probabilité de panne et gravité des incidents</t>
        </is>
      </c>
      <c r="D6" s="2" t="inlineStr">
        <is>
          <t>État et défauts connus</t>
        </is>
      </c>
      <c r="E6" s="2" t="inlineStr">
        <is>
          <t>Réparation, pièces de rechange, véhicule de secours</t>
        </is>
      </c>
      <c r="F6" s="2" t="inlineStr">
        <is>
          <t>Validé</t>
        </is>
      </c>
    </row>
    <row r="7" ht="54" customHeight="1">
      <c r="A7" s="2" t="inlineStr">
        <is>
          <t>RISK-06</t>
        </is>
      </c>
      <c r="B7" s="2" t="inlineStr">
        <is>
          <t>Bruit / vitesse</t>
        </is>
      </c>
      <c r="C7" s="2" t="inlineStr">
        <is>
          <t>Peut attirer les menaces mais réduire la durée de transit</t>
        </is>
      </c>
      <c r="D7" s="2" t="inlineStr">
        <is>
          <t>Niveau de bruit et compromis vitesse/discrétion</t>
        </is>
      </c>
      <c r="E7" s="2" t="inlineStr">
        <is>
          <t>Ralentir, couper moteur, détour discret</t>
        </is>
      </c>
      <c r="F7" s="2" t="inlineStr">
        <is>
          <t>À équilibrer</t>
        </is>
      </c>
    </row>
    <row r="8" ht="54" customHeight="1">
      <c r="A8" s="2" t="inlineStr">
        <is>
          <t>RISK-07</t>
        </is>
      </c>
      <c r="B8" s="2" t="inlineStr">
        <is>
          <t>Météo / visibilité</t>
        </is>
      </c>
      <c r="C8" s="2" t="inlineStr">
        <is>
          <t>Modifie perception, vitesse et navigation</t>
        </is>
      </c>
      <c r="D8" s="2" t="inlineStr">
        <is>
          <t>Prévision fiable ou incertitude météo</t>
        </is>
      </c>
      <c r="E8" s="2" t="inlineStr">
        <is>
          <t>Attendre, équipement, route alternative</t>
        </is>
      </c>
      <c r="F8" s="2" t="inlineStr">
        <is>
          <t>À équilibrer</t>
        </is>
      </c>
    </row>
    <row r="9" ht="54" customHeight="1">
      <c r="A9" s="2" t="inlineStr">
        <is>
          <t>RISK-08</t>
        </is>
      </c>
      <c r="B9" s="2" t="inlineStr">
        <is>
          <t>Cargaison attractive</t>
        </is>
      </c>
      <c r="C9" s="2" t="inlineStr">
        <is>
          <t>Peut attirer pillards ou contrôles ciblés</t>
        </is>
      </c>
      <c r="D9" s="2" t="inlineStr">
        <is>
          <t>Risque de convoi ciblé si connu</t>
        </is>
      </c>
      <c r="E9" s="2" t="inlineStr">
        <is>
          <t>Dissimuler, escorte, itinéraire secondaire</t>
        </is>
      </c>
      <c r="F9" s="2" t="inlineStr">
        <is>
          <t>À équilibrer</t>
        </is>
      </c>
    </row>
    <row r="10" ht="54" customHeight="1">
      <c r="A10" s="2" t="inlineStr">
        <is>
          <t>RISK-09</t>
        </is>
      </c>
      <c r="B10" s="2" t="inlineStr">
        <is>
          <t>Réputation locale</t>
        </is>
      </c>
      <c r="C10" s="2" t="inlineStr">
        <is>
          <t>Peut modifier accueil, troc, péages ou hostilité</t>
        </is>
      </c>
      <c r="D10" s="2" t="inlineStr">
        <is>
          <t>Réputation connue de la faction</t>
        </is>
      </c>
      <c r="E10" s="2" t="inlineStr">
        <is>
          <t>Diplomatie, biens d’échange, éviter la zone</t>
        </is>
      </c>
      <c r="F10" s="2" t="inlineStr">
        <is>
          <t>À équilibrer</t>
        </is>
      </c>
    </row>
    <row r="11" ht="54" customHeight="1">
      <c r="A11" s="2" t="inlineStr">
        <is>
          <t>RISK-10</t>
        </is>
      </c>
      <c r="B11" s="2" t="inlineStr">
        <is>
          <t>Faune dangereuse</t>
        </is>
      </c>
      <c r="C11" s="2" t="inlineStr">
        <is>
          <t>Risque contextuel selon biome, saison et bruit</t>
        </is>
      </c>
      <c r="D11" s="2" t="inlineStr">
        <is>
          <t>Signes observés, danger connu ou probable</t>
        </is>
      </c>
      <c r="E11" s="2" t="inlineStr">
        <is>
          <t>Éviter, sécuriser camp, arme si nécessaire</t>
        </is>
      </c>
      <c r="F11" s="2" t="inlineStr">
        <is>
          <t>À équilibrer</t>
        </is>
      </c>
    </row>
    <row r="12" ht="54" customHeight="1">
      <c r="A12" s="2" t="inlineStr">
        <is>
          <t>RISK-11</t>
        </is>
      </c>
      <c r="B12" s="2" t="inlineStr">
        <is>
          <t>Réserve carburant faible</t>
        </is>
      </c>
      <c r="C12" s="2" t="inlineStr">
        <is>
          <t>Réduit les options et rend le repli plus risqué</t>
        </is>
      </c>
      <c r="D12" s="2" t="inlineStr">
        <is>
          <t>Autonomie estimée et réserve de sécurité</t>
        </is>
      </c>
      <c r="E12" s="2" t="inlineStr">
        <is>
          <t>Ravitaillement confirmé, abandon d’objectif, repli anticipé</t>
        </is>
      </c>
      <c r="F12" s="2" t="inlineStr">
        <is>
          <t>Validé</t>
        </is>
      </c>
    </row>
    <row r="13" ht="54" customHeight="1">
      <c r="A13" s="2" t="inlineStr">
        <is>
          <t>RISK-12</t>
        </is>
      </c>
      <c r="B13" s="2" t="inlineStr">
        <is>
          <t>Équipage épuisé / blessé</t>
        </is>
      </c>
      <c r="C13" s="2" t="inlineStr">
        <is>
          <t>Réduit capacité d’action et augmente conséquences d’incident</t>
        </is>
      </c>
      <c r="D13" s="2" t="inlineStr">
        <is>
          <t>État général de l’équipage</t>
        </is>
      </c>
      <c r="E13" s="2" t="inlineStr">
        <is>
          <t>Repos, rotation, équipement médical</t>
        </is>
      </c>
      <c r="F13" s="2" t="inlineStr">
        <is>
          <t>À équilibrer</t>
        </is>
      </c>
    </row>
  </sheetData>
  <autoFilter ref="A1:F13"/>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10"/>
  <sheetViews>
    <sheetView showGridLines="0" workbookViewId="0">
      <pane ySplit="1" topLeftCell="A2" activePane="bottomLeft" state="frozen"/>
      <selection pane="bottomLeft" activeCell="A1" sqref="A1"/>
    </sheetView>
  </sheetViews>
  <sheetFormatPr baseColWidth="8" defaultRowHeight="15"/>
  <cols>
    <col width="15" customWidth="1" min="1" max="1"/>
    <col width="24" customWidth="1" min="2" max="2"/>
    <col width="52" customWidth="1" min="3" max="3"/>
    <col width="52" customWidth="1" min="4" max="4"/>
    <col width="38" customWidth="1" min="5" max="5"/>
    <col width="50" customWidth="1" min="6" max="6"/>
    <col width="54" customWidth="1" min="7" max="7"/>
    <col width="20" customWidth="1" min="8" max="8"/>
  </cols>
  <sheetData>
    <row r="1" ht="32" customHeight="1">
      <c r="A1" s="25" t="inlineStr">
        <is>
          <t>ID</t>
        </is>
      </c>
      <c r="B1" s="25" t="inlineStr">
        <is>
          <t>Famille</t>
        </is>
      </c>
      <c r="C1" s="25" t="inlineStr">
        <is>
          <t>Déclencheur / conditions</t>
        </is>
      </c>
      <c r="D1" s="25" t="inlineStr">
        <is>
          <t>Choix joueur</t>
        </is>
      </c>
      <c r="E1" s="25" t="inlineStr">
        <is>
          <t>Coûts immédiats</t>
        </is>
      </c>
      <c r="F1" s="25" t="inlineStr">
        <is>
          <t>Risques / conséquences</t>
        </is>
      </c>
      <c r="G1" s="25" t="inlineStr">
        <is>
          <t>Répétition / persistance</t>
        </is>
      </c>
      <c r="H1" s="25" t="inlineStr">
        <is>
          <t>Statut</t>
        </is>
      </c>
    </row>
    <row r="2" ht="54" customHeight="1">
      <c r="A2" s="2" t="inlineStr">
        <is>
          <t>EV-ROAD-01</t>
        </is>
      </c>
      <c r="B2" s="2" t="inlineStr">
        <is>
          <t>Obstacle</t>
        </is>
      </c>
      <c r="C2" s="2" t="inlineStr">
        <is>
          <t>Route bloquée ou pont détruit sur un segment</t>
        </is>
      </c>
      <c r="D2" s="2" t="inlineStr">
        <is>
          <t>Contourner / réparer / franchir si équipé / faire demi-tour</t>
        </is>
      </c>
      <c r="E2" s="2" t="inlineStr">
        <is>
          <t>Temps, carburant, pièces éventuelles</t>
        </is>
      </c>
      <c r="F2" s="2" t="inlineStr">
        <is>
          <t>Dégâts, détour, retard</t>
        </is>
      </c>
      <c r="G2" s="2" t="inlineStr">
        <is>
          <t>État de la route persistant si changement majeur</t>
        </is>
      </c>
      <c r="H2" s="2" t="inlineStr">
        <is>
          <t>À détailler</t>
        </is>
      </c>
    </row>
    <row r="3" ht="54" customHeight="1">
      <c r="A3" s="2" t="inlineStr">
        <is>
          <t>EV-HUM-01</t>
        </is>
      </c>
      <c r="B3" s="2" t="inlineStr">
        <is>
          <t>Menace humaine</t>
        </is>
      </c>
      <c r="C3" s="2" t="inlineStr">
        <is>
          <t>Menace hostile détectée ou embuscade contextuelle</t>
        </is>
      </c>
      <c r="D3" s="2" t="inlineStr">
        <is>
          <t>Éviter / observer / négocier / combattre / fuir</t>
        </is>
      </c>
      <c r="E3" s="2" t="inlineStr">
        <is>
          <t>Temps, biens, munitions, soins</t>
        </is>
      </c>
      <c r="F3" s="2" t="inlineStr">
        <is>
          <t>Blessures, pertes, réputation, alerte de zone</t>
        </is>
      </c>
      <c r="G3" s="2" t="inlineStr">
        <is>
          <t>Une rencontre résolue ne se répète pas immédiatement au même emplacement</t>
        </is>
      </c>
      <c r="H3" s="2" t="inlineStr">
        <is>
          <t>À détailler</t>
        </is>
      </c>
    </row>
    <row r="4" ht="54" customHeight="1">
      <c r="A4" s="2" t="inlineStr">
        <is>
          <t>EV-FAU-01</t>
        </is>
      </c>
      <c r="B4" s="2" t="inlineStr">
        <is>
          <t>Faune</t>
        </is>
      </c>
      <c r="C4" s="2" t="inlineStr">
        <is>
          <t>Présence plausible selon biome et conditions</t>
        </is>
      </c>
      <c r="D4" s="2" t="inlineStr">
        <is>
          <t>Contourner / effrayer / défendre / chasser si cohérent</t>
        </is>
      </c>
      <c r="E4" s="2" t="inlineStr">
        <is>
          <t>Temps, munitions ou blessures possibles</t>
        </is>
      </c>
      <c r="F4" s="2" t="inlineStr">
        <is>
          <t>Blessures, ressources récupérables si carcasse accessible</t>
        </is>
      </c>
      <c r="G4" s="2" t="inlineStr">
        <is>
          <t>Faune et carcasse suivent un état local</t>
        </is>
      </c>
      <c r="H4" s="2" t="inlineStr">
        <is>
          <t>À détailler</t>
        </is>
      </c>
    </row>
    <row r="5" ht="54" customHeight="1">
      <c r="A5" s="2" t="inlineStr">
        <is>
          <t>EV-OPP-01</t>
        </is>
      </c>
      <c r="B5" s="2" t="inlineStr">
        <is>
          <t>Opportunité</t>
        </is>
      </c>
      <c r="C5" s="2" t="inlineStr">
        <is>
          <t>Épave, dépôt, ferme ou cache non épuisée</t>
        </is>
      </c>
      <c r="D5" s="2" t="inlineStr">
        <is>
          <t>Fouiller / charger / sécuriser / marquer / ignorer</t>
        </is>
      </c>
      <c r="E5" s="2" t="inlineStr">
        <is>
          <t>Temps, capacité, exposition</t>
        </is>
      </c>
      <c r="F5" s="2" t="inlineStr">
        <is>
          <t>Butin, incident, nouvelle information</t>
        </is>
      </c>
      <c r="G5" s="2" t="inlineStr">
        <is>
          <t>Contenu épuisé ou réduit après prélèvement</t>
        </is>
      </c>
      <c r="H5" s="2" t="inlineStr">
        <is>
          <t>À détailler</t>
        </is>
      </c>
    </row>
    <row r="6" ht="54" customHeight="1">
      <c r="A6" s="2" t="inlineStr">
        <is>
          <t>EV-MEC-01</t>
        </is>
      </c>
      <c r="B6" s="2" t="inlineStr">
        <is>
          <t>Incident mécanique</t>
        </is>
      </c>
      <c r="C6" s="2" t="inlineStr">
        <is>
          <t>État, terrain ou événement provoque une panne</t>
        </is>
      </c>
      <c r="D6" s="2" t="inlineStr">
        <is>
          <t>Réparer / cannibaliser / remorquer / abandonner</t>
        </is>
      </c>
      <c r="E6" s="2" t="inlineStr">
        <is>
          <t>Temps, pièces, outils</t>
        </is>
      </c>
      <c r="F6" s="2" t="inlineStr">
        <is>
          <t>Immobilisation, perte du véhicule ou de la cargaison</t>
        </is>
      </c>
      <c r="G6" s="2" t="inlineStr">
        <is>
          <t>Défaut enregistré sur le véhicule</t>
        </is>
      </c>
      <c r="H6" s="2" t="inlineStr">
        <is>
          <t>À détailler</t>
        </is>
      </c>
    </row>
    <row r="7" ht="54" customHeight="1">
      <c r="A7" s="2" t="inlineStr">
        <is>
          <t>EV-DIP-01</t>
        </is>
      </c>
      <c r="B7" s="2" t="inlineStr">
        <is>
          <t>Rencontre sociale</t>
        </is>
      </c>
      <c r="C7" s="2" t="inlineStr">
        <is>
          <t>Groupe ou faction présente et joignable</t>
        </is>
      </c>
      <c r="D7" s="2" t="inlineStr">
        <is>
          <t>Troc / recrutement / secours / refus / escorte</t>
        </is>
      </c>
      <c r="E7" s="2" t="inlineStr">
        <is>
          <t>Biens, temps, capacité disponible</t>
        </is>
      </c>
      <c r="F7" s="2" t="inlineStr">
        <is>
          <t>Relations, nouveaux objectifs, risques différés</t>
        </is>
      </c>
      <c r="G7" s="2" t="inlineStr">
        <is>
          <t>Relations et promesses conservées</t>
        </is>
      </c>
      <c r="H7" s="2" t="inlineStr">
        <is>
          <t>À détailler</t>
        </is>
      </c>
    </row>
    <row r="8" ht="54" customHeight="1">
      <c r="A8" s="2" t="inlineStr">
        <is>
          <t>EV-RES-01</t>
        </is>
      </c>
      <c r="B8" s="2" t="inlineStr">
        <is>
          <t>Ressource locale</t>
        </is>
      </c>
      <c r="C8" s="2" t="inlineStr">
        <is>
          <t>Puits, dépôt ou installation technique détecté</t>
        </is>
      </c>
      <c r="D8" s="2" t="inlineStr">
        <is>
          <t>Tester / extraire / traiter / stocker / renoncer</t>
        </is>
      </c>
      <c r="E8" s="2" t="inlineStr">
        <is>
          <t>Temps, équipement, capacité</t>
        </is>
      </c>
      <c r="F8" s="2" t="inlineStr">
        <is>
          <t>Ressource exploitable ou contamination/danger</t>
        </is>
      </c>
      <c r="G8" s="2" t="inlineStr">
        <is>
          <t>Quantité locale persistante</t>
        </is>
      </c>
      <c r="H8" s="2" t="inlineStr">
        <is>
          <t>À détailler</t>
        </is>
      </c>
    </row>
    <row r="9" ht="54" customHeight="1">
      <c r="A9" s="2" t="inlineStr">
        <is>
          <t>EV-WEA-01</t>
        </is>
      </c>
      <c r="B9" s="2" t="inlineStr">
        <is>
          <t>Météo</t>
        </is>
      </c>
      <c r="C9" s="2" t="inlineStr">
        <is>
          <t>Conditions météo pertinentes sur le segment</t>
        </is>
      </c>
      <c r="D9" s="2" t="inlineStr">
        <is>
          <t>Attendre / continuer / changer route</t>
        </is>
      </c>
      <c r="E9" s="2" t="inlineStr">
        <is>
          <t>Temps et provisions</t>
        </is>
      </c>
      <c r="F9" s="2" t="inlineStr">
        <is>
          <t>Visibilité, consommation, dégâts selon conditions</t>
        </is>
      </c>
      <c r="G9" s="2" t="inlineStr">
        <is>
          <t>Effet limité à la période et à la zone</t>
        </is>
      </c>
      <c r="H9" s="2" t="inlineStr">
        <is>
          <t>À détailler</t>
        </is>
      </c>
    </row>
    <row r="10" ht="54" customHeight="1">
      <c r="A10" s="2" t="inlineStr">
        <is>
          <t>EV-RESC-01</t>
        </is>
      </c>
      <c r="B10" s="2" t="inlineStr">
        <is>
          <t>Secours</t>
        </is>
      </c>
      <c r="C10" s="2" t="inlineStr">
        <is>
          <t>Survivant ou groupe en danger rencontré</t>
        </is>
      </c>
      <c r="D10" s="2" t="inlineStr">
        <is>
          <t>Secourir / échanger / escorter / refuser</t>
        </is>
      </c>
      <c r="E10" s="2" t="inlineStr">
        <is>
          <t>Places, eau, nourriture, temps</t>
        </is>
      </c>
      <c r="F10" s="2" t="inlineStr">
        <is>
          <t>Nouveau membre, blessure, conflit ou information</t>
        </is>
      </c>
      <c r="G10" s="2" t="inlineStr">
        <is>
          <t>Personnes sauvées ne réapparaissent pas comme non secourues</t>
        </is>
      </c>
      <c r="H10" s="2" t="inlineStr">
        <is>
          <t>À détailler</t>
        </is>
      </c>
    </row>
  </sheetData>
  <autoFilter ref="A1:H10"/>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4" customWidth="1" min="1" max="1"/>
    <col width="32" customWidth="1" min="2" max="2"/>
    <col width="36" customWidth="1" min="3" max="3"/>
    <col width="50" customWidth="1" min="4" max="4"/>
    <col width="54" customWidth="1" min="5" max="5"/>
    <col width="54" customWidth="1" min="6" max="6"/>
    <col width="20" customWidth="1" min="7" max="7"/>
  </cols>
  <sheetData>
    <row r="1" ht="32" customHeight="1">
      <c r="A1" s="25" t="inlineStr">
        <is>
          <t>ID</t>
        </is>
      </c>
      <c r="B1" s="25" t="inlineStr">
        <is>
          <t>État de l’épave</t>
        </is>
      </c>
      <c r="C1" s="25" t="inlineStr">
        <is>
          <t>Action possible</t>
        </is>
      </c>
      <c r="D1" s="25" t="inlineStr">
        <is>
          <t>Prérequis</t>
        </is>
      </c>
      <c r="E1" s="25" t="inlineStr">
        <is>
          <t>Conséquence</t>
        </is>
      </c>
      <c r="F1" s="25" t="inlineStr">
        <is>
          <t>Règle anti-duplication</t>
        </is>
      </c>
      <c r="G1" s="25" t="inlineStr">
        <is>
          <t>Statut</t>
        </is>
      </c>
    </row>
    <row r="2" ht="54" customHeight="1">
      <c r="A2" s="2" t="inlineStr">
        <is>
          <t>WRECK-01</t>
        </is>
      </c>
      <c r="B2" s="2" t="inlineStr">
        <is>
          <t>Véhicule complet, endommagé</t>
        </is>
      </c>
      <c r="C2" s="2" t="inlineStr">
        <is>
          <t>Réparer vers configuration d’origine</t>
        </is>
      </c>
      <c r="D2" s="2" t="inlineStr">
        <is>
          <t>Toutes pièces requises présentes, pièces/outils et atelier ou réparation terrain autorisée</t>
        </is>
      </c>
      <c r="E2" s="2" t="inlineStr">
        <is>
          <t>Véhicule récupéré avec état amélioré</t>
        </is>
      </c>
      <c r="F2" s="2" t="inlineStr">
        <is>
          <t>Les pièces installées restent sur le véhicule, non ajoutées à l’inventaire</t>
        </is>
      </c>
      <c r="G2" s="2" t="inlineStr">
        <is>
          <t>Validé</t>
        </is>
      </c>
    </row>
    <row r="3" ht="54" customHeight="1">
      <c r="A3" s="2" t="inlineStr">
        <is>
          <t>WRECK-02</t>
        </is>
      </c>
      <c r="B3" s="2" t="inlineStr">
        <is>
          <t>Véhicule incomplet</t>
        </is>
      </c>
      <c r="C3" s="2" t="inlineStr">
        <is>
          <t>Démonter les composants présents</t>
        </is>
      </c>
      <c r="D3" s="2" t="inlineStr">
        <is>
          <t>Outils et temps ; espace de chargement</t>
        </is>
      </c>
      <c r="E3" s="2" t="inlineStr">
        <is>
          <t>Composants réellement présents ajoutés à l’inventaire</t>
        </is>
      </c>
      <c r="F3" s="2" t="inlineStr">
        <is>
          <t>Chaque composant reçoit un état récupéré/retiré ; impossible de le reprendre</t>
        </is>
      </c>
      <c r="G3" s="2" t="inlineStr">
        <is>
          <t>Validé</t>
        </is>
      </c>
    </row>
    <row r="4" ht="54" customHeight="1">
      <c r="A4" s="2" t="inlineStr">
        <is>
          <t>WRECK-03</t>
        </is>
      </c>
      <c r="B4" s="2" t="inlineStr">
        <is>
          <t>Épave lourdement détruite</t>
        </is>
      </c>
      <c r="C4" s="2" t="inlineStr">
        <is>
          <t>Récupération partielle</t>
        </is>
      </c>
      <c r="D4" s="2" t="inlineStr">
        <is>
          <t>Outillage adapté, temps et accès sûrs</t>
        </is>
      </c>
      <c r="E4" s="2" t="inlineStr">
        <is>
          <t>Rendement réduit et pièces potentiellement inutilisables</t>
        </is>
      </c>
      <c r="F4" s="2" t="inlineStr">
        <is>
          <t>État de l’épave évolue après chaque action</t>
        </is>
      </c>
      <c r="G4" s="2" t="inlineStr">
        <is>
          <t>À équilibrer</t>
        </is>
      </c>
    </row>
    <row r="5" ht="54" customHeight="1">
      <c r="A5" s="2" t="inlineStr">
        <is>
          <t>WRECK-04</t>
        </is>
      </c>
      <c r="B5" s="2" t="inlineStr">
        <is>
          <t>Épave en zone hostile</t>
        </is>
      </c>
      <c r="C5" s="2" t="inlineStr">
        <is>
          <t>Marquer / sécuriser / récupérer plus tard</t>
        </is>
      </c>
      <c r="D5" s="2" t="inlineStr">
        <is>
          <t>Carte ou moyen de marquage ; la position doit être retrouvable</t>
        </is>
      </c>
      <c r="E5" s="2" t="inlineStr">
        <is>
          <t>Nouvel objectif d’expédition ou récupération différée</t>
        </is>
      </c>
      <c r="F5" s="2" t="inlineStr">
        <is>
          <t>Le site reste le même et conserve son état</t>
        </is>
      </c>
      <c r="G5" s="2" t="inlineStr">
        <is>
          <t>Validé</t>
        </is>
      </c>
    </row>
    <row r="6" ht="54" customHeight="1">
      <c r="A6" s="2" t="inlineStr">
        <is>
          <t>WRECK-05</t>
        </is>
      </c>
      <c r="B6" s="2" t="inlineStr">
        <is>
          <t>Épave remorquable</t>
        </is>
      </c>
      <c r="C6" s="2" t="inlineStr">
        <is>
          <t>Remorquer vers un dépôt ou la base</t>
        </is>
      </c>
      <c r="D6" s="2" t="inlineStr">
        <is>
          <t>Véhicule tracteur compatible, capacité, attelage et terrain adaptés</t>
        </is>
      </c>
      <c r="E6" s="2" t="inlineStr">
        <is>
          <t>Consommation et durée augmentées ; mobilité du tracteur modifiée</t>
        </is>
      </c>
      <c r="F6" s="2" t="inlineStr">
        <is>
          <t>Le véhicule remorqué change d’emplacement, ne se duplique pas</t>
        </is>
      </c>
      <c r="G6" s="2" t="inlineStr">
        <is>
          <t>À équilibrer</t>
        </is>
      </c>
    </row>
    <row r="7" ht="54" customHeight="1">
      <c r="A7" s="2" t="inlineStr">
        <is>
          <t>WRECK-06</t>
        </is>
      </c>
      <c r="B7" s="2" t="inlineStr">
        <is>
          <t>Épave inaccessible / trop lourde</t>
        </is>
      </c>
      <c r="C7" s="2" t="inlineStr">
        <is>
          <t>Laisser sur place ou démonter sur place</t>
        </is>
      </c>
      <c r="D7" s="2" t="inlineStr">
        <is>
          <t>Aucun moyen de remorquage adapté</t>
        </is>
      </c>
      <c r="E7" s="2" t="inlineStr">
        <is>
          <t>Pièces sélectionnées uniquement ; certains composants perdus</t>
        </is>
      </c>
      <c r="F7" s="2" t="inlineStr">
        <is>
          <t>Tout composant extrait est marqué retiré</t>
        </is>
      </c>
      <c r="G7" s="2" t="inlineStr">
        <is>
          <t>Validé</t>
        </is>
      </c>
    </row>
  </sheetData>
  <autoFilter ref="A1:G7"/>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1"/>
  <sheetViews>
    <sheetView showGridLines="0" workbookViewId="0">
      <pane ySplit="1" topLeftCell="A2" activePane="bottomLeft" state="frozen"/>
      <selection pane="bottomLeft" activeCell="A1" sqref="A1"/>
    </sheetView>
  </sheetViews>
  <sheetFormatPr baseColWidth="8" defaultRowHeight="15"/>
  <cols>
    <col width="16" customWidth="1" min="1" max="1"/>
    <col width="34" customWidth="1" min="2" max="2"/>
    <col width="28" customWidth="1" min="3" max="3"/>
    <col width="50" customWidth="1" min="4" max="4"/>
    <col width="32" customWidth="1" min="5" max="5"/>
    <col width="22" customWidth="1" min="6" max="6"/>
    <col width="60" customWidth="1" min="7" max="7"/>
  </cols>
  <sheetData>
    <row r="1" ht="32" customHeight="1">
      <c r="A1" s="25" t="inlineStr">
        <is>
          <t>ID</t>
        </is>
      </c>
      <c r="B1" s="25" t="inlineStr">
        <is>
          <t>Paramètre</t>
        </is>
      </c>
      <c r="C1" s="25" t="inlineStr">
        <is>
          <t>Unité / type</t>
        </is>
      </c>
      <c r="D1" s="25" t="inlineStr">
        <is>
          <t>Utilisation</t>
        </is>
      </c>
      <c r="E1" s="25" t="inlineStr">
        <is>
          <t>Valeur actuelle</t>
        </is>
      </c>
      <c r="F1" s="25" t="inlineStr">
        <is>
          <t>Statut</t>
        </is>
      </c>
      <c r="G1" s="25" t="inlineStr">
        <is>
          <t>Note</t>
        </is>
      </c>
    </row>
    <row r="2" ht="54" customHeight="1">
      <c r="A2" s="2" t="inlineStr">
        <is>
          <t>PAR-EXP-01</t>
        </is>
      </c>
      <c r="B2" s="2" t="inlineStr">
        <is>
          <t>Réserve de carburant au départ</t>
        </is>
      </c>
      <c r="C2" s="2" t="inlineStr">
        <is>
          <t>% d’autonomie estimée</t>
        </is>
      </c>
      <c r="D2" s="2" t="inlineStr">
        <is>
          <t>Marge de sécurité pour l’aller-retour</t>
        </is>
      </c>
      <c r="E2" s="2" t="inlineStr">
        <is>
          <t>Non défini</t>
        </is>
      </c>
      <c r="F2" s="2" t="inlineStr">
        <is>
          <t>À équilibrer</t>
        </is>
      </c>
      <c r="G2" s="2" t="inlineStr">
        <is>
          <t>La règle de briefing doit avertir si l’aller-retour n’est pas couvert.</t>
        </is>
      </c>
    </row>
    <row r="3" ht="54" customHeight="1">
      <c r="A3" s="2" t="inlineStr">
        <is>
          <t>PAR-EXP-02</t>
        </is>
      </c>
      <c r="B3" s="2" t="inlineStr">
        <is>
          <t>Consommation eau / survivant</t>
        </is>
      </c>
      <c r="C3" s="2" t="inlineStr">
        <is>
          <t>L / personne / jour</t>
        </is>
      </c>
      <c r="D3" s="2" t="inlineStr">
        <is>
          <t>Calcul des réserves du convoi</t>
        </is>
      </c>
      <c r="E3" s="2" t="inlineStr">
        <is>
          <t>À reprendre du modèle économie</t>
        </is>
      </c>
      <c r="F3" s="2" t="inlineStr">
        <is>
          <t>À harmoniser</t>
        </is>
      </c>
      <c r="G3" s="2" t="inlineStr">
        <is>
          <t>Ne pas créer de valeur concurrente dans ce tableau.</t>
        </is>
      </c>
    </row>
    <row r="4" ht="54" customHeight="1">
      <c r="A4" s="2" t="inlineStr">
        <is>
          <t>PAR-EXP-03</t>
        </is>
      </c>
      <c r="B4" s="2" t="inlineStr">
        <is>
          <t>Consommation nourriture / survivant</t>
        </is>
      </c>
      <c r="C4" s="2" t="inlineStr">
        <is>
          <t>unité abstraite / personne / jour</t>
        </is>
      </c>
      <c r="D4" s="2" t="inlineStr">
        <is>
          <t>Calcul des réserves du convoi</t>
        </is>
      </c>
      <c r="E4" s="2" t="inlineStr">
        <is>
          <t>À reprendre du modèle économie</t>
        </is>
      </c>
      <c r="F4" s="2" t="inlineStr">
        <is>
          <t>À harmoniser</t>
        </is>
      </c>
      <c r="G4" s="2" t="inlineStr">
        <is>
          <t>La nourriture reste une ressource abstraite unique.</t>
        </is>
      </c>
    </row>
    <row r="5" ht="54" customHeight="1">
      <c r="A5" s="2" t="inlineStr">
        <is>
          <t>PAR-EXP-04</t>
        </is>
      </c>
      <c r="B5" s="2" t="inlineStr">
        <is>
          <t>Consommation véhicule</t>
        </is>
      </c>
      <c r="C5" s="2" t="inlineStr">
        <is>
          <t>L / distance</t>
        </is>
      </c>
      <c r="D5" s="2" t="inlineStr">
        <is>
          <t>Carburant par véhicule</t>
        </is>
      </c>
      <c r="E5" s="2" t="inlineStr">
        <is>
          <t>Par véhicule à définir</t>
        </is>
      </c>
      <c r="F5" s="2" t="inlineStr">
        <is>
          <t>À équilibrer</t>
        </is>
      </c>
      <c r="G5" s="2" t="inlineStr">
        <is>
          <t>Modificateurs : terrain, charge, état, vitesse si applicable.</t>
        </is>
      </c>
    </row>
    <row r="6" ht="54" customHeight="1">
      <c r="A6" s="2" t="inlineStr">
        <is>
          <t>PAR-EXP-05</t>
        </is>
      </c>
      <c r="B6" s="2" t="inlineStr">
        <is>
          <t>Plafond hors ligne</t>
        </is>
      </c>
      <c r="C6" s="2" t="inlineStr">
        <is>
          <t>heures</t>
        </is>
      </c>
      <c r="D6" s="2" t="inlineStr">
        <is>
          <t>Simulation après fermeture de l’application</t>
        </is>
      </c>
      <c r="E6" s="2" t="inlineStr">
        <is>
          <t>Non défini</t>
        </is>
      </c>
      <c r="F6" s="2" t="inlineStr">
        <is>
          <t>À décider</t>
        </is>
      </c>
      <c r="G6" s="2" t="inlineStr">
        <is>
          <t>Les événements majeurs peuvent attendre la reprise du joueur.</t>
        </is>
      </c>
    </row>
    <row r="7" ht="54" customHeight="1">
      <c r="A7" s="2" t="inlineStr">
        <is>
          <t>PAR-EXP-06</t>
        </is>
      </c>
      <c r="B7" s="2" t="inlineStr">
        <is>
          <t>Échelle du risque</t>
        </is>
      </c>
      <c r="C7" s="2" t="inlineStr">
        <is>
          <t>qualitatif</t>
        </is>
      </c>
      <c r="D7" s="2" t="inlineStr">
        <is>
          <t>Information du briefing</t>
        </is>
      </c>
      <c r="E7" s="2" t="inlineStr">
        <is>
          <t>Faible / modéré / élevé / critique</t>
        </is>
      </c>
      <c r="F7" s="2" t="inlineStr">
        <is>
          <t>Structure validée</t>
        </is>
      </c>
      <c r="G7" s="2" t="inlineStr">
        <is>
          <t>Toujours donner les raisons connues de la classification.</t>
        </is>
      </c>
    </row>
    <row r="8" ht="54" customHeight="1">
      <c r="A8" s="2" t="inlineStr">
        <is>
          <t>PAR-EXP-07</t>
        </is>
      </c>
      <c r="B8" s="2" t="inlineStr">
        <is>
          <t>Rendement épave</t>
        </is>
      </c>
      <c r="C8" s="2" t="inlineStr">
        <is>
          <t>% ou catégories de pièces</t>
        </is>
      </c>
      <c r="D8" s="2" t="inlineStr">
        <is>
          <t>Récupération après dégâts</t>
        </is>
      </c>
      <c r="E8" s="2" t="inlineStr">
        <is>
          <t>Non défini</t>
        </is>
      </c>
      <c r="F8" s="2" t="inlineStr">
        <is>
          <t>À équilibrer</t>
        </is>
      </c>
      <c r="G8" s="2" t="inlineStr">
        <is>
          <t>Dépend de l’état, des outils et du temps investi.</t>
        </is>
      </c>
    </row>
    <row r="9" ht="54" customHeight="1">
      <c r="A9" s="2" t="inlineStr">
        <is>
          <t>PAR-EXP-08</t>
        </is>
      </c>
      <c r="B9" s="2" t="inlineStr">
        <is>
          <t>Seuil de panne critique</t>
        </is>
      </c>
      <c r="C9" s="2" t="inlineStr">
        <is>
          <t>état / condition</t>
        </is>
      </c>
      <c r="D9" s="2" t="inlineStr">
        <is>
          <t>Départ ou incident mécanique</t>
        </is>
      </c>
      <c r="E9" s="2" t="inlineStr">
        <is>
          <t>Non défini</t>
        </is>
      </c>
      <c r="F9" s="2" t="inlineStr">
        <is>
          <t>À décider</t>
        </is>
      </c>
      <c r="G9" s="2" t="inlineStr">
        <is>
          <t>Doit être cohérent entre expédition simulée et jouée.</t>
        </is>
      </c>
    </row>
    <row r="10" ht="54" customHeight="1">
      <c r="A10" s="2" t="inlineStr">
        <is>
          <t>PAR-EXP-09</t>
        </is>
      </c>
      <c r="B10" s="2" t="inlineStr">
        <is>
          <t>Durée d’étape</t>
        </is>
      </c>
      <c r="C10" s="2" t="inlineStr">
        <is>
          <t>heures de jeu</t>
        </is>
      </c>
      <c r="D10" s="2" t="inlineStr">
        <is>
          <t>Temps de transit et d’événement</t>
        </is>
      </c>
      <c r="E10" s="2" t="inlineStr">
        <is>
          <t>Selon distance/terrain</t>
        </is>
      </c>
      <c r="F10" s="2" t="inlineStr">
        <is>
          <t>À équilibrer</t>
        </is>
      </c>
      <c r="G10" s="2" t="inlineStr">
        <is>
          <t>La durée réelle doit être montrée dans le bilan.</t>
        </is>
      </c>
    </row>
    <row r="11" ht="54" customHeight="1">
      <c r="A11" s="2" t="inlineStr">
        <is>
          <t>PAR-EXP-10</t>
        </is>
      </c>
      <c r="B11" s="2" t="inlineStr">
        <is>
          <t>Probabilité / fréquence d’événement</t>
        </is>
      </c>
      <c r="C11" s="2" t="inlineStr">
        <is>
          <t>par segment ou étape</t>
        </is>
      </c>
      <c r="D11" s="2" t="inlineStr">
        <is>
          <t>Génération des événements contextuels</t>
        </is>
      </c>
      <c r="E11" s="2" t="inlineStr">
        <is>
          <t>Non définie</t>
        </is>
      </c>
      <c r="F11" s="2" t="inlineStr">
        <is>
          <t>À équilibrer</t>
        </is>
      </c>
      <c r="G11" s="2" t="inlineStr">
        <is>
          <t>Ne pas exposer une précision factice si les informations sont inconnues.</t>
        </is>
      </c>
    </row>
  </sheetData>
  <autoFilter ref="A1:G1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24" customWidth="1" min="1" max="1"/>
    <col width="60" customWidth="1" min="2" max="2"/>
    <col width="40" customWidth="1" min="3" max="3"/>
    <col width="56" customWidth="1" min="4" max="4"/>
  </cols>
  <sheetData>
    <row r="1" ht="32" customHeight="1">
      <c r="A1" s="25" t="inlineStr">
        <is>
          <t>Domaine</t>
        </is>
      </c>
      <c r="B1" s="25" t="inlineStr">
        <is>
          <t>Contenu consolidé</t>
        </is>
      </c>
      <c r="C1" s="25" t="inlineStr">
        <is>
          <t>Règle de référence</t>
        </is>
      </c>
      <c r="D1" s="25" t="inlineStr">
        <is>
          <t>À faire ensuite</t>
        </is>
      </c>
    </row>
    <row r="2" ht="54" customHeight="1">
      <c r="A2" s="2" t="inlineStr">
        <is>
          <t>Expéditions</t>
        </is>
      </c>
      <c r="B2" s="2" t="inlineStr">
        <is>
          <t>Cycle en 10 phases, du choix d’objectif au traitement à la base</t>
        </is>
      </c>
      <c r="C2" s="2" t="inlineStr">
        <is>
          <t>Phases expédition</t>
        </is>
      </c>
      <c r="D2" s="2" t="inlineStr">
        <is>
          <t>Équilibrer durée, consommations, coûts et récompenses</t>
        </is>
      </c>
    </row>
    <row r="3" ht="54" customHeight="1">
      <c r="A3" s="2" t="inlineStr">
        <is>
          <t>Risque</t>
        </is>
      </c>
      <c r="B3" s="2" t="inlineStr">
        <is>
          <t>12 facteurs de risque et contre-mesures possibles</t>
        </is>
      </c>
      <c r="C3" s="2" t="inlineStr">
        <is>
          <t>Facteurs de risque</t>
        </is>
      </c>
      <c r="D3" s="2" t="inlineStr">
        <is>
          <t>Définir les modificateurs chiffrés</t>
        </is>
      </c>
    </row>
    <row r="4" ht="54" customHeight="1">
      <c r="A4" s="2" t="inlineStr">
        <is>
          <t>Événements</t>
        </is>
      </c>
      <c r="B4" s="2" t="inlineStr">
        <is>
          <t>9 familles d’événements contextuels et persistants</t>
        </is>
      </c>
      <c r="C4" s="2" t="inlineStr">
        <is>
          <t>Événements expédition</t>
        </is>
      </c>
      <c r="D4" s="2" t="inlineStr">
        <is>
          <t>Créer des événements détaillés et tester les conséquences</t>
        </is>
      </c>
    </row>
    <row r="5" ht="54" customHeight="1">
      <c r="A5" s="2" t="inlineStr">
        <is>
          <t>Épaves</t>
        </is>
      </c>
      <c r="B5" s="2" t="inlineStr">
        <is>
          <t>Réparation, démontage, remorquage, récupération partielle</t>
        </is>
      </c>
      <c r="C5" s="2" t="inlineStr">
        <is>
          <t>Récupération épaves</t>
        </is>
      </c>
      <c r="D5" s="2" t="inlineStr">
        <is>
          <t>Créer des états de composants et rendements</t>
        </is>
      </c>
    </row>
    <row r="6" ht="54" customHeight="1">
      <c r="A6" s="2" t="inlineStr">
        <is>
          <t>Hors ligne</t>
        </is>
      </c>
      <c r="B6" s="2" t="inlineStr">
        <is>
          <t>Simulation plafonnée et sans pertes arbitraires dues à la fermeture</t>
        </is>
      </c>
      <c r="C6" s="2" t="inlineStr">
        <is>
          <t>Paramètres expédition</t>
        </is>
      </c>
      <c r="D6" s="2" t="inlineStr">
        <is>
          <t>Décider le plafond et les événements différés</t>
        </is>
      </c>
    </row>
    <row r="7" ht="54" customHeight="1">
      <c r="A7" s="2" t="inlineStr">
        <is>
          <t>Compatibilité</t>
        </is>
      </c>
      <c r="B7" s="2" t="inlineStr">
        <is>
          <t>Même modèle pour expédition simulée et scène jouée</t>
        </is>
      </c>
      <c r="C7" s="2" t="inlineStr">
        <is>
          <t>Cahier des charges v3.9</t>
        </is>
      </c>
      <c r="D7" s="2" t="inlineStr">
        <is>
          <t>Formaliser la résolution tactique et l’interface de briefing</t>
        </is>
      </c>
    </row>
  </sheetData>
  <autoFilter ref="A1:D7"/>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78" customWidth="1" min="3" max="3"/>
    <col width="52" customWidth="1" min="4" max="4"/>
    <col width="55" customWidth="1" min="5" max="5"/>
    <col width="44" customWidth="1" min="6" max="6"/>
  </cols>
  <sheetData>
    <row r="1">
      <c r="A1" s="25" t="inlineStr">
        <is>
          <t>Modèle</t>
        </is>
      </c>
      <c r="B1" s="25" t="inlineStr">
        <is>
          <t>Source principale / primaire</t>
        </is>
      </c>
      <c r="C1" s="25" t="inlineStr">
        <is>
          <t>URL principale</t>
        </is>
      </c>
      <c r="D1" s="25" t="inlineStr">
        <is>
          <t>Sources secondaires</t>
        </is>
      </c>
      <c r="E1" s="25" t="inlineStr">
        <is>
          <t>Ce que la source doit valider</t>
        </is>
      </c>
      <c r="F1" s="25" t="inlineStr">
        <is>
          <t>Statut après passe</t>
        </is>
      </c>
    </row>
    <row r="2">
      <c r="A2" s="2" t="inlineStr">
        <is>
          <t>Willys MB</t>
        </is>
      </c>
      <c r="B2" s="2" t="inlineStr">
        <is>
          <t>TM 10-1513 (1942), maintenance manual</t>
        </is>
      </c>
      <c r="C2" s="2" t="inlineStr">
        <is>
          <t>https://web.willys.co.rs/knjige/TM_10-1513_Willys_MB_Jeep_1942.pdf</t>
        </is>
      </c>
      <c r="D2" s="2" t="inlineStr">
        <is>
          <t>https://web.willys.co.rs/knjige/TM_9-803_Willys_MB_1944.pdf</t>
        </is>
      </c>
      <c r="E2" s="2" t="inlineStr">
        <is>
          <t>Dimensions, masse, réservoir, puissance, entretien; distinguer MB et GPW</t>
        </is>
      </c>
      <c r="F2" s="2" t="inlineStr">
        <is>
          <t>Source primaire repérée; chiffres partiellement renseignés</t>
        </is>
      </c>
    </row>
    <row r="3">
      <c r="A3" s="2" t="inlineStr">
        <is>
          <t>BMW R75 militaire</t>
        </is>
      </c>
      <c r="B3" s="2" t="inlineStr">
        <is>
          <t>BMW Group Archives / fiche R75 sidecar</t>
        </is>
      </c>
      <c r="C3" s="2" t="inlineStr">
        <is>
          <t>https://docs.bmwmcq.org.au/journals/2024/2024_03_Journal.pdf</t>
        </is>
      </c>
      <c r="D3" s="2" t="inlineStr">
        <is>
          <t>https://bmbikes.bmw-club.org.uk/PDF%20Downloads/R75sidecarunitSpec.pdf</t>
        </is>
      </c>
      <c r="E3" s="2" t="inlineStr">
        <is>
          <t>Masse/configuration side-car, moteur 275/2, puissance, boîte et marche arrière</t>
        </is>
      </c>
      <c r="F3" s="2" t="inlineStr">
        <is>
          <t>Source historique secondaire solide; manuel primaire encore à retrouver</t>
        </is>
      </c>
    </row>
    <row r="4">
      <c r="A4" s="2" t="inlineStr">
        <is>
          <t>GMC CCKW 353</t>
        </is>
      </c>
      <c r="B4" s="2" t="inlineStr">
        <is>
          <t>TM 9-801 et TM 10-1563</t>
        </is>
      </c>
      <c r="C4" s="2" t="inlineStr">
        <is>
          <t>https://ibiblio.org/hyperwar/USA/ref/TM/pdfs/TM9-801.pdf</t>
        </is>
      </c>
      <c r="D4" s="2" t="inlineStr">
        <is>
          <t>https://www.gmccckw.nl/bronnenENG.php</t>
        </is>
      </c>
      <c r="E4" s="2" t="inlineStr">
        <is>
          <t>Différences CCKW-352/353, carrosseries, masse, dimensions, moteur, réservoir</t>
        </is>
      </c>
      <c r="F4" s="2" t="inlineStr">
        <is>
          <t>Manuel primaire repéré; chiffres à confirmer par carrosserie</t>
        </is>
      </c>
    </row>
    <row r="5">
      <c r="A5" s="2" t="inlineStr">
        <is>
          <t>Diamond T 969A Wrecker</t>
        </is>
      </c>
      <c r="B5" s="2" t="inlineStr">
        <is>
          <t>TM 9-811 (1944)</t>
        </is>
      </c>
      <c r="C5" s="2" t="inlineStr">
        <is>
          <t>https://commons.wikimedia.org/wiki/File%3ATM_9-811_4-Ton%2C_6x6_Trucks_%28Diamond_T_Models_968A_Cargo%2C_969A_Wrecker%2C_970A_Ponton%2C_And_972_Dump%29%2C_1944_%28IA_TM9-811%29.pdf</t>
        </is>
      </c>
      <c r="D5" s="2" t="inlineStr">
        <is>
          <t>https://univem-paris.com/project/diamond-t-969a/</t>
        </is>
      </c>
      <c r="E5" s="2" t="inlineStr">
        <is>
          <t>Masse, dimensions, Hercules RXC, treuils, variantes 969/969A</t>
        </is>
      </c>
      <c r="F5" s="2" t="inlineStr">
        <is>
          <t>Données remplies avec avertissement consommation; extraction primaire à faire</t>
        </is>
      </c>
    </row>
    <row r="6">
      <c r="A6" s="2" t="inlineStr">
        <is>
          <t>M8 Greyhound</t>
        </is>
      </c>
      <c r="B6" s="2" t="inlineStr">
        <is>
          <t>TM 9-743, Light Armored Car M8</t>
        </is>
      </c>
      <c r="C6" s="2" t="inlineStr">
        <is>
          <t>https://www.ibiblio.org/hyperwar/USA/ref/TM/pdfs/TM9-743.pdf</t>
        </is>
      </c>
      <c r="D6" s="2" t="inlineStr">
        <is>
          <t>—</t>
        </is>
      </c>
      <c r="E6" s="2" t="inlineStr">
        <is>
          <t>Dimensions, poids, moteur JXD, capacité, armes et blindage par zone</t>
        </is>
      </c>
      <c r="F6" s="2" t="inlineStr">
        <is>
          <t>Architecture/armement renseignés; valeurs fines à extraire</t>
        </is>
      </c>
    </row>
    <row r="7">
      <c r="A7" s="2" t="inlineStr">
        <is>
          <t>DUKW</t>
        </is>
      </c>
      <c r="B7" s="2" t="inlineStr">
        <is>
          <t>TM 9-802, DUKW 2½-ton 6x6 amphibious truck</t>
        </is>
      </c>
      <c r="C7" s="2" t="inlineStr">
        <is>
          <t>https://transportation.army.mil/museum/docs/TM9-802-Declassified.pdf</t>
        </is>
      </c>
      <c r="D7" s="2" t="inlineStr">
        <is>
          <t>https://www.gmccckw.nl/bronnenENG.php</t>
        </is>
      </c>
      <c r="E7" s="2" t="inlineStr">
        <is>
          <t>Masse, charge utile, propulsion eau/terre, réservoir et motorisation</t>
        </is>
      </c>
      <c r="F7" s="2" t="inlineStr">
        <is>
          <t>Valeurs secondaires non figées; priorité à l’extraction du manuel</t>
        </is>
      </c>
    </row>
    <row r="8">
      <c r="A8" s="2" t="inlineStr">
        <is>
          <t>M3 Stuart</t>
        </is>
      </c>
      <c r="B8" s="2" t="inlineStr">
        <is>
          <t>TM 9-726, Light Tank M3</t>
        </is>
      </c>
      <c r="C8" s="2" t="inlineStr">
        <is>
          <t>https://commons.wikimedia.org/wiki/File%3ATM_9-726_Light_Tank_M3%2C_1942_%28IA_TM9-726%29.pdf</t>
        </is>
      </c>
      <c r="D8" s="2" t="inlineStr">
        <is>
          <t>https://www.mvcg.org/</t>
        </is>
      </c>
      <c r="E8" s="2" t="inlineStr">
        <is>
          <t>Variantes M3/M3A1/M3A3, moteur, blindage, armes, dimensions</t>
        </is>
      </c>
      <c r="F8" s="2" t="inlineStr">
        <is>
          <t>Déjà enrichi v1.1; revue détaillée à planifier</t>
        </is>
      </c>
    </row>
    <row r="9">
      <c r="A9" s="2" t="inlineStr">
        <is>
          <t>M4 Sherman famille</t>
        </is>
      </c>
      <c r="B9" s="2" t="inlineStr">
        <is>
          <t>Manuels techniques US Army par variante</t>
        </is>
      </c>
      <c r="C9" s="2" t="inlineStr">
        <is>
          <t>https://www.ibiblio.org/hyperwar/USA/ref/TM/</t>
        </is>
      </c>
      <c r="D9" s="2" t="inlineStr">
        <is>
          <t>https://www.normandy-victory-museum.fr/</t>
        </is>
      </c>
      <c r="E9" s="2" t="inlineStr">
        <is>
          <t>M4, M4A1, A2 diesel, A3 Ford GAA, A4 Chrysler multibank; armes et réservoirs</t>
        </is>
      </c>
      <c r="F9" s="2" t="inlineStr">
        <is>
          <t>Variantes séparées; divergences documentées</t>
        </is>
      </c>
    </row>
  </sheetData>
  <autoFilter ref="A1:F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35" customWidth="1" min="3" max="3"/>
    <col width="32" customWidth="1" min="4" max="4"/>
    <col width="36" customWidth="1" min="5" max="5"/>
    <col width="18" customWidth="1" min="6" max="6"/>
    <col width="18" customWidth="1" min="7" max="7"/>
    <col width="62" customWidth="1" min="8" max="8"/>
    <col width="44" customWidth="1" min="9" max="9"/>
  </cols>
  <sheetData>
    <row r="1" ht="32" customHeight="1">
      <c r="A1" s="25" t="inlineStr">
        <is>
          <t>ID famille</t>
        </is>
      </c>
      <c r="B1" s="25" t="inlineStr">
        <is>
          <t>Carburant</t>
        </is>
      </c>
      <c r="C1" s="25" t="inlineStr">
        <is>
          <t>Architecture / classe</t>
        </is>
      </c>
      <c r="D1" s="25" t="inlineStr">
        <is>
          <t>Véhicules cibles</t>
        </is>
      </c>
      <c r="E1" s="25" t="inlineStr">
        <is>
          <t>Exemples historiques</t>
        </is>
      </c>
      <c r="F1" s="25" t="inlineStr">
        <is>
          <t>Coût pièces</t>
        </is>
      </c>
      <c r="G1" s="25" t="inlineStr">
        <is>
          <t>Difficulté montage</t>
        </is>
      </c>
      <c r="H1" s="25" t="inlineStr">
        <is>
          <t>Règles de compatibilité</t>
        </is>
      </c>
      <c r="I1" s="25" t="inlineStr">
        <is>
          <t>Notes de preuve</t>
        </is>
      </c>
    </row>
    <row r="2">
      <c r="A2" s="2" t="inlineStr">
        <is>
          <t>ENG-GO-4C-LOW</t>
        </is>
      </c>
      <c r="B2" s="2" t="inlineStr">
        <is>
          <t>Essence</t>
        </is>
      </c>
      <c r="C2" s="2" t="inlineStr">
        <is>
          <t>4 cylindres essence basse/moyenne puissance</t>
        </is>
      </c>
      <c r="D2" s="2" t="inlineStr">
        <is>
          <t>Voitures légères, utilitaires légers</t>
        </is>
      </c>
      <c r="E2" s="2" t="inlineStr">
        <is>
          <t>Willys MB L134 (famille fonctionnelle seulement)</t>
        </is>
      </c>
      <c r="F2" s="2" t="inlineStr">
        <is>
          <t>Faible à moyen</t>
        </is>
      </c>
      <c r="G2" s="2" t="inlineStr">
        <is>
          <t>Faible</t>
        </is>
      </c>
      <c r="H2" s="2" t="inlineStr">
        <is>
          <t>Ne pas confondre compatibilité de famille et montage direct; supports, cloche, refroidissement et accessoires obligatoires.</t>
        </is>
      </c>
      <c r="I2" s="2" t="inlineStr">
        <is>
          <t>Archétype générique; référence véhicule à confirmer</t>
        </is>
      </c>
    </row>
    <row r="3">
      <c r="A3" s="2" t="inlineStr">
        <is>
          <t>ENG-GO-6C-TRUCK</t>
        </is>
      </c>
      <c r="B3" s="2" t="inlineStr">
        <is>
          <t>Essence</t>
        </is>
      </c>
      <c r="C3" s="2" t="inlineStr">
        <is>
          <t>6 cylindres en ligne essence camion</t>
        </is>
      </c>
      <c r="D3" s="2" t="inlineStr">
        <is>
          <t>Camions moyens/lourds de la période</t>
        </is>
      </c>
      <c r="E3" s="2" t="inlineStr">
        <is>
          <t>GMC 270; certains camions US selon variantes</t>
        </is>
      </c>
      <c r="F3" s="2" t="inlineStr">
        <is>
          <t>Moyen</t>
        </is>
      </c>
      <c r="G3" s="2" t="inlineStr">
        <is>
          <t>Moyen</t>
        </is>
      </c>
      <c r="H3" s="2" t="inlineStr">
        <is>
          <t>Compatibilité par interface, longueur, cloche, boîte, refroidissement et capacité de charge.</t>
        </is>
      </c>
      <c r="I3" s="2" t="inlineStr">
        <is>
          <t>GMC 270 est un moteur de référence, pas une pièce universelle</t>
        </is>
      </c>
    </row>
    <row r="4">
      <c r="A4" s="2" t="inlineStr">
        <is>
          <t>ENG-GO-6C-HEAVY</t>
        </is>
      </c>
      <c r="B4" s="2" t="inlineStr">
        <is>
          <t>Essence</t>
        </is>
      </c>
      <c r="C4" s="2" t="inlineStr">
        <is>
          <t>6 cylindres en ligne essence forte cylindrée</t>
        </is>
      </c>
      <c r="D4" s="2" t="inlineStr">
        <is>
          <t>Camions lourds et dépannage</t>
        </is>
      </c>
      <c r="E4" s="2" t="inlineStr">
        <is>
          <t>Hercules RXC (Diamond T selon version)</t>
        </is>
      </c>
      <c r="F4" s="2" t="inlineStr">
        <is>
          <t>Élevé</t>
        </is>
      </c>
      <c r="G4" s="2" t="inlineStr">
        <is>
          <t>Moyen</t>
        </is>
      </c>
      <c r="H4" s="2" t="inlineStr">
        <is>
          <t>Encombrement et masse élevés; nécessite châssis, transmission et refroidissement adaptés.</t>
        </is>
      </c>
      <c r="I4" s="2" t="inlineStr">
        <is>
          <t>Valider variante exacte</t>
        </is>
      </c>
    </row>
    <row r="5">
      <c r="A5" s="2" t="inlineStr">
        <is>
          <t>ENG-DI-6C-TRUCK</t>
        </is>
      </c>
      <c r="B5" s="2" t="inlineStr">
        <is>
          <t>Diesel</t>
        </is>
      </c>
      <c r="C5" s="2" t="inlineStr">
        <is>
          <t>6 cylindres en ligne diesel camion</t>
        </is>
      </c>
      <c r="D5" s="2" t="inlineStr">
        <is>
          <t>Camions diesel / conversions adaptées</t>
        </is>
      </c>
      <c r="E5" s="2" t="inlineStr">
        <is>
          <t>Familles diesel à documenter par véhicule</t>
        </is>
      </c>
      <c r="F5" s="2" t="inlineStr">
        <is>
          <t>Moyen à élevé</t>
        </is>
      </c>
      <c r="G5" s="2" t="inlineStr">
        <is>
          <t>Moyen</t>
        </is>
      </c>
      <c r="H5" s="2" t="inlineStr">
        <is>
          <t>Incompatible avec réservoir et alimentation essence sans conversion complète.</t>
        </is>
      </c>
      <c r="I5" s="2" t="inlineStr">
        <is>
          <t>Pas de mélange essence/diesel</t>
        </is>
      </c>
    </row>
    <row r="6">
      <c r="A6" s="2" t="inlineStr">
        <is>
          <t>ENG-GO-V8-ARMOR</t>
        </is>
      </c>
      <c r="B6" s="2" t="inlineStr">
        <is>
          <t>Essence</t>
        </is>
      </c>
      <c r="C6" s="2" t="inlineStr">
        <is>
          <t>V8 essence véhicule blindé</t>
        </is>
      </c>
      <c r="D6" s="2" t="inlineStr">
        <is>
          <t>Chars et véhicules blindés compatibles</t>
        </is>
      </c>
      <c r="E6" s="2" t="inlineStr">
        <is>
          <t>Ford GAA (M4A3); autres familles à séparer</t>
        </is>
      </c>
      <c r="F6" s="2" t="inlineStr">
        <is>
          <t>Très élevé</t>
        </is>
      </c>
      <c r="G6" s="2" t="inlineStr">
        <is>
          <t>Élevé</t>
        </is>
      </c>
      <c r="H6" s="2" t="inlineStr">
        <is>
          <t>Gabarit, refroidissement, ponts et couple spécifiques; pièces historiques non interchangeables par défaut.</t>
        </is>
      </c>
      <c r="I6" s="2" t="inlineStr">
        <is>
          <t>M4A3 distinct du M4A2 diesel</t>
        </is>
      </c>
    </row>
    <row r="7">
      <c r="A7" s="2" t="inlineStr">
        <is>
          <t>ENG-DI-MULTI-ARMOR</t>
        </is>
      </c>
      <c r="B7" s="2" t="inlineStr">
        <is>
          <t>Diesel</t>
        </is>
      </c>
      <c r="C7" s="2" t="inlineStr">
        <is>
          <t>Groupe diesel de véhicule blindé</t>
        </is>
      </c>
      <c r="D7" s="2" t="inlineStr">
        <is>
          <t>Blindés diesel spécifiques</t>
        </is>
      </c>
      <c r="E7" s="2" t="inlineStr">
        <is>
          <t>GM 6046 (M4A2)</t>
        </is>
      </c>
      <c r="F7" s="2" t="inlineStr">
        <is>
          <t>Très élevé</t>
        </is>
      </c>
      <c r="G7" s="2" t="inlineStr">
        <is>
          <t>Élevé</t>
        </is>
      </c>
      <c r="H7" s="2" t="inlineStr">
        <is>
          <t>Famille distincte du Ford GAA; alimentation, boîte et pièces propres à la variante.</t>
        </is>
      </c>
      <c r="I7" s="2" t="inlineStr">
        <is>
          <t>M4A2 diesel distinct des M4 essence</t>
        </is>
      </c>
    </row>
    <row r="8">
      <c r="A8" s="2" t="inlineStr">
        <is>
          <t>ENG-GO-AVIATION-RADIAL</t>
        </is>
      </c>
      <c r="B8" s="2" t="inlineStr">
        <is>
          <t>Essence</t>
        </is>
      </c>
      <c r="C8" s="2" t="inlineStr">
        <is>
          <t>Moteur radial essence</t>
        </is>
      </c>
      <c r="D8" s="2" t="inlineStr">
        <is>
          <t>Blindés équipés d’un radial</t>
        </is>
      </c>
      <c r="E8" s="2" t="inlineStr">
        <is>
          <t>Continental R-975 (famille M4 selon variante)</t>
        </is>
      </c>
      <c r="F8" s="2" t="inlineStr">
        <is>
          <t>Très élevé</t>
        </is>
      </c>
      <c r="G8" s="2" t="inlineStr">
        <is>
          <t>Élevé</t>
        </is>
      </c>
      <c r="H8" s="2" t="inlineStr">
        <is>
          <t>Encombrement et montage spécifiques; ne pas autoriser swap générique sans kit.</t>
        </is>
      </c>
      <c r="I8" s="2" t="inlineStr">
        <is>
          <t>Vérifier variante exacte et puissance</t>
        </is>
      </c>
    </row>
    <row r="9">
      <c r="A9" s="2" t="inlineStr">
        <is>
          <t>ENG-GO-MOTO-BOXER</t>
        </is>
      </c>
      <c r="B9" s="2" t="inlineStr">
        <is>
          <t>Essence</t>
        </is>
      </c>
      <c r="C9" s="2" t="inlineStr">
        <is>
          <t>Bicylindre boxer moto refroidi par air</t>
        </is>
      </c>
      <c r="D9" s="2" t="inlineStr">
        <is>
          <t>Motos et side-cars</t>
        </is>
      </c>
      <c r="E9" s="2" t="inlineStr">
        <is>
          <t>BMW R75 militaire</t>
        </is>
      </c>
      <c r="F9" s="2" t="inlineStr">
        <is>
          <t>Faible</t>
        </is>
      </c>
      <c r="G9" s="2" t="inlineStr">
        <is>
          <t>Faible</t>
        </is>
      </c>
      <c r="H9" s="2" t="inlineStr">
        <is>
          <t>Ne pas appliquer les spécifications BMW R75/5 civile postérieure.</t>
        </is>
      </c>
      <c r="I9" s="2" t="inlineStr">
        <is>
          <t>Moto et side-car forment un système spécifique</t>
        </is>
      </c>
    </row>
    <row r="10">
      <c r="A10" s="2" t="inlineStr">
        <is>
          <t>ENG-GO-6C-RECON</t>
        </is>
      </c>
      <c r="B10" s="2" t="inlineStr">
        <is>
          <t>Essence</t>
        </is>
      </c>
      <c r="C10" s="2" t="inlineStr">
        <is>
          <t>6 cylindres en ligne essence reconnaissance</t>
        </is>
      </c>
      <c r="D10" s="2" t="inlineStr">
        <is>
          <t>Automitrailleuses légères</t>
        </is>
      </c>
      <c r="E10" s="2" t="inlineStr">
        <is>
          <t>Hercules JXD (M8 Greyhound)</t>
        </is>
      </c>
      <c r="F10" s="2" t="inlineStr">
        <is>
          <t>Moyen à élevé</t>
        </is>
      </c>
      <c r="G10" s="2" t="inlineStr">
        <is>
          <t>Moyen</t>
        </is>
      </c>
      <c r="H10" s="2" t="inlineStr">
        <is>
          <t>Moteur et transmission du M8 à traiter comme famille de véhicule; montage non universel.</t>
        </is>
      </c>
      <c r="I10" s="2" t="inlineStr">
        <is>
          <t>M8 ≠ M20 en configuration complète</t>
        </is>
      </c>
    </row>
    <row r="11">
      <c r="A11" s="2" t="inlineStr">
        <is>
          <t>ENG-GO-6C-AMPH</t>
        </is>
      </c>
      <c r="B11" s="2" t="inlineStr">
        <is>
          <t>Essence</t>
        </is>
      </c>
      <c r="C11" s="2" t="inlineStr">
        <is>
          <t>6 cylindres en ligne essence amphibie</t>
        </is>
      </c>
      <c r="D11" s="2" t="inlineStr">
        <is>
          <t>Amphibies / CCKW dérivés</t>
        </is>
      </c>
      <c r="E11" s="2" t="inlineStr">
        <is>
          <t>GMC 270 (DUKW)</t>
        </is>
      </c>
      <c r="F11" s="2" t="inlineStr">
        <is>
          <t>Moyen</t>
        </is>
      </c>
      <c r="G11" s="2" t="inlineStr">
        <is>
          <t>Moyen</t>
        </is>
      </c>
      <c r="H11" s="2" t="inlineStr">
        <is>
          <t>Moteur apparenté au camion GMC mais l’ensemble amphibie a des systèmes supplémentaires.</t>
        </is>
      </c>
      <c r="I11" s="2" t="inlineStr">
        <is>
          <t>La compatibilité moteur ne rend pas compatibles hélice, arbre ou transmission eau</t>
        </is>
      </c>
    </row>
  </sheetData>
  <autoFilter ref="A1:I1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55" customWidth="1" min="4" max="4"/>
    <col width="38" customWidth="1" min="5" max="5"/>
    <col width="48" customWidth="1" min="6" max="6"/>
    <col width="54" customWidth="1" min="7" max="7"/>
  </cols>
  <sheetData>
    <row r="1" ht="32" customHeight="1">
      <c r="A1" s="25" t="inlineStr">
        <is>
          <t>ID carburant</t>
        </is>
      </c>
      <c r="B1" s="25" t="inlineStr">
        <is>
          <t>Nom UI</t>
        </is>
      </c>
      <c r="C1" s="25" t="inlineStr">
        <is>
          <t>Règle moteur</t>
        </is>
      </c>
      <c r="D1" s="25" t="inlineStr">
        <is>
          <t>Conditions techniques</t>
        </is>
      </c>
      <c r="E1" s="25" t="inlineStr">
        <is>
          <t>État incompatible</t>
        </is>
      </c>
      <c r="F1" s="25" t="inlineStr">
        <is>
          <t>Affichage inventaire</t>
        </is>
      </c>
      <c r="G1" s="25" t="inlineStr">
        <is>
          <t>Règle de conception</t>
        </is>
      </c>
    </row>
    <row r="2">
      <c r="A2" s="2" t="inlineStr">
        <is>
          <t>FUEL-GAS</t>
        </is>
      </c>
      <c r="B2" s="2" t="inlineStr">
        <is>
          <t>Essence</t>
        </is>
      </c>
      <c r="C2" s="2" t="inlineStr">
        <is>
          <t>Essence uniquement</t>
        </is>
      </c>
      <c r="D2" s="2" t="inlineStr">
        <is>
          <t>Moteur essence compatible; réservoir, conduites, pompe et filtration essence</t>
        </is>
      </c>
      <c r="E2" s="2" t="inlineStr">
        <is>
          <t>Le véhicule ne démarre pas si le type est incompatible</t>
        </is>
      </c>
      <c r="F2" s="2" t="inlineStr">
        <is>
          <t>Stock de carburant commun à l’interface UI, mais quantités physiques affectées à un type précis</t>
        </is>
      </c>
      <c r="G2" s="2" t="inlineStr">
        <is>
          <t>Le modèle de données devrait garder fuel_type sur chaque lot et chaque réservoir.</t>
        </is>
      </c>
    </row>
    <row r="3">
      <c r="A3" s="2" t="inlineStr">
        <is>
          <t>FUEL-DIESEL</t>
        </is>
      </c>
      <c r="B3" s="2" t="inlineStr">
        <is>
          <t>Gazole / diesel</t>
        </is>
      </c>
      <c r="C3" s="2" t="inlineStr">
        <is>
          <t>Diesel uniquement</t>
        </is>
      </c>
      <c r="D3" s="2" t="inlineStr">
        <is>
          <t>Moteur diesel compatible; injection et filtration adaptées</t>
        </is>
      </c>
      <c r="E3" s="2" t="inlineStr">
        <is>
          <t>Ne pas autoriser le démarrage avec essence</t>
        </is>
      </c>
      <c r="F3" s="2" t="inlineStr">
        <is>
          <t>Stock séparé en logique interne; agrégation UI facultative</t>
        </is>
      </c>
      <c r="G3" s="2" t="inlineStr">
        <is>
          <t>Ne pas mélanger diesel et essence sous un compteur unique sans signaler les réserves incompatibles.</t>
        </is>
      </c>
    </row>
    <row r="4">
      <c r="A4" s="2" t="inlineStr">
        <is>
          <t>FUEL-MIXED-LEGACY</t>
        </is>
      </c>
      <c r="B4" s="2" t="inlineStr">
        <is>
          <t>Mélange spécial</t>
        </is>
      </c>
      <c r="C4" s="2" t="inlineStr">
        <is>
          <t>Uniquement moteur explicitement prévu</t>
        </is>
      </c>
      <c r="D4" s="2" t="inlineStr">
        <is>
          <t>Uniquement moteur et réglage validés pour le mélange</t>
        </is>
      </c>
      <c r="E4" s="2" t="inlineStr">
        <is>
          <t>Bloqué par défaut</t>
        </is>
      </c>
      <c r="F4" s="2" t="inlineStr">
        <is>
          <t>Ne pas inclure dans le prototype initial</t>
        </is>
      </c>
      <c r="G4" s="2" t="inlineStr">
        <is>
          <t>Option future seulement si véhicules spécifiques documentés.</t>
        </is>
      </c>
    </row>
  </sheetData>
  <autoFilter ref="A1:G4"/>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42" customWidth="1" min="3" max="3"/>
    <col width="54" customWidth="1" min="4" max="4"/>
    <col width="22" customWidth="1" min="5" max="5"/>
    <col width="42" customWidth="1" min="6" max="6"/>
    <col width="55" customWidth="1" min="7" max="7"/>
  </cols>
  <sheetData>
    <row r="1" ht="32" customHeight="1">
      <c r="A1" s="25" t="inlineStr">
        <is>
          <t>ID composant</t>
        </is>
      </c>
      <c r="B1" s="25" t="inlineStr">
        <is>
          <t>Famille</t>
        </is>
      </c>
      <c r="C1" s="25" t="inlineStr">
        <is>
          <t>Règle primaire</t>
        </is>
      </c>
      <c r="D1" s="25" t="inlineStr">
        <is>
          <t>Interfaces obligatoires</t>
        </is>
      </c>
      <c r="E1" s="25" t="inlineStr">
        <is>
          <t>Criticité</t>
        </is>
      </c>
      <c r="F1" s="25" t="inlineStr">
        <is>
          <t>Effet en jeu</t>
        </is>
      </c>
      <c r="G1" s="25" t="inlineStr">
        <is>
          <t>Garde-fous</t>
        </is>
      </c>
    </row>
    <row r="2">
      <c r="A2" s="2" t="inlineStr">
        <is>
          <t>CMP-ENGINE</t>
        </is>
      </c>
      <c r="B2" s="2" t="inlineStr">
        <is>
          <t>Moteur</t>
        </is>
      </c>
      <c r="C2" s="2" t="inlineStr">
        <is>
          <t>Famille moteur + puissance + encombrement</t>
        </is>
      </c>
      <c r="D2" s="2" t="inlineStr">
        <is>
          <t>Supports moteur; cloche; refroidissement; admission/échappement; alimentation</t>
        </is>
      </c>
      <c r="E2" s="2" t="inlineStr">
        <is>
          <t>Critique</t>
        </is>
      </c>
      <c r="F2" s="2" t="inlineStr">
        <is>
          <t>Démarrage impossible si absent; pénalité si endommagé</t>
        </is>
      </c>
      <c r="G2" s="2" t="inlineStr">
        <is>
          <t>Ne pas valider sur le seul nom de famille</t>
        </is>
      </c>
    </row>
    <row r="3">
      <c r="A3" s="2" t="inlineStr">
        <is>
          <t>CMP-TRANSMISSION</t>
        </is>
      </c>
      <c r="B3" s="2" t="inlineStr">
        <is>
          <t>Boîte / transfert</t>
        </is>
      </c>
      <c r="C3" s="2" t="inlineStr">
        <is>
          <t>Couple admissible + interface moteur + type de motricité</t>
        </is>
      </c>
      <c r="D3" s="2" t="inlineStr">
        <is>
          <t>Cloche, arbre, transfert, rapports, commandes</t>
        </is>
      </c>
      <c r="E3" s="2" t="inlineStr">
        <is>
          <t>Critique</t>
        </is>
      </c>
      <c r="F3" s="2" t="inlineStr">
        <is>
          <t>Peut immobiliser ou limiter la motricité</t>
        </is>
      </c>
      <c r="G3" s="2" t="inlineStr">
        <is>
          <t>4x4, 6x6, chenilles et amphibie ont des interfaces distinctes</t>
        </is>
      </c>
    </row>
    <row r="4">
      <c r="A4" s="2" t="inlineStr">
        <is>
          <t>CMP-COOLING</t>
        </is>
      </c>
      <c r="B4" s="2" t="inlineStr">
        <is>
          <t>Refroidissement</t>
        </is>
      </c>
      <c r="C4" s="2" t="inlineStr">
        <is>
          <t>Puissance thermique + place disponible</t>
        </is>
      </c>
      <c r="D4" s="2" t="inlineStr">
        <is>
          <t>Radiateur, ventilateur, durites, pompe</t>
        </is>
      </c>
      <c r="E4" s="2" t="inlineStr">
        <is>
          <t>Critique</t>
        </is>
      </c>
      <c r="F4" s="2" t="inlineStr">
        <is>
          <t>Surchauffe, puissance réduite, risque de panne</t>
        </is>
      </c>
      <c r="G4" s="2" t="inlineStr">
        <is>
          <t>Moteur monté sans refroidissement adapté est non opérationnel</t>
        </is>
      </c>
    </row>
    <row r="5">
      <c r="A5" s="2" t="inlineStr">
        <is>
          <t>CMP-FUEL-SYSTEM</t>
        </is>
      </c>
      <c r="B5" s="2" t="inlineStr">
        <is>
          <t>Alimentation carburant</t>
        </is>
      </c>
      <c r="C5" s="2" t="inlineStr">
        <is>
          <t>Type de carburant + moteur</t>
        </is>
      </c>
      <c r="D5" s="2" t="inlineStr">
        <is>
          <t>Réservoir, pompe, filtres, conduites, retours éventuels</t>
        </is>
      </c>
      <c r="E5" s="2" t="inlineStr">
        <is>
          <t>Critique</t>
        </is>
      </c>
      <c r="F5" s="2" t="inlineStr">
        <is>
          <t>Moteur incompatible ne démarre pas</t>
        </is>
      </c>
      <c r="G5" s="2" t="inlineStr">
        <is>
          <t>Séparer essence/diesel en logique interne</t>
        </is>
      </c>
    </row>
    <row r="6">
      <c r="A6" s="2" t="inlineStr">
        <is>
          <t>CMP-RUNNING-GEAR</t>
        </is>
      </c>
      <c r="B6" s="2" t="inlineStr">
        <is>
          <t>Train roulant</t>
        </is>
      </c>
      <c r="C6" s="2" t="inlineStr">
        <is>
          <t>Masse, largeur, type de suspension et motricité</t>
        </is>
      </c>
      <c r="D6" s="2" t="inlineStr">
        <is>
          <t>Ponts, moyeux, ressorts, amortisseurs, chenilles/galets</t>
        </is>
      </c>
      <c r="E6" s="2" t="inlineStr">
        <is>
          <t>Critique</t>
        </is>
      </c>
      <c r="F6" s="2" t="inlineStr">
        <is>
          <t>Risque de casse; charge limitée</t>
        </is>
      </c>
      <c r="G6" s="2" t="inlineStr">
        <is>
          <t>Les pièces de chenilles ne remplacent pas des roues</t>
        </is>
      </c>
    </row>
    <row r="7">
      <c r="A7" s="2" t="inlineStr">
        <is>
          <t>CMP-WHEELS</t>
        </is>
      </c>
      <c r="B7" s="2" t="inlineStr">
        <is>
          <t>Roues / pneus</t>
        </is>
      </c>
      <c r="C7" s="2" t="inlineStr">
        <is>
          <t>Diamètre, entraxe, charge et largeur</t>
        </is>
      </c>
      <c r="D7" s="2" t="inlineStr">
        <is>
          <t>Jantes, pneus, moyeux, écrous</t>
        </is>
      </c>
      <c r="E7" s="2" t="inlineStr">
        <is>
          <t>Majeur</t>
        </is>
      </c>
      <c r="F7" s="2" t="inlineStr">
        <is>
          <t>Vitesse, adhérence et capacité affectées</t>
        </is>
      </c>
      <c r="G7" s="2" t="inlineStr">
        <is>
          <t>Compatibilité à calculer; éviter montage libre irréaliste</t>
        </is>
      </c>
    </row>
    <row r="8">
      <c r="A8" s="2" t="inlineStr">
        <is>
          <t>CMP-TRACKS</t>
        </is>
      </c>
      <c r="B8" s="2" t="inlineStr">
        <is>
          <t>Chenilles</t>
        </is>
      </c>
      <c r="C8" s="2" t="inlineStr">
        <is>
          <t>Largeur/maillons + suspension + masse</t>
        </is>
      </c>
      <c r="D8" s="2" t="inlineStr">
        <is>
          <t>Chenilles, galets, barbotins, tendeurs</t>
        </is>
      </c>
      <c r="E8" s="2" t="inlineStr">
        <is>
          <t>Critique</t>
        </is>
      </c>
      <c r="F8" s="2" t="inlineStr">
        <is>
          <t>Véhicule immobilisé si chaîne interrompue</t>
        </is>
      </c>
      <c r="G8" s="2" t="inlineStr">
        <is>
          <t>Familles de chenilles à séparer</t>
        </is>
      </c>
    </row>
    <row r="9">
      <c r="A9" s="2" t="inlineStr">
        <is>
          <t>CMP-ARMOR</t>
        </is>
      </c>
      <c r="B9" s="2" t="inlineStr">
        <is>
          <t>Blindage / panneaux</t>
        </is>
      </c>
      <c r="C9" s="2" t="inlineStr">
        <is>
          <t>Gabarit et zone de montage</t>
        </is>
      </c>
      <c r="D9" s="2" t="inlineStr">
        <is>
          <t>Supports, masse, soudure/boulonnage</t>
        </is>
      </c>
      <c r="E9" s="2" t="inlineStr">
        <is>
          <t>Majeur</t>
        </is>
      </c>
      <c r="F9" s="2" t="inlineStr">
        <is>
          <t>Protection augmente mais charge et consommation aussi</t>
        </is>
      </c>
      <c r="G9" s="2" t="inlineStr">
        <is>
          <t>Protection additionnelle doit modifier centre de gravité et masse</t>
        </is>
      </c>
    </row>
    <row r="10">
      <c r="A10" s="2" t="inlineStr">
        <is>
          <t>CMP-WEAPON</t>
        </is>
      </c>
      <c r="B10" s="2" t="inlineStr">
        <is>
          <t>Arme</t>
        </is>
      </c>
      <c r="C10" s="2" t="inlineStr">
        <is>
          <t>Support, recul, alimentation, encombrement</t>
        </is>
      </c>
      <c r="D10" s="2" t="inlineStr">
        <is>
          <t>Affût/tourelle, munitions, commandes</t>
        </is>
      </c>
      <c r="E10" s="2" t="inlineStr">
        <is>
          <t>Majeur</t>
        </is>
      </c>
      <c r="F10" s="2" t="inlineStr">
        <is>
          <t>Arme indisponible si composant critique absent</t>
        </is>
      </c>
      <c r="G10" s="2" t="inlineStr">
        <is>
          <t>Ne pas rendre chaque arme interchangeable avec chaque tourelle</t>
        </is>
      </c>
    </row>
    <row r="11">
      <c r="A11" s="2" t="inlineStr">
        <is>
          <t>CMP-AMMO</t>
        </is>
      </c>
      <c r="B11" s="2" t="inlineStr">
        <is>
          <t>Munitions</t>
        </is>
      </c>
      <c r="C11" s="2" t="inlineStr">
        <is>
          <t>Calibre/type exact + arme</t>
        </is>
      </c>
      <c r="D11" s="2" t="inlineStr">
        <is>
          <t>Caisses, stockage sécurisé</t>
        </is>
      </c>
      <c r="E11" s="2" t="inlineStr">
        <is>
          <t>Critique pour tir</t>
        </is>
      </c>
      <c r="F11" s="2" t="inlineStr">
        <is>
          <t>Arme sans munition ne tire pas</t>
        </is>
      </c>
      <c r="G11" s="2" t="inlineStr">
        <is>
          <t>Pas de conversion automatique entre calibres proches</t>
        </is>
      </c>
    </row>
    <row r="12">
      <c r="A12" s="2" t="inlineStr">
        <is>
          <t>CMP-ELECTRICAL</t>
        </is>
      </c>
      <c r="B12" s="2" t="inlineStr">
        <is>
          <t>Électricité</t>
        </is>
      </c>
      <c r="C12" s="2" t="inlineStr">
        <is>
          <t>Tension, puissance, générateur/alternateur</t>
        </is>
      </c>
      <c r="D12" s="2" t="inlineStr">
        <is>
          <t>Batterie, câblage, démarreur, éclairage</t>
        </is>
      </c>
      <c r="E12" s="2" t="inlineStr">
        <is>
          <t>Variable</t>
        </is>
      </c>
      <c r="F12" s="2" t="inlineStr">
        <is>
          <t>Démarrage/éclairage/équipements dégradés</t>
        </is>
      </c>
      <c r="G12" s="2" t="inlineStr">
        <is>
          <t>Architecture simple pour prototype; tension détaillée plus tard</t>
        </is>
      </c>
    </row>
    <row r="13">
      <c r="A13" s="2" t="inlineStr">
        <is>
          <t>CMP-AMPHIBIOUS</t>
        </is>
      </c>
      <c r="B13" s="2" t="inlineStr">
        <is>
          <t>Équipement amphibie</t>
        </is>
      </c>
      <c r="C13" s="2" t="inlineStr">
        <is>
          <t>Coque, étanchéité, propulsion eau, flottabilité</t>
        </is>
      </c>
      <c r="D13" s="2" t="inlineStr">
        <is>
          <t>Hélice, arbre, pompe, joints, commandes</t>
        </is>
      </c>
      <c r="E13" s="2" t="inlineStr">
        <is>
          <t>Critique en eau</t>
        </is>
      </c>
      <c r="F13" s="2" t="inlineStr">
        <is>
          <t>Navigation aquatique bloquée si défaut critique</t>
        </is>
      </c>
      <c r="G13" s="2" t="inlineStr">
        <is>
          <t>Le moteur compatible seul ne suffit pas à rendre le véhicule amphibie</t>
        </is>
      </c>
    </row>
    <row r="14">
      <c r="A14" s="2" t="inlineStr">
        <is>
          <t>CMP-WINCH</t>
        </is>
      </c>
      <c r="B14" s="2" t="inlineStr">
        <is>
          <t>Treuil / dépannage</t>
        </is>
      </c>
      <c r="C14" s="2" t="inlineStr">
        <is>
          <t>Charge nominale, ancrage et alimentation</t>
        </is>
      </c>
      <c r="D14" s="2" t="inlineStr">
        <is>
          <t>Câble, tambour, frein, flèches/supports</t>
        </is>
      </c>
      <c r="E14" s="2" t="inlineStr">
        <is>
          <t>Majeur</t>
        </is>
      </c>
      <c r="F14" s="2" t="inlineStr">
        <is>
          <t>Limite de récupération remorquage</t>
        </is>
      </c>
      <c r="G14" s="2" t="inlineStr">
        <is>
          <t>Capacité calculée selon masse de l’épave et terrain</t>
        </is>
      </c>
    </row>
    <row r="15">
      <c r="A15" s="2" t="inlineStr">
        <is>
          <t>CMP-CARGO</t>
        </is>
      </c>
      <c r="B15" s="2" t="inlineStr">
        <is>
          <t>Carrosserie / chargement</t>
        </is>
      </c>
      <c r="C15" s="2" t="inlineStr">
        <is>
          <t>Châssis, volume, masse, rôle</t>
        </is>
      </c>
      <c r="D15" s="2" t="inlineStr">
        <is>
          <t>Caisse, citerne, atelier, bâche, arrimage</t>
        </is>
      </c>
      <c r="E15" s="2" t="inlineStr">
        <is>
          <t>Majeur</t>
        </is>
      </c>
      <c r="F15" s="2" t="inlineStr">
        <is>
          <t>Capacité et type de fret modifiés</t>
        </is>
      </c>
      <c r="G15" s="2" t="inlineStr">
        <is>
          <t>Une même base camion peut être plusieurs variantes gameplay</t>
        </is>
      </c>
    </row>
  </sheetData>
  <autoFilter ref="A1:G15"/>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22" customWidth="1" min="16" max="16"/>
    <col width="54" customWidth="1" min="17" max="17"/>
  </cols>
  <sheetData>
    <row r="1" ht="32" customHeight="1">
      <c r="A1" s="25" t="inlineStr">
        <is>
          <t>Classe véhicule</t>
        </is>
      </c>
      <c r="B1" s="25" t="inlineStr">
        <is>
          <t>Moteur</t>
        </is>
      </c>
      <c r="C1" s="25" t="inlineStr">
        <is>
          <t>Transmission</t>
        </is>
      </c>
      <c r="D1" s="25" t="inlineStr">
        <is>
          <t>Refroidissement</t>
        </is>
      </c>
      <c r="E1" s="25" t="inlineStr">
        <is>
          <t>Carburant</t>
        </is>
      </c>
      <c r="F1" s="25" t="inlineStr">
        <is>
          <t>Roues/chenilles</t>
        </is>
      </c>
      <c r="G1" s="25" t="inlineStr">
        <is>
          <t>Direction/ponts</t>
        </is>
      </c>
      <c r="H1" s="25" t="inlineStr">
        <is>
          <t>Suspension</t>
        </is>
      </c>
      <c r="I1" s="25" t="inlineStr">
        <is>
          <t>Freins</t>
        </is>
      </c>
      <c r="J1" s="25" t="inlineStr">
        <is>
          <t>Électricité</t>
        </is>
      </c>
      <c r="K1" s="25" t="inlineStr">
        <is>
          <t>Carrosserie</t>
        </is>
      </c>
      <c r="L1" s="25" t="inlineStr">
        <is>
          <t>Blindage</t>
        </is>
      </c>
      <c r="M1" s="25" t="inlineStr">
        <is>
          <t>Arme/affût</t>
        </is>
      </c>
      <c r="N1" s="25" t="inlineStr">
        <is>
          <t>Munitions / système arme</t>
        </is>
      </c>
      <c r="O1" s="25" t="inlineStr">
        <is>
          <t>Équipement spécialisé</t>
        </is>
      </c>
      <c r="P1" s="25" t="inlineStr">
        <is>
          <t>Temps atelier relatif</t>
        </is>
      </c>
      <c r="Q1" s="25" t="inlineStr">
        <is>
          <t>Règle de conception</t>
        </is>
      </c>
    </row>
    <row r="2">
      <c r="A2" s="2" t="inlineStr">
        <is>
          <t>Moto / side-car</t>
        </is>
      </c>
      <c r="B2" s="2" t="inlineStr">
        <is>
          <t>1</t>
        </is>
      </c>
      <c r="C2" s="2" t="inlineStr">
        <is>
          <t>1</t>
        </is>
      </c>
      <c r="D2" s="2" t="inlineStr">
        <is>
          <t>1</t>
        </is>
      </c>
      <c r="E2" s="2" t="inlineStr">
        <is>
          <t>0</t>
        </is>
      </c>
      <c r="F2" s="2" t="inlineStr">
        <is>
          <t>1</t>
        </is>
      </c>
      <c r="G2" s="2" t="inlineStr">
        <is>
          <t>1</t>
        </is>
      </c>
      <c r="H2" s="2" t="inlineStr">
        <is>
          <t>0</t>
        </is>
      </c>
      <c r="I2" s="2" t="inlineStr">
        <is>
          <t>1</t>
        </is>
      </c>
      <c r="J2" s="2" t="inlineStr">
        <is>
          <t>1</t>
        </is>
      </c>
      <c r="K2" s="2" t="inlineStr">
        <is>
          <t>1</t>
        </is>
      </c>
      <c r="L2" s="2" t="inlineStr">
        <is>
          <t>0</t>
        </is>
      </c>
      <c r="M2" s="2" t="inlineStr">
        <is>
          <t>0</t>
        </is>
      </c>
      <c r="N2" s="2" t="inlineStr">
        <is>
          <t>0</t>
        </is>
      </c>
      <c r="O2" s="2" t="inlineStr">
        <is>
          <t>0</t>
        </is>
      </c>
      <c r="P2" s="2" t="inlineStr">
        <is>
          <t>Très faible</t>
        </is>
      </c>
      <c r="Q2" s="2" t="inlineStr">
        <is>
          <t>Éclaireur, très vulnérable</t>
        </is>
      </c>
    </row>
    <row r="3">
      <c r="A3" s="2" t="inlineStr">
        <is>
          <t>Voiture légère 4x4</t>
        </is>
      </c>
      <c r="B3" s="2" t="inlineStr">
        <is>
          <t>2</t>
        </is>
      </c>
      <c r="C3" s="2" t="inlineStr">
        <is>
          <t>2</t>
        </is>
      </c>
      <c r="D3" s="2" t="inlineStr">
        <is>
          <t>2</t>
        </is>
      </c>
      <c r="E3" s="2" t="inlineStr">
        <is>
          <t>1</t>
        </is>
      </c>
      <c r="F3" s="2" t="inlineStr">
        <is>
          <t>2</t>
        </is>
      </c>
      <c r="G3" s="2" t="inlineStr">
        <is>
          <t>2</t>
        </is>
      </c>
      <c r="H3" s="2" t="inlineStr">
        <is>
          <t>1</t>
        </is>
      </c>
      <c r="I3" s="2" t="inlineStr">
        <is>
          <t>2</t>
        </is>
      </c>
      <c r="J3" s="2" t="inlineStr">
        <is>
          <t>1</t>
        </is>
      </c>
      <c r="K3" s="2" t="inlineStr">
        <is>
          <t>1</t>
        </is>
      </c>
      <c r="L3" s="2" t="inlineStr">
        <is>
          <t>1</t>
        </is>
      </c>
      <c r="M3" s="2" t="inlineStr">
        <is>
          <t>0</t>
        </is>
      </c>
      <c r="N3" s="2" t="inlineStr">
        <is>
          <t>0</t>
        </is>
      </c>
      <c r="O3" s="2" t="inlineStr">
        <is>
          <t>0</t>
        </is>
      </c>
      <c r="P3" s="2" t="inlineStr">
        <is>
          <t>Faible</t>
        </is>
      </c>
      <c r="Q3" s="2" t="inlineStr">
        <is>
          <t>Moteur compact; pièces relativement simples</t>
        </is>
      </c>
    </row>
    <row r="4">
      <c r="A4" s="2" t="inlineStr">
        <is>
          <t>Camion léger</t>
        </is>
      </c>
      <c r="B4" s="2" t="inlineStr">
        <is>
          <t>3</t>
        </is>
      </c>
      <c r="C4" s="2" t="inlineStr">
        <is>
          <t>3</t>
        </is>
      </c>
      <c r="D4" s="2" t="inlineStr">
        <is>
          <t>3</t>
        </is>
      </c>
      <c r="E4" s="2" t="inlineStr">
        <is>
          <t>2</t>
        </is>
      </c>
      <c r="F4" s="2" t="inlineStr">
        <is>
          <t>3</t>
        </is>
      </c>
      <c r="G4" s="2" t="inlineStr">
        <is>
          <t>3</t>
        </is>
      </c>
      <c r="H4" s="2" t="inlineStr">
        <is>
          <t>2</t>
        </is>
      </c>
      <c r="I4" s="2" t="inlineStr">
        <is>
          <t>3</t>
        </is>
      </c>
      <c r="J4" s="2" t="inlineStr">
        <is>
          <t>2</t>
        </is>
      </c>
      <c r="K4" s="2" t="inlineStr">
        <is>
          <t>2</t>
        </is>
      </c>
      <c r="L4" s="2" t="inlineStr">
        <is>
          <t>1</t>
        </is>
      </c>
      <c r="M4" s="2" t="inlineStr">
        <is>
          <t>1</t>
        </is>
      </c>
      <c r="N4" s="2" t="inlineStr">
        <is>
          <t>0</t>
        </is>
      </c>
      <c r="O4" s="2" t="inlineStr">
        <is>
          <t>0</t>
        </is>
      </c>
      <c r="P4" s="2" t="inlineStr">
        <is>
          <t>Faible à moyen</t>
        </is>
      </c>
      <c r="Q4" s="2" t="inlineStr">
        <is>
          <t>Réparation plus lente si charge lourde</t>
        </is>
      </c>
    </row>
    <row r="5">
      <c r="A5" s="2" t="inlineStr">
        <is>
          <t>Camion moyen 4x4/6x6</t>
        </is>
      </c>
      <c r="B5" s="2" t="inlineStr">
        <is>
          <t>4</t>
        </is>
      </c>
      <c r="C5" s="2" t="inlineStr">
        <is>
          <t>4</t>
        </is>
      </c>
      <c r="D5" s="2" t="inlineStr">
        <is>
          <t>4</t>
        </is>
      </c>
      <c r="E5" s="2" t="inlineStr">
        <is>
          <t>3</t>
        </is>
      </c>
      <c r="F5" s="2" t="inlineStr">
        <is>
          <t>4</t>
        </is>
      </c>
      <c r="G5" s="2" t="inlineStr">
        <is>
          <t>4</t>
        </is>
      </c>
      <c r="H5" s="2" t="inlineStr">
        <is>
          <t>3</t>
        </is>
      </c>
      <c r="I5" s="2" t="inlineStr">
        <is>
          <t>4</t>
        </is>
      </c>
      <c r="J5" s="2" t="inlineStr">
        <is>
          <t>3</t>
        </is>
      </c>
      <c r="K5" s="2" t="inlineStr">
        <is>
          <t>3</t>
        </is>
      </c>
      <c r="L5" s="2" t="inlineStr">
        <is>
          <t>2</t>
        </is>
      </c>
      <c r="M5" s="2" t="inlineStr">
        <is>
          <t>1</t>
        </is>
      </c>
      <c r="N5" s="2" t="inlineStr">
        <is>
          <t>0</t>
        </is>
      </c>
      <c r="O5" s="2" t="inlineStr">
        <is>
          <t>0</t>
        </is>
      </c>
      <c r="P5" s="2" t="inlineStr">
        <is>
          <t>Moyen</t>
        </is>
      </c>
      <c r="Q5" s="2" t="inlineStr">
        <is>
          <t>Pneus, ponts et transmission plus coûteux</t>
        </is>
      </c>
    </row>
    <row r="6">
      <c r="A6" s="2" t="inlineStr">
        <is>
          <t>Camion lourd / dépannage</t>
        </is>
      </c>
      <c r="B6" s="2" t="inlineStr">
        <is>
          <t>6</t>
        </is>
      </c>
      <c r="C6" s="2" t="inlineStr">
        <is>
          <t>6</t>
        </is>
      </c>
      <c r="D6" s="2" t="inlineStr">
        <is>
          <t>6</t>
        </is>
      </c>
      <c r="E6" s="2" t="inlineStr">
        <is>
          <t>4</t>
        </is>
      </c>
      <c r="F6" s="2" t="inlineStr">
        <is>
          <t>6</t>
        </is>
      </c>
      <c r="G6" s="2" t="inlineStr">
        <is>
          <t>6</t>
        </is>
      </c>
      <c r="H6" s="2" t="inlineStr">
        <is>
          <t>5</t>
        </is>
      </c>
      <c r="I6" s="2" t="inlineStr">
        <is>
          <t>6</t>
        </is>
      </c>
      <c r="J6" s="2" t="inlineStr">
        <is>
          <t>4</t>
        </is>
      </c>
      <c r="K6" s="2" t="inlineStr">
        <is>
          <t>4</t>
        </is>
      </c>
      <c r="L6" s="2" t="inlineStr">
        <is>
          <t>3</t>
        </is>
      </c>
      <c r="M6" s="2" t="inlineStr">
        <is>
          <t>2</t>
        </is>
      </c>
      <c r="N6" s="2" t="inlineStr">
        <is>
          <t>1</t>
        </is>
      </c>
      <c r="O6" s="2" t="inlineStr">
        <is>
          <t>1</t>
        </is>
      </c>
      <c r="P6" s="2" t="inlineStr">
        <is>
          <t>Élevé</t>
        </is>
      </c>
      <c r="Q6" s="2" t="inlineStr">
        <is>
          <t>Treuils, flèches et châssis renforcé</t>
        </is>
      </c>
    </row>
    <row r="7">
      <c r="A7" s="2" t="inlineStr">
        <is>
          <t>Automitrailleuse</t>
        </is>
      </c>
      <c r="B7" s="2" t="inlineStr">
        <is>
          <t>5</t>
        </is>
      </c>
      <c r="C7" s="2" t="inlineStr">
        <is>
          <t>5</t>
        </is>
      </c>
      <c r="D7" s="2" t="inlineStr">
        <is>
          <t>5</t>
        </is>
      </c>
      <c r="E7" s="2" t="inlineStr">
        <is>
          <t>4</t>
        </is>
      </c>
      <c r="F7" s="2" t="inlineStr">
        <is>
          <t>5</t>
        </is>
      </c>
      <c r="G7" s="2" t="inlineStr">
        <is>
          <t>5</t>
        </is>
      </c>
      <c r="H7" s="2" t="inlineStr">
        <is>
          <t>4</t>
        </is>
      </c>
      <c r="I7" s="2" t="inlineStr">
        <is>
          <t>5</t>
        </is>
      </c>
      <c r="J7" s="2" t="inlineStr">
        <is>
          <t>4</t>
        </is>
      </c>
      <c r="K7" s="2" t="inlineStr">
        <is>
          <t>4</t>
        </is>
      </c>
      <c r="L7" s="2" t="inlineStr">
        <is>
          <t>3</t>
        </is>
      </c>
      <c r="M7" s="2" t="inlineStr">
        <is>
          <t>2</t>
        </is>
      </c>
      <c r="N7" s="2" t="inlineStr">
        <is>
          <t>2</t>
        </is>
      </c>
      <c r="O7" s="2" t="inlineStr">
        <is>
          <t>1</t>
        </is>
      </c>
      <c r="P7" s="2" t="inlineStr">
        <is>
          <t>Élevé</t>
        </is>
      </c>
      <c r="Q7" s="2" t="inlineStr">
        <is>
          <t>Tourelle/arme augmentent coût et spécialisation</t>
        </is>
      </c>
    </row>
    <row r="8">
      <c r="A8" s="2" t="inlineStr">
        <is>
          <t>Char léger</t>
        </is>
      </c>
      <c r="B8" s="2" t="inlineStr">
        <is>
          <t>5</t>
        </is>
      </c>
      <c r="C8" s="2" t="inlineStr">
        <is>
          <t>5</t>
        </is>
      </c>
      <c r="D8" s="2" t="inlineStr">
        <is>
          <t>5</t>
        </is>
      </c>
      <c r="E8" s="2" t="inlineStr">
        <is>
          <t>5</t>
        </is>
      </c>
      <c r="F8" s="2" t="inlineStr">
        <is>
          <t>5</t>
        </is>
      </c>
      <c r="G8" s="2" t="inlineStr">
        <is>
          <t>5</t>
        </is>
      </c>
      <c r="H8" s="2" t="inlineStr">
        <is>
          <t>4</t>
        </is>
      </c>
      <c r="I8" s="2" t="inlineStr">
        <is>
          <t>5</t>
        </is>
      </c>
      <c r="J8" s="2" t="inlineStr">
        <is>
          <t>4</t>
        </is>
      </c>
      <c r="K8" s="2" t="inlineStr">
        <is>
          <t>4</t>
        </is>
      </c>
      <c r="L8" s="2" t="inlineStr">
        <is>
          <t>3</t>
        </is>
      </c>
      <c r="M8" s="2" t="inlineStr">
        <is>
          <t>2</t>
        </is>
      </c>
      <c r="N8" s="2" t="inlineStr">
        <is>
          <t>2</t>
        </is>
      </c>
      <c r="O8" s="2" t="inlineStr">
        <is>
          <t>1</t>
        </is>
      </c>
      <c r="P8" s="2" t="inlineStr">
        <is>
          <t>Élevé</t>
        </is>
      </c>
      <c r="Q8" s="2" t="inlineStr">
        <is>
          <t>Chenilles/galets et moteur spécifiques</t>
        </is>
      </c>
    </row>
    <row r="9">
      <c r="A9" s="2" t="inlineStr">
        <is>
          <t>Char moyen</t>
        </is>
      </c>
      <c r="B9" s="2" t="inlineStr">
        <is>
          <t>8</t>
        </is>
      </c>
      <c r="C9" s="2" t="inlineStr">
        <is>
          <t>8</t>
        </is>
      </c>
      <c r="D9" s="2" t="inlineStr">
        <is>
          <t>8</t>
        </is>
      </c>
      <c r="E9" s="2" t="inlineStr">
        <is>
          <t>7</t>
        </is>
      </c>
      <c r="F9" s="2" t="inlineStr">
        <is>
          <t>8</t>
        </is>
      </c>
      <c r="G9" s="2" t="inlineStr">
        <is>
          <t>8</t>
        </is>
      </c>
      <c r="H9" s="2" t="inlineStr">
        <is>
          <t>7</t>
        </is>
      </c>
      <c r="I9" s="2" t="inlineStr">
        <is>
          <t>8</t>
        </is>
      </c>
      <c r="J9" s="2" t="inlineStr">
        <is>
          <t>6</t>
        </is>
      </c>
      <c r="K9" s="2" t="inlineStr">
        <is>
          <t>6</t>
        </is>
      </c>
      <c r="L9" s="2" t="inlineStr">
        <is>
          <t>5</t>
        </is>
      </c>
      <c r="M9" s="2" t="inlineStr">
        <is>
          <t>4</t>
        </is>
      </c>
      <c r="N9" s="2" t="inlineStr">
        <is>
          <t>4</t>
        </is>
      </c>
      <c r="O9" s="2" t="inlineStr">
        <is>
          <t>2</t>
        </is>
      </c>
      <c r="P9" s="2" t="inlineStr">
        <is>
          <t>Très élevé</t>
        </is>
      </c>
      <c r="Q9" s="2" t="inlineStr">
        <is>
          <t>Masse et chenilles; atelier avancé recommandé</t>
        </is>
      </c>
    </row>
    <row r="10">
      <c r="A10" s="2" t="inlineStr">
        <is>
          <t>Char lourd</t>
        </is>
      </c>
      <c r="B10" s="2" t="inlineStr">
        <is>
          <t>12</t>
        </is>
      </c>
      <c r="C10" s="2" t="inlineStr">
        <is>
          <t>12</t>
        </is>
      </c>
      <c r="D10" s="2" t="inlineStr">
        <is>
          <t>12</t>
        </is>
      </c>
      <c r="E10" s="2" t="inlineStr">
        <is>
          <t>10</t>
        </is>
      </c>
      <c r="F10" s="2" t="inlineStr">
        <is>
          <t>12</t>
        </is>
      </c>
      <c r="G10" s="2" t="inlineStr">
        <is>
          <t>12</t>
        </is>
      </c>
      <c r="H10" s="2" t="inlineStr">
        <is>
          <t>10</t>
        </is>
      </c>
      <c r="I10" s="2" t="inlineStr">
        <is>
          <t>12</t>
        </is>
      </c>
      <c r="J10" s="2" t="inlineStr">
        <is>
          <t>8</t>
        </is>
      </c>
      <c r="K10" s="2" t="inlineStr">
        <is>
          <t>8</t>
        </is>
      </c>
      <c r="L10" s="2" t="inlineStr">
        <is>
          <t>7</t>
        </is>
      </c>
      <c r="M10" s="2" t="inlineStr">
        <is>
          <t>6</t>
        </is>
      </c>
      <c r="N10" s="2" t="inlineStr">
        <is>
          <t>6</t>
        </is>
      </c>
      <c r="O10" s="2" t="inlineStr">
        <is>
          <t>3</t>
        </is>
      </c>
      <c r="P10" s="2" t="inlineStr">
        <is>
          <t>Extrême</t>
        </is>
      </c>
      <c r="Q10" s="2" t="inlineStr">
        <is>
          <t>Nécessite atelier industriel, engin de levage et pièces rares</t>
        </is>
      </c>
    </row>
    <row r="11">
      <c r="A11" s="2" t="inlineStr">
        <is>
          <t>Amphibie</t>
        </is>
      </c>
      <c r="B11" s="2" t="inlineStr">
        <is>
          <t>6</t>
        </is>
      </c>
      <c r="C11" s="2" t="inlineStr">
        <is>
          <t>6</t>
        </is>
      </c>
      <c r="D11" s="2" t="inlineStr">
        <is>
          <t>6</t>
        </is>
      </c>
      <c r="E11" s="2" t="inlineStr">
        <is>
          <t>5</t>
        </is>
      </c>
      <c r="F11" s="2" t="inlineStr">
        <is>
          <t>6</t>
        </is>
      </c>
      <c r="G11" s="2" t="inlineStr">
        <is>
          <t>6</t>
        </is>
      </c>
      <c r="H11" s="2" t="inlineStr">
        <is>
          <t>5</t>
        </is>
      </c>
      <c r="I11" s="2" t="inlineStr">
        <is>
          <t>6</t>
        </is>
      </c>
      <c r="J11" s="2" t="inlineStr">
        <is>
          <t>4</t>
        </is>
      </c>
      <c r="K11" s="2" t="inlineStr">
        <is>
          <t>4</t>
        </is>
      </c>
      <c r="L11" s="2" t="inlineStr">
        <is>
          <t>3</t>
        </is>
      </c>
      <c r="M11" s="2" t="inlineStr">
        <is>
          <t>2</t>
        </is>
      </c>
      <c r="N11" s="2" t="inlineStr">
        <is>
          <t>2</t>
        </is>
      </c>
      <c r="O11" s="2" t="inlineStr">
        <is>
          <t>3</t>
        </is>
      </c>
      <c r="P11" s="2" t="inlineStr">
        <is>
          <t>Élevé</t>
        </is>
      </c>
      <c r="Q11" s="2" t="inlineStr">
        <is>
          <t>Étanchéité et propulsion aquatique en plus des systèmes terrestres</t>
        </is>
      </c>
    </row>
  </sheetData>
  <autoFilter ref="A1:Q1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24" customWidth="1" min="3" max="3"/>
    <col width="44" customWidth="1" min="4" max="4"/>
    <col width="38" customWidth="1" min="5" max="5"/>
    <col width="62" customWidth="1" min="6" max="6"/>
  </cols>
  <sheetData>
    <row r="1" ht="32" customHeight="1">
      <c r="A1" s="25" t="inlineStr">
        <is>
          <t>Cas</t>
        </is>
      </c>
      <c r="B1" s="25" t="inlineStr">
        <is>
          <t>Coût matériel</t>
        </is>
      </c>
      <c r="C1" s="25" t="inlineStr">
        <is>
          <t>Temps atelier</t>
        </is>
      </c>
      <c r="D1" s="25" t="inlineStr">
        <is>
          <t>Condition préalable</t>
        </is>
      </c>
      <c r="E1" s="25" t="inlineStr">
        <is>
          <t>Issue possible</t>
        </is>
      </c>
      <c r="F1" s="25" t="inlineStr">
        <is>
          <t>Règle</t>
        </is>
      </c>
    </row>
    <row r="2">
      <c r="A2" s="2" t="inlineStr">
        <is>
          <t>État</t>
        </is>
      </c>
      <c r="B2" s="2" t="inlineStr">
        <is>
          <t>Coût matériel</t>
        </is>
      </c>
      <c r="C2" s="2" t="inlineStr">
        <is>
          <t>Temps atelier</t>
        </is>
      </c>
      <c r="D2" s="2" t="inlineStr">
        <is>
          <t>Condition préalable</t>
        </is>
      </c>
      <c r="E2" s="2" t="inlineStr">
        <is>
          <t>Issue possible</t>
        </is>
      </c>
      <c r="F2" s="2" t="inlineStr">
        <is>
          <t>Règle</t>
        </is>
      </c>
    </row>
    <row r="3">
      <c r="A3" s="2" t="inlineStr">
        <is>
          <t>Usure légère</t>
        </is>
      </c>
      <c r="B3" s="2" t="inlineStr">
        <is>
          <t>Faible (0.5–1.5 unité par famille)</t>
        </is>
      </c>
      <c r="C3" s="2" t="inlineStr">
        <is>
          <t>Court</t>
        </is>
      </c>
      <c r="D3" s="2" t="inlineStr">
        <is>
          <t>Pièces courantes et outillage</t>
        </is>
      </c>
      <c r="E3" s="2" t="inlineStr">
        <is>
          <t>Remise en état partielle</t>
        </is>
      </c>
      <c r="F3" s="2" t="inlineStr">
        <is>
          <t>Réparation peut être effectuée sur le terrain si véhicule et compétence le permettent</t>
        </is>
      </c>
    </row>
    <row r="4">
      <c r="A4" s="2" t="inlineStr">
        <is>
          <t>Panne majeure</t>
        </is>
      </c>
      <c r="B4" s="2" t="inlineStr">
        <is>
          <t>Moyen à élevé (2–5 unités par famille)</t>
        </is>
      </c>
      <c r="C4" s="2" t="inlineStr">
        <is>
          <t>Moyen</t>
        </is>
      </c>
      <c r="D4" s="2" t="inlineStr">
        <is>
          <t>Pièce compatible + atelier</t>
        </is>
      </c>
      <c r="E4" s="2" t="inlineStr">
        <is>
          <t>Retour à la mobilité ou capacité réduite</t>
        </is>
      </c>
      <c r="F4" s="2" t="inlineStr">
        <is>
          <t>Une panne de moteur ne doit pas être réparée avec de simples matériaux génériques</t>
        </is>
      </c>
    </row>
    <row r="5">
      <c r="A5" s="2" t="inlineStr">
        <is>
          <t>Composant critique absent</t>
        </is>
      </c>
      <c r="B5" s="2" t="inlineStr">
        <is>
          <t>Coût de la pièce + montage</t>
        </is>
      </c>
      <c r="C5" s="2" t="inlineStr">
        <is>
          <t>Long</t>
        </is>
      </c>
      <c r="D5" s="2" t="inlineStr">
        <is>
          <t>Pièce exacte ou adaptation documentée</t>
        </is>
      </c>
      <c r="E5" s="2" t="inlineStr">
        <is>
          <t>Véhicule immobilisé jusqu’à remplacement</t>
        </is>
      </c>
      <c r="F5" s="2" t="inlineStr">
        <is>
          <t>Aucun rétablissement gratuit de composant manquant</t>
        </is>
      </c>
    </row>
    <row r="6">
      <c r="A6" s="2" t="inlineStr">
        <is>
          <t>Épave récupérée complète</t>
        </is>
      </c>
      <c r="B6" s="2" t="inlineStr">
        <is>
          <t>Coût de remise en état selon état</t>
        </is>
      </c>
      <c r="C6" s="2" t="inlineStr">
        <is>
          <t>Long</t>
        </is>
      </c>
      <c r="D6" s="2" t="inlineStr">
        <is>
          <t>Inventaire des composants présent et contrôle châssis</t>
        </is>
      </c>
      <c r="E6" s="2" t="inlineStr">
        <is>
          <t>Retour à la configuration récupérée</t>
        </is>
      </c>
      <c r="F6" s="2" t="inlineStr">
        <is>
          <t>Ne pas faire réapparaître les pièces démontées avant le retour</t>
        </is>
      </c>
    </row>
    <row r="7">
      <c r="A7" s="2" t="inlineStr">
        <is>
          <t>Épave incomplète</t>
        </is>
      </c>
      <c r="B7" s="2" t="inlineStr">
        <is>
          <t>Démontage rentable selon pièces restantes</t>
        </is>
      </c>
      <c r="C7" s="2" t="inlineStr">
        <is>
          <t>Variable</t>
        </is>
      </c>
      <c r="D7" s="2" t="inlineStr">
        <is>
          <t>Atelier de démontage</t>
        </is>
      </c>
      <c r="E7" s="2" t="inlineStr">
        <is>
          <t>Pièces récupérables seulement</t>
        </is>
      </c>
      <c r="F7" s="2" t="inlineStr">
        <is>
          <t>Réparation d’origine interdite tant que les composants critiques manquent</t>
        </is>
      </c>
    </row>
    <row r="8">
      <c r="A8" s="2" t="inlineStr">
        <is>
          <t>Adaptation / swap</t>
        </is>
      </c>
      <c r="B8" s="2" t="inlineStr">
        <is>
          <t>Coût pièces + supports + refroidissement + transmission + carburant</t>
        </is>
      </c>
      <c r="C8" s="2" t="inlineStr">
        <is>
          <t>Très long</t>
        </is>
      </c>
      <c r="D8" s="2" t="inlineStr">
        <is>
          <t>Atelier spécialisé, plan ou compétence</t>
        </is>
      </c>
      <c r="E8" s="2" t="inlineStr">
        <is>
          <t>Montage possible avec pénalités si adaptation incomplète</t>
        </is>
      </c>
      <c r="F8" s="2" t="inlineStr">
        <is>
          <t>Pas de compatibilité universelle; interfaces requises</t>
        </is>
      </c>
    </row>
    <row r="9">
      <c r="A9" s="2" t="inlineStr">
        <is>
          <t>Réparation sous pression</t>
        </is>
      </c>
      <c r="B9" s="2" t="inlineStr">
        <is>
          <t>Surcoût/risque de réparation incorrecte</t>
        </is>
      </c>
      <c r="C9" s="2" t="inlineStr">
        <is>
          <t>Court mais risqué</t>
        </is>
      </c>
      <c r="D9" s="2" t="inlineStr">
        <is>
          <t>Outillage limité</t>
        </is>
      </c>
      <c r="E9" s="2" t="inlineStr">
        <is>
          <t>Réparation provisoire, panne récurrente possible</t>
        </is>
      </c>
      <c r="F9" s="2" t="inlineStr">
        <is>
          <t>L’action rapide doit être un compromis, pas une remise à neuf</t>
        </is>
      </c>
    </row>
  </sheetData>
  <autoFilter ref="A1:F9"/>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20" customWidth="1" min="3" max="3"/>
    <col width="22" customWidth="1" min="4" max="4"/>
    <col width="24" customWidth="1" min="5" max="5"/>
    <col width="34" customWidth="1" min="6" max="6"/>
    <col width="34" customWidth="1" min="7" max="7"/>
    <col width="70" customWidth="1" min="8" max="8"/>
    <col width="12" customWidth="1" min="9" max="9"/>
  </cols>
  <sheetData>
    <row r="1" ht="36" customHeight="1">
      <c r="A1" s="25" t="inlineStr">
        <is>
          <t>Type d’entité</t>
        </is>
      </c>
      <c r="B1" s="25" t="inlineStr">
        <is>
          <t>ID / champ principal</t>
        </is>
      </c>
      <c r="C1" s="25" t="inlineStr">
        <is>
          <t>Nature</t>
        </is>
      </c>
      <c r="D1" s="25" t="inlineStr">
        <is>
          <t>Unité</t>
        </is>
      </c>
      <c r="E1" s="25" t="inlineStr">
        <is>
          <t>Valeur initiale / défaut</t>
        </is>
      </c>
      <c r="F1" s="25" t="inlineStr">
        <is>
          <t>Contraintes</t>
        </is>
      </c>
      <c r="G1" s="25" t="inlineStr">
        <is>
          <t>Dépendances</t>
        </is>
      </c>
      <c r="H1" s="25" t="inlineStr">
        <is>
          <t>Règle / sens métier</t>
        </is>
      </c>
      <c r="I1" s="25" t="inlineStr">
        <is>
          <t>Priorité</t>
        </is>
      </c>
    </row>
    <row r="2">
      <c r="A2" s="2" t="inlineStr">
        <is>
          <t>ResourceType</t>
        </is>
      </c>
      <c r="B2" s="2" t="inlineStr">
        <is>
          <t>water</t>
        </is>
      </c>
      <c r="C2" s="2" t="inlineStr">
        <is>
          <t>Ressource</t>
        </is>
      </c>
      <c r="D2" s="2" t="inlineStr">
        <is>
          <t>L</t>
        </is>
      </c>
      <c r="E2" s="2" t="inlineStr">
        <is>
          <t>0</t>
        </is>
      </c>
      <c r="F2" s="2" t="inlineStr">
        <is>
          <t>Capacité bâtiment/réservoir</t>
        </is>
      </c>
      <c r="G2" s="2" t="inlineStr">
        <is>
          <t>Aucune</t>
        </is>
      </c>
      <c r="H2" s="2" t="inlineStr">
        <is>
          <t>Stock courant, capacité, production/jour, consommation/jour, autonomie estimée</t>
        </is>
      </c>
      <c r="I2" s="2" t="inlineStr">
        <is>
          <t>P0</t>
        </is>
      </c>
    </row>
    <row r="3">
      <c r="A3" s="2" t="inlineStr">
        <is>
          <t>ResourceType</t>
        </is>
      </c>
      <c r="B3" s="2" t="inlineStr">
        <is>
          <t>food</t>
        </is>
      </c>
      <c r="C3" s="2" t="inlineStr">
        <is>
          <t>Ressource</t>
        </is>
      </c>
      <c r="D3" s="2" t="inlineStr">
        <is>
          <t>unité abstraite</t>
        </is>
      </c>
      <c r="E3" s="2" t="inlineStr">
        <is>
          <t>0</t>
        </is>
      </c>
      <c r="F3" s="2" t="inlineStr">
        <is>
          <t>Capacité de stockage</t>
        </is>
      </c>
      <c r="G3" s="2" t="inlineStr">
        <is>
          <t>Aucune</t>
        </is>
      </c>
      <c r="H3" s="2" t="inlineStr">
        <is>
          <t>Une seule ressource nourriture; ne pas séparer viande/légumes/œufs en inventaires distincts</t>
        </is>
      </c>
      <c r="I3" s="2" t="inlineStr">
        <is>
          <t>P0</t>
        </is>
      </c>
    </row>
    <row r="4">
      <c r="A4" s="2" t="inlineStr">
        <is>
          <t>ResourceType</t>
        </is>
      </c>
      <c r="B4" s="2" t="inlineStr">
        <is>
          <t>fuel_gasoline</t>
        </is>
      </c>
      <c r="C4" s="2" t="inlineStr">
        <is>
          <t>Ressource</t>
        </is>
      </c>
      <c r="D4" s="2" t="inlineStr">
        <is>
          <t>L</t>
        </is>
      </c>
      <c r="E4" s="2" t="inlineStr">
        <is>
          <t>0</t>
        </is>
      </c>
      <c r="F4" s="2" t="inlineStr">
        <is>
          <t>Capacité de réservoir essence</t>
        </is>
      </c>
      <c r="G4" s="2" t="inlineStr">
        <is>
          <t>Essence uniquement</t>
        </is>
      </c>
      <c r="H4" s="2" t="inlineStr">
        <is>
          <t>Type séparé en logique; l’UI peut agréger seulement si la compatibilité reste visible</t>
        </is>
      </c>
      <c r="I4" s="2" t="inlineStr">
        <is>
          <t>P0</t>
        </is>
      </c>
    </row>
    <row r="5">
      <c r="A5" s="2" t="inlineStr">
        <is>
          <t>ResourceType</t>
        </is>
      </c>
      <c r="B5" s="2" t="inlineStr">
        <is>
          <t>fuel_diesel</t>
        </is>
      </c>
      <c r="C5" s="2" t="inlineStr">
        <is>
          <t>Ressource</t>
        </is>
      </c>
      <c r="D5" s="2" t="inlineStr">
        <is>
          <t>L</t>
        </is>
      </c>
      <c r="E5" s="2" t="inlineStr">
        <is>
          <t>0</t>
        </is>
      </c>
      <c r="F5" s="2" t="inlineStr">
        <is>
          <t>Capacité de réservoir diesel</t>
        </is>
      </c>
      <c r="G5" s="2" t="inlineStr">
        <is>
          <t>Diesel uniquement</t>
        </is>
      </c>
      <c r="H5" s="2" t="inlineStr">
        <is>
          <t>Type séparé en logique; véhicule diesel uniquement</t>
        </is>
      </c>
      <c r="I5" s="2" t="inlineStr">
        <is>
          <t>P0</t>
        </is>
      </c>
    </row>
    <row r="6">
      <c r="A6" s="2" t="inlineStr">
        <is>
          <t>ResourceType</t>
        </is>
      </c>
      <c r="B6" s="2" t="inlineStr">
        <is>
          <t>construction_material</t>
        </is>
      </c>
      <c r="C6" s="2" t="inlineStr">
        <is>
          <t>Ressource</t>
        </is>
      </c>
      <c r="D6" s="2" t="inlineStr">
        <is>
          <t>unité</t>
        </is>
      </c>
      <c r="E6" s="2" t="inlineStr">
        <is>
          <t>0</t>
        </is>
      </c>
      <c r="F6" s="2" t="inlineStr">
        <is>
          <t>Capacité inventaire</t>
        </is>
      </c>
      <c r="G6" s="2" t="inlineStr">
        <is>
          <t>Aucune</t>
        </is>
      </c>
      <c r="H6" s="2" t="inlineStr">
        <is>
          <t>Matériau de construction abstrait</t>
        </is>
      </c>
      <c r="I6" s="2" t="inlineStr">
        <is>
          <t>P0</t>
        </is>
      </c>
    </row>
    <row r="7">
      <c r="A7" s="2" t="inlineStr">
        <is>
          <t>ResourceType</t>
        </is>
      </c>
      <c r="B7" s="2" t="inlineStr">
        <is>
          <t>metal</t>
        </is>
      </c>
      <c r="C7" s="2" t="inlineStr">
        <is>
          <t>Ressource</t>
        </is>
      </c>
      <c r="D7" s="2" t="inlineStr">
        <is>
          <t>unité</t>
        </is>
      </c>
      <c r="E7" s="2" t="inlineStr">
        <is>
          <t>0</t>
        </is>
      </c>
      <c r="F7" s="2" t="inlineStr">
        <is>
          <t>Capacité inventaire</t>
        </is>
      </c>
      <c r="G7" s="2" t="inlineStr">
        <is>
          <t>Aucune</t>
        </is>
      </c>
      <c r="H7" s="2" t="inlineStr">
        <is>
          <t>Matériau métallique pour bâtiments et réparations</t>
        </is>
      </c>
      <c r="I7" s="2" t="inlineStr">
        <is>
          <t>P0</t>
        </is>
      </c>
    </row>
    <row r="8">
      <c r="A8" s="2" t="inlineStr">
        <is>
          <t>ResourceType</t>
        </is>
      </c>
      <c r="B8" s="2" t="inlineStr">
        <is>
          <t>electronics</t>
        </is>
      </c>
      <c r="C8" s="2" t="inlineStr">
        <is>
          <t>Ressource</t>
        </is>
      </c>
      <c r="D8" s="2" t="inlineStr">
        <is>
          <t>unité</t>
        </is>
      </c>
      <c r="E8" s="2" t="inlineStr">
        <is>
          <t>0</t>
        </is>
      </c>
      <c r="F8" s="2" t="inlineStr">
        <is>
          <t>Capacité inventaire</t>
        </is>
      </c>
      <c r="G8" s="2" t="inlineStr">
        <is>
          <t>Aucune</t>
        </is>
      </c>
      <c r="H8" s="2" t="inlineStr">
        <is>
          <t>Ressource rare pour équipements électriques/automatisation</t>
        </is>
      </c>
      <c r="I8" s="2" t="inlineStr">
        <is>
          <t>P1</t>
        </is>
      </c>
    </row>
    <row r="9">
      <c r="A9" s="2" t="inlineStr">
        <is>
          <t>ResourceType</t>
        </is>
      </c>
      <c r="B9" s="2" t="inlineStr">
        <is>
          <t>mechanical_parts</t>
        </is>
      </c>
      <c r="C9" s="2" t="inlineStr">
        <is>
          <t>Ressource</t>
        </is>
      </c>
      <c r="D9" s="2" t="inlineStr">
        <is>
          <t>unité</t>
        </is>
      </c>
      <c r="E9" s="2" t="inlineStr">
        <is>
          <t>0</t>
        </is>
      </c>
      <c r="F9" s="2" t="inlineStr">
        <is>
          <t>Capacité inventaire</t>
        </is>
      </c>
      <c r="G9" s="2" t="inlineStr">
        <is>
          <t>Aucune</t>
        </is>
      </c>
      <c r="H9" s="2" t="inlineStr">
        <is>
          <t>Pièces mécaniques récupérées ou fabriquées</t>
        </is>
      </c>
      <c r="I9" s="2" t="inlineStr">
        <is>
          <t>P0</t>
        </is>
      </c>
    </row>
    <row r="10">
      <c r="A10" s="2" t="inlineStr">
        <is>
          <t>ResourceType</t>
        </is>
      </c>
      <c r="B10" s="2" t="inlineStr">
        <is>
          <t>ammo_small_arms</t>
        </is>
      </c>
      <c r="C10" s="2" t="inlineStr">
        <is>
          <t>Ressource</t>
        </is>
      </c>
      <c r="D10" s="2" t="inlineStr">
        <is>
          <t>cartouche/lot abstrait</t>
        </is>
      </c>
      <c r="E10" s="2" t="inlineStr">
        <is>
          <t>0</t>
        </is>
      </c>
      <c r="F10" s="2" t="inlineStr">
        <is>
          <t>Stockage sécurisé</t>
        </is>
      </c>
      <c r="G10" s="2" t="inlineStr">
        <is>
          <t>Calibre et type d’arme</t>
        </is>
      </c>
      <c r="H10" s="2" t="inlineStr">
        <is>
          <t>Munitions typées; pas de conversion automatique entre calibres</t>
        </is>
      </c>
      <c r="I10" s="2" t="inlineStr">
        <is>
          <t>P1</t>
        </is>
      </c>
    </row>
    <row r="11">
      <c r="A11" s="2" t="inlineStr">
        <is>
          <t>BuildingType</t>
        </is>
      </c>
      <c r="B11" s="2" t="inlineStr">
        <is>
          <t>command_center</t>
        </is>
      </c>
      <c r="C11" s="2" t="inlineStr">
        <is>
          <t>Bâtiment</t>
        </is>
      </c>
      <c r="D11" s="2" t="inlineStr">
        <is>
          <t>niveau</t>
        </is>
      </c>
      <c r="E11" s="2" t="inlineStr">
        <is>
          <t>1</t>
        </is>
      </c>
      <c r="F11" s="2" t="inlineStr">
        <is>
          <t>Emplacement base</t>
        </is>
      </c>
      <c r="G11" s="2" t="inlineStr">
        <is>
          <t>Énergie selon niveau</t>
        </is>
      </c>
      <c r="H11" s="2" t="inlineStr">
        <is>
          <t>Débloque gestion, carte, capacité de population</t>
        </is>
      </c>
      <c r="I11" s="2" t="inlineStr">
        <is>
          <t>P0</t>
        </is>
      </c>
    </row>
    <row r="12">
      <c r="A12" s="2" t="inlineStr">
        <is>
          <t>BuildingType</t>
        </is>
      </c>
      <c r="B12" s="2" t="inlineStr">
        <is>
          <t>water_well</t>
        </is>
      </c>
      <c r="C12" s="2" t="inlineStr">
        <is>
          <t>Bâtiment</t>
        </is>
      </c>
      <c r="D12" s="2" t="inlineStr">
        <is>
          <t>niveau</t>
        </is>
      </c>
      <c r="E12" s="2" t="inlineStr">
        <is>
          <t>0</t>
        </is>
      </c>
      <c r="F12" s="2" t="inlineStr">
        <is>
          <t>Territoire/gisement d’eau</t>
        </is>
      </c>
      <c r="G12" s="2" t="inlineStr">
        <is>
          <t>Pompe mécanique ou électrique</t>
        </is>
      </c>
      <c r="H12" s="2" t="inlineStr">
        <is>
          <t>Production conditionnée par terrain et alimentation</t>
        </is>
      </c>
      <c r="I12" s="2" t="inlineStr">
        <is>
          <t>P0</t>
        </is>
      </c>
    </row>
    <row r="13">
      <c r="A13" s="2" t="inlineStr">
        <is>
          <t>BuildingType</t>
        </is>
      </c>
      <c r="B13" s="2" t="inlineStr">
        <is>
          <t>water_tank</t>
        </is>
      </c>
      <c r="C13" s="2" t="inlineStr">
        <is>
          <t>Bâtiment</t>
        </is>
      </c>
      <c r="D13" s="2" t="inlineStr">
        <is>
          <t>niveau</t>
        </is>
      </c>
      <c r="E13" s="2" t="inlineStr">
        <is>
          <t>0</t>
        </is>
      </c>
      <c r="F13" s="2" t="inlineStr">
        <is>
          <t>Capacité en L</t>
        </is>
      </c>
      <c r="G13" s="2" t="inlineStr">
        <is>
          <t>Structure + raccordement</t>
        </is>
      </c>
      <c r="H13" s="2" t="inlineStr">
        <is>
          <t>Stockage d’eau uniquement; ne crée pas d’eau</t>
        </is>
      </c>
      <c r="I13" s="2" t="inlineStr">
        <is>
          <t>P0</t>
        </is>
      </c>
    </row>
    <row r="14">
      <c r="A14" s="2" t="inlineStr">
        <is>
          <t>BuildingType</t>
        </is>
      </c>
      <c r="B14" s="2" t="inlineStr">
        <is>
          <t>generator</t>
        </is>
      </c>
      <c r="C14" s="2" t="inlineStr">
        <is>
          <t>Bâtiment</t>
        </is>
      </c>
      <c r="D14" s="2" t="inlineStr">
        <is>
          <t>niveau</t>
        </is>
      </c>
      <c r="E14" s="2" t="inlineStr">
        <is>
          <t>0</t>
        </is>
      </c>
      <c r="F14" s="2" t="inlineStr">
        <is>
          <t>Puissance kW</t>
        </is>
      </c>
      <c r="G14" s="2" t="inlineStr">
        <is>
          <t>Essence ou diesel compatible avec modèle</t>
        </is>
      </c>
      <c r="H14" s="2" t="inlineStr">
        <is>
          <t>Consomme carburant selon charge, produit de l’électricité</t>
        </is>
      </c>
      <c r="I14" s="2" t="inlineStr">
        <is>
          <t>P0</t>
        </is>
      </c>
    </row>
    <row r="15">
      <c r="A15" s="2" t="inlineStr">
        <is>
          <t>BuildingType</t>
        </is>
      </c>
      <c r="B15" s="2" t="inlineStr">
        <is>
          <t>dormitory</t>
        </is>
      </c>
      <c r="C15" s="2" t="inlineStr">
        <is>
          <t>Bâtiment</t>
        </is>
      </c>
      <c r="D15" s="2" t="inlineStr">
        <is>
          <t>niveau</t>
        </is>
      </c>
      <c r="E15" s="2" t="inlineStr">
        <is>
          <t>0</t>
        </is>
      </c>
      <c r="F15" s="2" t="inlineStr">
        <is>
          <t>Capacité de population</t>
        </is>
      </c>
      <c r="G15" s="2" t="inlineStr">
        <is>
          <t>Matériaux</t>
        </is>
      </c>
      <c r="H15" s="2" t="inlineStr">
        <is>
          <t>Augmente la capacité d’accueil, pas la population automatiquement</t>
        </is>
      </c>
      <c r="I15" s="2" t="inlineStr">
        <is>
          <t>P0</t>
        </is>
      </c>
    </row>
    <row r="16">
      <c r="A16" s="2" t="inlineStr">
        <is>
          <t>BuildingType</t>
        </is>
      </c>
      <c r="B16" s="2" t="inlineStr">
        <is>
          <t>mechanical_workshop</t>
        </is>
      </c>
      <c r="C16" s="2" t="inlineStr">
        <is>
          <t>Bâtiment</t>
        </is>
      </c>
      <c r="D16" s="2" t="inlineStr">
        <is>
          <t>niveau</t>
        </is>
      </c>
      <c r="E16" s="2" t="inlineStr">
        <is>
          <t>0</t>
        </is>
      </c>
      <c r="F16" s="2" t="inlineStr">
        <is>
          <t>Postes atelier</t>
        </is>
      </c>
      <c r="G16" s="2" t="inlineStr">
        <is>
          <t>Énergie/outillage selon niveau</t>
        </is>
      </c>
      <c r="H16" s="2" t="inlineStr">
        <is>
          <t>Répare les composants, avec temps et pièces</t>
        </is>
      </c>
      <c r="I16" s="2" t="inlineStr">
        <is>
          <t>P0</t>
        </is>
      </c>
    </row>
    <row r="17">
      <c r="A17" s="2" t="inlineStr">
        <is>
          <t>BuildingType</t>
        </is>
      </c>
      <c r="B17" s="2" t="inlineStr">
        <is>
          <t>vehicle_garage</t>
        </is>
      </c>
      <c r="C17" s="2" t="inlineStr">
        <is>
          <t>Bâtiment</t>
        </is>
      </c>
      <c r="D17" s="2" t="inlineStr">
        <is>
          <t>niveau</t>
        </is>
      </c>
      <c r="E17" s="2" t="inlineStr">
        <is>
          <t>0</t>
        </is>
      </c>
      <c r="F17" s="2" t="inlineStr">
        <is>
          <t>Emplacements véhicules</t>
        </is>
      </c>
      <c r="G17" s="2" t="inlineStr">
        <is>
          <t>Matériaux/métal</t>
        </is>
      </c>
      <c r="H17" s="2" t="inlineStr">
        <is>
          <t>Stocke les véhicules récupérés; ne les répare pas seul</t>
        </is>
      </c>
      <c r="I17" s="2" t="inlineStr">
        <is>
          <t>P0</t>
        </is>
      </c>
    </row>
    <row r="18">
      <c r="A18" s="2" t="inlineStr">
        <is>
          <t>BuildingType</t>
        </is>
      </c>
      <c r="B18" s="2" t="inlineStr">
        <is>
          <t>vehicle_assembly</t>
        </is>
      </c>
      <c r="C18" s="2" t="inlineStr">
        <is>
          <t>Bâtiment</t>
        </is>
      </c>
      <c r="D18" s="2" t="inlineStr">
        <is>
          <t>niveau</t>
        </is>
      </c>
      <c r="E18" s="2" t="inlineStr">
        <is>
          <t>0</t>
        </is>
      </c>
      <c r="F18" s="2" t="inlineStr">
        <is>
          <t>Postes assemblage</t>
        </is>
      </c>
      <c r="G18" s="2" t="inlineStr">
        <is>
          <t>Atelier avancé et plan</t>
        </is>
      </c>
      <c r="H18" s="2" t="inlineStr">
        <is>
          <t>Permet montage modulaire des véhicules</t>
        </is>
      </c>
      <c r="I18" s="2" t="inlineStr">
        <is>
          <t>P1</t>
        </is>
      </c>
    </row>
    <row r="19">
      <c r="A19" s="2" t="inlineStr">
        <is>
          <t>BuildingType</t>
        </is>
      </c>
      <c r="B19" s="2" t="inlineStr">
        <is>
          <t>refinery</t>
        </is>
      </c>
      <c r="C19" s="2" t="inlineStr">
        <is>
          <t>Bâtiment</t>
        </is>
      </c>
      <c r="D19" s="2" t="inlineStr">
        <is>
          <t>niveau</t>
        </is>
      </c>
      <c r="E19" s="2" t="inlineStr">
        <is>
          <t>0</t>
        </is>
      </c>
      <c r="F19" s="2" t="inlineStr">
        <is>
          <t>Débit de raffinage</t>
        </is>
      </c>
      <c r="G19" s="2" t="inlineStr">
        <is>
          <t>Pétrole brut + énergie</t>
        </is>
      </c>
      <c r="H19" s="2" t="inlineStr">
        <is>
          <t>Convertit le brut en produits avec pertes; ne crée pas de carburant</t>
        </is>
      </c>
      <c r="I19" s="2" t="inlineStr">
        <is>
          <t>P2</t>
        </is>
      </c>
    </row>
    <row r="20">
      <c r="A20" s="2" t="inlineStr">
        <is>
          <t>VehicleInstance</t>
        </is>
      </c>
      <c r="B20" s="2" t="inlineStr">
        <is>
          <t>vehicle_instance_id</t>
        </is>
      </c>
      <c r="C20" s="2" t="inlineStr">
        <is>
          <t>Entité</t>
        </is>
      </c>
      <c r="D20" s="2" t="inlineStr">
        <is>
          <t>identifiant</t>
        </is>
      </c>
      <c r="E20" s="2" t="inlineStr">
        <is>
          <t>—</t>
        </is>
      </c>
      <c r="F20" s="2" t="inlineStr">
        <is>
          <t>Modèle historique + variante</t>
        </is>
      </c>
      <c r="G20" s="2" t="inlineStr">
        <is>
          <t>Composants requis</t>
        </is>
      </c>
      <c r="H20" s="2" t="inlineStr">
        <is>
          <t>Chaque exemplaire a son état propre; ne pas confondre modèle et instance récupérée</t>
        </is>
      </c>
      <c r="I20" s="2" t="inlineStr">
        <is>
          <t>P0</t>
        </is>
      </c>
    </row>
    <row r="21">
      <c r="A21" s="2" t="inlineStr">
        <is>
          <t>VehicleModel</t>
        </is>
      </c>
      <c r="B21" s="2" t="inlineStr">
        <is>
          <t>vehicle_model_id</t>
        </is>
      </c>
      <c r="C21" s="2" t="inlineStr">
        <is>
          <t>Entité catalogue</t>
        </is>
      </c>
      <c r="D21" s="2" t="inlineStr">
        <is>
          <t>identifiant</t>
        </is>
      </c>
      <c r="E21" s="2" t="inlineStr">
        <is>
          <t>—</t>
        </is>
      </c>
      <c r="F21" s="2" t="inlineStr">
        <is>
          <t>Modèle + variante</t>
        </is>
      </c>
      <c r="G21" s="2" t="inlineStr">
        <is>
          <t>Source / niveau de preuve</t>
        </is>
      </c>
      <c r="H21" s="2" t="inlineStr">
        <is>
          <t>Données historiques séparées des paramètres d’équilibrage</t>
        </is>
      </c>
      <c r="I21" s="2" t="inlineStr">
        <is>
          <t>P0</t>
        </is>
      </c>
    </row>
    <row r="22">
      <c r="A22" s="2" t="inlineStr">
        <is>
          <t>VehicleComponentInstance</t>
        </is>
      </c>
      <c r="B22" s="2" t="inlineStr">
        <is>
          <t>component_instance_id</t>
        </is>
      </c>
      <c r="C22" s="2" t="inlineStr">
        <is>
          <t>Entité</t>
        </is>
      </c>
      <c r="D22" s="2" t="inlineStr">
        <is>
          <t>identifiant</t>
        </is>
      </c>
      <c r="E22" s="2" t="inlineStr">
        <is>
          <t>—</t>
        </is>
      </c>
      <c r="F22" s="2" t="inlineStr">
        <is>
          <t>Famille de composant</t>
        </is>
      </c>
      <c r="G22" s="2" t="inlineStr">
        <is>
          <t>Véhicule ou stock pièces</t>
        </is>
      </c>
      <c r="H22" s="2" t="inlineStr">
        <is>
          <t>Chaque pièce est présente, absente, endommagée ou démontée</t>
        </is>
      </c>
      <c r="I22" s="2" t="inlineStr">
        <is>
          <t>P0</t>
        </is>
      </c>
    </row>
    <row r="23">
      <c r="A23" s="2" t="inlineStr">
        <is>
          <t>Expedition</t>
        </is>
      </c>
      <c r="B23" s="2" t="inlineStr">
        <is>
          <t>expedition_id</t>
        </is>
      </c>
      <c r="C23" s="2" t="inlineStr">
        <is>
          <t>Entité</t>
        </is>
      </c>
      <c r="D23" s="2" t="inlineStr">
        <is>
          <t>identifiant</t>
        </is>
      </c>
      <c r="E23" s="2" t="inlineStr">
        <is>
          <t>—</t>
        </is>
      </c>
      <c r="F23" s="2" t="inlineStr">
        <is>
          <t>Véhicule + destination + durée</t>
        </is>
      </c>
      <c r="G23" s="2" t="inlineStr">
        <is>
          <t>Autonomie + équipage</t>
        </is>
      </c>
      <c r="H23" s="2" t="inlineStr">
        <is>
          <t>Coûts avant départ; retour, pertes et butin journalisés</t>
        </is>
      </c>
      <c r="I23" s="2" t="inlineStr">
        <is>
          <t>P0</t>
        </is>
      </c>
    </row>
    <row r="24">
      <c r="A24" s="2" t="inlineStr">
        <is>
          <t>Faction</t>
        </is>
      </c>
      <c r="B24" s="2" t="inlineStr">
        <is>
          <t>faction_id</t>
        </is>
      </c>
      <c r="C24" s="2" t="inlineStr">
        <is>
          <t>Entité</t>
        </is>
      </c>
      <c r="D24" s="2" t="inlineStr">
        <is>
          <t>identifiant</t>
        </is>
      </c>
      <c r="E24" s="2" t="inlineStr">
        <is>
          <t>—</t>
        </is>
      </c>
      <c r="F24" s="2" t="inlineStr">
        <is>
          <t>Territoire et relations</t>
        </is>
      </c>
      <c r="G24" s="2" t="inlineStr">
        <is>
          <t>Offre/demande de marchandises</t>
        </is>
      </c>
      <c r="H24" s="2" t="inlineStr">
        <is>
          <t>Échanges en marchandises, pas de monnaie universelle</t>
        </is>
      </c>
      <c r="I24" s="2" t="inlineStr">
        <is>
          <t>P1</t>
        </is>
      </c>
    </row>
    <row r="25">
      <c r="A25" s="2" t="inlineStr">
        <is>
          <t>Incident</t>
        </is>
      </c>
      <c r="B25" s="2" t="inlineStr">
        <is>
          <t>incident_id</t>
        </is>
      </c>
      <c r="C25" s="2" t="inlineStr">
        <is>
          <t>Entité</t>
        </is>
      </c>
      <c r="D25" s="2" t="inlineStr">
        <is>
          <t>identifiant</t>
        </is>
      </c>
      <c r="E25" s="2" t="inlineStr">
        <is>
          <t>—</t>
        </is>
      </c>
      <c r="F25" s="2" t="inlineStr">
        <is>
          <t>Date, contexte, gravité</t>
        </is>
      </c>
      <c r="G25" s="2" t="inlineStr">
        <is>
          <t>Décision joueur ou règle automatique</t>
        </is>
      </c>
      <c r="H25" s="2" t="inlineStr">
        <is>
          <t>Journal d’événements; aucune perte cachée</t>
        </is>
      </c>
      <c r="I25" s="2" t="inlineStr">
        <is>
          <t>P0</t>
        </is>
      </c>
    </row>
    <row r="26">
      <c r="A26" s="2" t="inlineStr">
        <is>
          <t>BuildingInstance</t>
        </is>
      </c>
      <c r="B26" s="2" t="inlineStr">
        <is>
          <t>building_instance_id</t>
        </is>
      </c>
      <c r="C26" s="2" t="inlineStr">
        <is>
          <t>Entité</t>
        </is>
      </c>
      <c r="D26" s="2" t="inlineStr">
        <is>
          <t>identifiant</t>
        </is>
      </c>
      <c r="E26" s="2" t="inlineStr">
        <is>
          <t>—</t>
        </is>
      </c>
      <c r="F26" s="2" t="inlineStr">
        <is>
          <t>Type + niveau + emplacement</t>
        </is>
      </c>
      <c r="G26" s="2" t="inlineStr">
        <is>
          <t>Ressources et prérequis</t>
        </is>
      </c>
      <c r="H26" s="2" t="inlineStr">
        <is>
          <t>État actif, panne, capacité et production dérivés des données</t>
        </is>
      </c>
      <c r="I26" s="2" t="inlineStr">
        <is>
          <t>P0</t>
        </is>
      </c>
    </row>
  </sheetData>
  <autoFilter ref="A1:I26"/>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22" customWidth="1" min="3" max="3"/>
    <col width="14" customWidth="1" min="4" max="4"/>
    <col width="42" customWidth="1" min="5" max="5"/>
    <col width="68" customWidth="1" min="6" max="6"/>
  </cols>
  <sheetData>
    <row r="1" ht="36" customHeight="1">
      <c r="A1" s="25" t="inlineStr">
        <is>
          <t>Entité</t>
        </is>
      </c>
      <c r="B1" s="25" t="inlineStr">
        <is>
          <t>Champ</t>
        </is>
      </c>
      <c r="C1" s="25" t="inlineStr">
        <is>
          <t>Type</t>
        </is>
      </c>
      <c r="D1" s="25" t="inlineStr">
        <is>
          <t>Obligatoire</t>
        </is>
      </c>
      <c r="E1" s="25" t="inlineStr">
        <is>
          <t>Exemple / domaine</t>
        </is>
      </c>
      <c r="F1" s="25" t="inlineStr">
        <is>
          <t>Validation</t>
        </is>
      </c>
    </row>
    <row r="2">
      <c r="A2" s="2" t="inlineStr">
        <is>
          <t>Entité</t>
        </is>
      </c>
      <c r="B2" s="2" t="inlineStr">
        <is>
          <t>Champ</t>
        </is>
      </c>
      <c r="C2" s="2" t="inlineStr">
        <is>
          <t>Type</t>
        </is>
      </c>
      <c r="D2" s="2" t="inlineStr">
        <is>
          <t>Obligatoire</t>
        </is>
      </c>
      <c r="E2" s="2" t="inlineStr">
        <is>
          <t>Exemple / domaine</t>
        </is>
      </c>
      <c r="F2" s="2" t="inlineStr">
        <is>
          <t>Règle de validation</t>
        </is>
      </c>
    </row>
    <row r="3">
      <c r="A3" s="2" t="inlineStr">
        <is>
          <t>ResourceStock</t>
        </is>
      </c>
      <c r="B3" s="2" t="inlineStr">
        <is>
          <t>resource_type_id</t>
        </is>
      </c>
      <c r="C3" s="2" t="inlineStr">
        <is>
          <t>string</t>
        </is>
      </c>
      <c r="D3" s="2" t="inlineStr">
        <is>
          <t>Oui</t>
        </is>
      </c>
      <c r="E3" s="2" t="inlineStr">
        <is>
          <t>water / food / fuel_gasoline / fuel_diesel</t>
        </is>
      </c>
      <c r="F3" s="2" t="inlineStr">
        <is>
          <t>Doit référencer un type connu</t>
        </is>
      </c>
    </row>
    <row r="4">
      <c r="A4" s="2" t="inlineStr">
        <is>
          <t>ResourceStock</t>
        </is>
      </c>
      <c r="B4" s="2" t="inlineStr">
        <is>
          <t>quantity</t>
        </is>
      </c>
      <c r="C4" s="2" t="inlineStr">
        <is>
          <t>number</t>
        </is>
      </c>
      <c r="D4" s="2" t="inlineStr">
        <is>
          <t>Oui</t>
        </is>
      </c>
      <c r="E4" s="2" t="inlineStr">
        <is>
          <t>1200</t>
        </is>
      </c>
      <c r="F4" s="2" t="inlineStr">
        <is>
          <t>0 ≤ quantity ≤ capacity; pas de NaN</t>
        </is>
      </c>
    </row>
    <row r="5">
      <c r="A5" s="2" t="inlineStr">
        <is>
          <t>ResourceStock</t>
        </is>
      </c>
      <c r="B5" s="2" t="inlineStr">
        <is>
          <t>capacity</t>
        </is>
      </c>
      <c r="C5" s="2" t="inlineStr">
        <is>
          <t>number</t>
        </is>
      </c>
      <c r="D5" s="2" t="inlineStr">
        <is>
          <t>Oui</t>
        </is>
      </c>
      <c r="E5" s="2" t="inlineStr">
        <is>
          <t>2000</t>
        </is>
      </c>
      <c r="F5" s="2" t="inlineStr">
        <is>
          <t>capacity ≥ 0; quantity ne peut pas dépasser capacity</t>
        </is>
      </c>
    </row>
    <row r="6">
      <c r="A6" s="2" t="inlineStr">
        <is>
          <t>ResourceStock</t>
        </is>
      </c>
      <c r="B6" s="2" t="inlineStr">
        <is>
          <t>production_per_day</t>
        </is>
      </c>
      <c r="C6" s="2" t="inlineStr">
        <is>
          <t>number</t>
        </is>
      </c>
      <c r="D6" s="2" t="inlineStr">
        <is>
          <t>Oui</t>
        </is>
      </c>
      <c r="E6" s="2" t="inlineStr">
        <is>
          <t>260</t>
        </is>
      </c>
      <c r="F6" s="2" t="inlineStr">
        <is>
          <t>Valeur nette ou préciser production brute; ne jamais mélanger les deux</t>
        </is>
      </c>
    </row>
    <row r="7">
      <c r="A7" s="2" t="inlineStr">
        <is>
          <t>ResourceStock</t>
        </is>
      </c>
      <c r="B7" s="2" t="inlineStr">
        <is>
          <t>consumption_per_day</t>
        </is>
      </c>
      <c r="C7" s="2" t="inlineStr">
        <is>
          <t>number</t>
        </is>
      </c>
      <c r="D7" s="2" t="inlineStr">
        <is>
          <t>Oui</t>
        </is>
      </c>
      <c r="E7" s="2" t="inlineStr">
        <is>
          <t>210</t>
        </is>
      </c>
      <c r="F7" s="2" t="inlineStr">
        <is>
          <t>Valeur positive; afficher les consommateurs majeurs</t>
        </is>
      </c>
    </row>
    <row r="8">
      <c r="A8" s="2" t="inlineStr">
        <is>
          <t>VehicleModel</t>
        </is>
      </c>
      <c r="B8" s="2" t="inlineStr">
        <is>
          <t>model_id</t>
        </is>
      </c>
      <c r="C8" s="2" t="inlineStr">
        <is>
          <t>string</t>
        </is>
      </c>
      <c r="D8" s="2" t="inlineStr">
        <is>
          <t>Oui</t>
        </is>
      </c>
      <c r="E8" s="2" t="inlineStr">
        <is>
          <t>VEH-012</t>
        </is>
      </c>
      <c r="F8" s="2" t="inlineStr">
        <is>
          <t>Stable et unique; ne pas dépendre du nom affiché</t>
        </is>
      </c>
    </row>
    <row r="9">
      <c r="A9" s="2" t="inlineStr">
        <is>
          <t>VehicleModel</t>
        </is>
      </c>
      <c r="B9" s="2" t="inlineStr">
        <is>
          <t>variant_id</t>
        </is>
      </c>
      <c r="C9" s="2" t="inlineStr">
        <is>
          <t>string</t>
        </is>
      </c>
      <c r="D9" s="2" t="inlineStr">
        <is>
          <t>Oui</t>
        </is>
      </c>
      <c r="E9" s="2" t="inlineStr">
        <is>
          <t>WILLYS_MB_1942</t>
        </is>
      </c>
      <c r="F9" s="2" t="inlineStr">
        <is>
          <t>Distinct si carburant, moteur, armes, gabarit ou pièces changent</t>
        </is>
      </c>
    </row>
    <row r="10">
      <c r="A10" s="2" t="inlineStr">
        <is>
          <t>VehicleModel</t>
        </is>
      </c>
      <c r="B10" s="2" t="inlineStr">
        <is>
          <t>historical_data</t>
        </is>
      </c>
      <c r="C10" s="2" t="inlineStr">
        <is>
          <t>object</t>
        </is>
      </c>
      <c r="D10" s="2" t="inlineStr">
        <is>
          <t>Oui</t>
        </is>
      </c>
      <c r="E10" s="2" t="inlineStr">
        <is>
          <t>dimensions, engine, armor, source refs</t>
        </is>
      </c>
      <c r="F10" s="2" t="inlineStr">
        <is>
          <t>Chaque champ peut être inconnu; inclure source et confiance</t>
        </is>
      </c>
    </row>
    <row r="11">
      <c r="A11" s="2" t="inlineStr">
        <is>
          <t>VehicleModel</t>
        </is>
      </c>
      <c r="B11" s="2" t="inlineStr">
        <is>
          <t>gameplay_stats</t>
        </is>
      </c>
      <c r="C11" s="2" t="inlineStr">
        <is>
          <t>object</t>
        </is>
      </c>
      <c r="D11" s="2" t="inlineStr">
        <is>
          <t>Oui</t>
        </is>
      </c>
      <c r="E11" s="2" t="inlineStr">
        <is>
          <t>cost, handling, durability, fuel use</t>
        </is>
      </c>
      <c r="F11" s="2" t="inlineStr">
        <is>
          <t>Ne pas écraser la donnée historique par l’équilibrage</t>
        </is>
      </c>
    </row>
    <row r="12">
      <c r="A12" s="2" t="inlineStr">
        <is>
          <t>VehicleInstance</t>
        </is>
      </c>
      <c r="B12" s="2" t="inlineStr">
        <is>
          <t>instance_id</t>
        </is>
      </c>
      <c r="C12" s="2" t="inlineStr">
        <is>
          <t>string</t>
        </is>
      </c>
      <c r="D12" s="2" t="inlineStr">
        <is>
          <t>Oui</t>
        </is>
      </c>
      <c r="E12" s="2" t="inlineStr">
        <is>
          <t>VH-0001</t>
        </is>
      </c>
      <c r="F12" s="2" t="inlineStr">
        <is>
          <t>Unique pour chaque exemplaire récupéré/construit</t>
        </is>
      </c>
    </row>
    <row r="13">
      <c r="A13" s="2" t="inlineStr">
        <is>
          <t>VehicleInstance</t>
        </is>
      </c>
      <c r="B13" s="2" t="inlineStr">
        <is>
          <t>model_id / variant_id</t>
        </is>
      </c>
      <c r="C13" s="2" t="inlineStr">
        <is>
          <t>string</t>
        </is>
      </c>
      <c r="D13" s="2" t="inlineStr">
        <is>
          <t>Oui</t>
        </is>
      </c>
      <c r="E13" s="2" t="inlineStr">
        <is>
          <t>VEH-012 / WILLYS_MB_1942</t>
        </is>
      </c>
      <c r="F13" s="2" t="inlineStr">
        <is>
          <t>Références vers modèle existant</t>
        </is>
      </c>
    </row>
    <row r="14">
      <c r="A14" s="2" t="inlineStr">
        <is>
          <t>VehicleInstance</t>
        </is>
      </c>
      <c r="B14" s="2" t="inlineStr">
        <is>
          <t>condition</t>
        </is>
      </c>
      <c r="C14" s="2" t="inlineStr">
        <is>
          <t>enum</t>
        </is>
      </c>
      <c r="D14" s="2" t="inlineStr">
        <is>
          <t>Oui</t>
        </is>
      </c>
      <c r="E14" s="2" t="inlineStr">
        <is>
          <t>intact / damaged / immobilized / wreck</t>
        </is>
      </c>
      <c r="F14" s="2" t="inlineStr">
        <is>
          <t>État global et états composants cohérents</t>
        </is>
      </c>
    </row>
    <row r="15">
      <c r="A15" s="2" t="inlineStr">
        <is>
          <t>VehicleInstance</t>
        </is>
      </c>
      <c r="B15" s="2" t="inlineStr">
        <is>
          <t>fuel_type / fuel_quantity</t>
        </is>
      </c>
      <c r="C15" s="2" t="inlineStr">
        <is>
          <t>enum + number</t>
        </is>
      </c>
      <c r="D15" s="2" t="inlineStr">
        <is>
          <t>Oui</t>
        </is>
      </c>
      <c r="E15" s="2" t="inlineStr">
        <is>
          <t>gasoline / 18</t>
        </is>
      </c>
      <c r="F15" s="2" t="inlineStr">
        <is>
          <t>Quantité bornée par capacité; carburant compatible</t>
        </is>
      </c>
    </row>
    <row r="16">
      <c r="A16" s="2" t="inlineStr">
        <is>
          <t>VehicleInstance</t>
        </is>
      </c>
      <c r="B16" s="2" t="inlineStr">
        <is>
          <t>components</t>
        </is>
      </c>
      <c r="C16" s="2" t="inlineStr">
        <is>
          <t>array</t>
        </is>
      </c>
      <c r="D16" s="2" t="inlineStr">
        <is>
          <t>Oui</t>
        </is>
      </c>
      <c r="E16" s="2" t="inlineStr">
        <is>
          <t>engine present, radiator damaged</t>
        </is>
      </c>
      <c r="F16" s="2" t="inlineStr">
        <is>
          <t>Aucun composant critique ne doit être recréé au retour</t>
        </is>
      </c>
    </row>
    <row r="17">
      <c r="A17" s="2" t="inlineStr">
        <is>
          <t>BuildingInstance</t>
        </is>
      </c>
      <c r="B17" s="2" t="inlineStr">
        <is>
          <t>building_id</t>
        </is>
      </c>
      <c r="C17" s="2" t="inlineStr">
        <is>
          <t>string</t>
        </is>
      </c>
      <c r="D17" s="2" t="inlineStr">
        <is>
          <t>Oui</t>
        </is>
      </c>
      <c r="E17" s="2" t="inlineStr">
        <is>
          <t>BLD-0001</t>
        </is>
      </c>
      <c r="F17" s="2" t="inlineStr">
        <is>
          <t>Unique</t>
        </is>
      </c>
    </row>
    <row r="18">
      <c r="A18" s="2" t="inlineStr">
        <is>
          <t>BuildingInstance</t>
        </is>
      </c>
      <c r="B18" s="2" t="inlineStr">
        <is>
          <t>building_type_id</t>
        </is>
      </c>
      <c r="C18" s="2" t="inlineStr">
        <is>
          <t>string</t>
        </is>
      </c>
      <c r="D18" s="2" t="inlineStr">
        <is>
          <t>Oui</t>
        </is>
      </c>
      <c r="E18" s="2" t="inlineStr">
        <is>
          <t>water_well</t>
        </is>
      </c>
      <c r="F18" s="2" t="inlineStr">
        <is>
          <t>Type existant</t>
        </is>
      </c>
    </row>
    <row r="19">
      <c r="A19" s="2" t="inlineStr">
        <is>
          <t>BuildingInstance</t>
        </is>
      </c>
      <c r="B19" s="2" t="inlineStr">
        <is>
          <t>level / state</t>
        </is>
      </c>
      <c r="C19" s="2" t="inlineStr">
        <is>
          <t>integer + enum</t>
        </is>
      </c>
      <c r="D19" s="2" t="inlineStr">
        <is>
          <t>Oui</t>
        </is>
      </c>
      <c r="E19" s="2" t="inlineStr">
        <is>
          <t>1 / active</t>
        </is>
      </c>
      <c r="F19" s="2" t="inlineStr">
        <is>
          <t>Niveau dans la plage autorisée; state active/broken/inactive</t>
        </is>
      </c>
    </row>
    <row r="20">
      <c r="A20" s="2" t="inlineStr">
        <is>
          <t>Expedition</t>
        </is>
      </c>
      <c r="B20" s="2" t="inlineStr">
        <is>
          <t>state</t>
        </is>
      </c>
      <c r="C20" s="2" t="inlineStr">
        <is>
          <t>enum</t>
        </is>
      </c>
      <c r="D20" s="2" t="inlineStr">
        <is>
          <t>Oui</t>
        </is>
      </c>
      <c r="E20" s="2" t="inlineStr">
        <is>
          <t>preparing / active / return_pending / complete</t>
        </is>
      </c>
      <c r="F20" s="2" t="inlineStr">
        <is>
          <t>Transitions validées; aucune téléportation de cargo</t>
        </is>
      </c>
    </row>
    <row r="21">
      <c r="A21" s="2" t="inlineStr">
        <is>
          <t>Expedition</t>
        </is>
      </c>
      <c r="B21" s="2" t="inlineStr">
        <is>
          <t>manifest</t>
        </is>
      </c>
      <c r="C21" s="2" t="inlineStr">
        <is>
          <t>array</t>
        </is>
      </c>
      <c r="D21" s="2" t="inlineStr">
        <is>
          <t>Oui</t>
        </is>
      </c>
      <c r="E21" s="2" t="inlineStr">
        <is>
          <t>water, food, fuel, parts</t>
        </is>
      </c>
      <c r="F21" s="2" t="inlineStr">
        <is>
          <t>Le chargement ne peut excéder capacité de fret</t>
        </is>
      </c>
    </row>
    <row r="22">
      <c r="A22" s="2" t="inlineStr">
        <is>
          <t>Expedition</t>
        </is>
      </c>
      <c r="B22" s="2" t="inlineStr">
        <is>
          <t>event_log</t>
        </is>
      </c>
      <c r="C22" s="2" t="inlineStr">
        <is>
          <t>array</t>
        </is>
      </c>
      <c r="D22" s="2" t="inlineStr">
        <is>
          <t>Oui</t>
        </is>
      </c>
      <c r="E22" s="2" t="inlineStr">
        <is>
          <t>departure, encounter, damage, loot, return</t>
        </is>
      </c>
      <c r="F22" s="2" t="inlineStr">
        <is>
          <t>Événements ordonnés et idempotents</t>
        </is>
      </c>
    </row>
    <row r="23">
      <c r="A23" s="2" t="inlineStr">
        <is>
          <t>Incident</t>
        </is>
      </c>
      <c r="B23" s="2" t="inlineStr">
        <is>
          <t>resolution_state</t>
        </is>
      </c>
      <c r="C23" s="2" t="inlineStr">
        <is>
          <t>enum</t>
        </is>
      </c>
      <c r="D23" s="2" t="inlineStr">
        <is>
          <t>Oui</t>
        </is>
      </c>
      <c r="E23" s="2" t="inlineStr">
        <is>
          <t>pending / resolved / expired</t>
        </is>
      </c>
      <c r="F23" s="2" t="inlineStr">
        <is>
          <t>Une résolution n’est appliquée qu’une fois</t>
        </is>
      </c>
    </row>
    <row r="24">
      <c r="A24" s="2" t="inlineStr">
        <is>
          <t>SaveGame</t>
        </is>
      </c>
      <c r="B24" s="2" t="inlineStr">
        <is>
          <t>schema_version</t>
        </is>
      </c>
      <c r="C24" s="2" t="inlineStr">
        <is>
          <t>string</t>
        </is>
      </c>
      <c r="D24" s="2" t="inlineStr">
        <is>
          <t>Oui</t>
        </is>
      </c>
      <c r="E24" s="2" t="inlineStr">
        <is>
          <t>1.0.0</t>
        </is>
      </c>
      <c r="F24" s="2" t="inlineStr">
        <is>
          <t>Migrations versionnées; préserver sauvegardes après mise à jour</t>
        </is>
      </c>
    </row>
    <row r="25">
      <c r="A25" s="2" t="inlineStr">
        <is>
          <t>SaveGame</t>
        </is>
      </c>
      <c r="B25" s="2" t="inlineStr">
        <is>
          <t>simulation_timestamp</t>
        </is>
      </c>
      <c r="C25" s="2" t="inlineStr">
        <is>
          <t>datetime</t>
        </is>
      </c>
      <c r="D25" s="2" t="inlineStr">
        <is>
          <t>Oui</t>
        </is>
      </c>
      <c r="E25" s="2" t="inlineStr">
        <is>
          <t>UTC timestamp</t>
        </is>
      </c>
      <c r="F25" s="2" t="inlineStr">
        <is>
          <t>Hors ligne plafonné; journaliser le temps réellement simulé</t>
        </is>
      </c>
    </row>
  </sheetData>
  <autoFilter ref="A1:F25"/>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4" customWidth="1" min="1" max="1"/>
    <col width="90" customWidth="1" min="2" max="2"/>
    <col width="80" customWidth="1" min="3" max="3"/>
  </cols>
  <sheetData>
    <row r="1" ht="36" customHeight="1">
      <c r="A1" s="25" t="inlineStr">
        <is>
          <t>Objet</t>
        </is>
      </c>
      <c r="B1" s="25" t="inlineStr">
        <is>
          <t>Champs essentiels</t>
        </is>
      </c>
      <c r="C1" s="25" t="inlineStr">
        <is>
          <t>Règle de persistance</t>
        </is>
      </c>
    </row>
    <row r="2">
      <c r="A2" s="2" t="inlineStr">
        <is>
          <t>ResourceStock</t>
        </is>
      </c>
      <c r="B2" s="2" t="inlineStr">
        <is>
          <t>resource_type_id, quantity, capacity, production_per_day, consumption_per_day, last_updated_at</t>
        </is>
      </c>
      <c r="C2" s="2" t="inlineStr">
        <is>
          <t>Pas de valeurs négatives; quantité plafonnée à la capacité</t>
        </is>
      </c>
    </row>
    <row r="3">
      <c r="A3" s="2" t="inlineStr">
        <is>
          <t>BuildingInstance</t>
        </is>
      </c>
      <c r="B3" s="2" t="inlineStr">
        <is>
          <t>building_instance_id, building_type_id, level, state, location_id, condition, assigned_population, last_simulated_at</t>
        </is>
      </c>
      <c r="C3" s="2" t="inlineStr">
        <is>
          <t>Production recalculée à partir du niveau et de l’état</t>
        </is>
      </c>
    </row>
    <row r="4">
      <c r="A4" s="2" t="inlineStr">
        <is>
          <t>VehicleModel</t>
        </is>
      </c>
      <c r="B4" s="2" t="inlineStr">
        <is>
          <t>vehicle_model_id, variant_id, historical_specs, historical_sources, confidence, gameplay_stats, compatibility_profile_id</t>
        </is>
      </c>
      <c r="C4" s="2" t="inlineStr">
        <is>
          <t>Données historiques immuables dans une version publiée; balance séparée</t>
        </is>
      </c>
    </row>
    <row r="5">
      <c r="A5" s="2" t="inlineStr">
        <is>
          <t>VehicleInstance</t>
        </is>
      </c>
      <c r="B5" s="2" t="inlineStr">
        <is>
          <t>vehicle_instance_id, vehicle_model_id, variant_id, condition, fuel_type, fuel_quantity, components[], cargo[], location_id, owner_id</t>
        </is>
      </c>
      <c r="C5" s="2" t="inlineStr">
        <is>
          <t>Chaque exemplaire a son état; pièces absentes restent absentes</t>
        </is>
      </c>
    </row>
    <row r="6">
      <c r="A6" s="2" t="inlineStr">
        <is>
          <t>VehicleComponentInstance</t>
        </is>
      </c>
      <c r="B6" s="2" t="inlineStr">
        <is>
          <t>component_instance_id, component_type_id, condition, location_id, installed_on_vehicle_id, salvageable, origin_event_id</t>
        </is>
      </c>
      <c r="C6" s="2" t="inlineStr">
        <is>
          <t>Unicité des pièces récupérées; une pièce ne peut être simultanément installée et en stock</t>
        </is>
      </c>
    </row>
    <row r="7">
      <c r="A7" s="2" t="inlineStr">
        <is>
          <t>Expedition</t>
        </is>
      </c>
      <c r="B7" s="2" t="inlineStr">
        <is>
          <t>expedition_id, state, vehicle_instance_id, crew[], destination_id, manifest[], risk_profile, event_log[], departure_at, expected_return_at</t>
        </is>
      </c>
      <c r="C7" s="2" t="inlineStr">
        <is>
          <t>Une expédition ne peut partir si autonomie ou équipage sont invalides</t>
        </is>
      </c>
    </row>
    <row r="8">
      <c r="A8" s="2" t="inlineStr">
        <is>
          <t>Faction</t>
        </is>
      </c>
      <c r="B8" s="2" t="inlineStr">
        <is>
          <t>faction_id, name_key, specialties[], relationship_score, territory_id, stock[], trade_rules</t>
        </is>
      </c>
      <c r="C8" s="2" t="inlineStr">
        <is>
          <t>Le stock de faction est déduit seulement à la confirmation du troc</t>
        </is>
      </c>
    </row>
    <row r="9">
      <c r="A9" s="2" t="inlineStr">
        <is>
          <t>Incident</t>
        </is>
      </c>
      <c r="B9" s="2" t="inlineStr">
        <is>
          <t>incident_id, type_id, severity, created_at, status, decision_options[], resolution_id</t>
        </is>
      </c>
      <c r="C9" s="2" t="inlineStr">
        <is>
          <t>Résolution idempotente; événement daté</t>
        </is>
      </c>
    </row>
    <row r="10">
      <c r="A10" s="2" t="inlineStr">
        <is>
          <t>SaveGame</t>
        </is>
      </c>
      <c r="B10" s="2" t="inlineStr">
        <is>
          <t>schema_version, content_version, simulation_timestamp, resources[], buildings[], vehicles[], expeditions[], factions[], incidents[]</t>
        </is>
      </c>
      <c r="C10" s="2" t="inlineStr">
        <is>
          <t>Migrations atomiques; sauvegarde de secours avant changement de schéma</t>
        </is>
      </c>
    </row>
  </sheetData>
  <autoFilter ref="A1:C10"/>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6" customWidth="1" min="3" max="3"/>
    <col width="34" customWidth="1" min="4" max="4"/>
    <col width="80" customWidth="1" min="5" max="5"/>
  </cols>
  <sheetData>
    <row r="1" ht="36" customHeight="1">
      <c r="A1" s="25" t="inlineStr">
        <is>
          <t>Entité</t>
        </is>
      </c>
      <c r="B1" s="25" t="inlineStr">
        <is>
          <t>État initial</t>
        </is>
      </c>
      <c r="C1" s="25" t="inlineStr">
        <is>
          <t>Événement</t>
        </is>
      </c>
      <c r="D1" s="25" t="inlineStr">
        <is>
          <t>État cible</t>
        </is>
      </c>
      <c r="E1" s="25" t="inlineStr">
        <is>
          <t>Garde / règle</t>
        </is>
      </c>
    </row>
    <row r="2">
      <c r="A2" s="2" t="inlineStr">
        <is>
          <t>Expedition</t>
        </is>
      </c>
      <c r="B2" s="2" t="inlineStr">
        <is>
          <t>preparing</t>
        </is>
      </c>
      <c r="C2" s="2" t="inlineStr">
        <is>
          <t>depart</t>
        </is>
      </c>
      <c r="D2" s="2" t="inlineStr">
        <is>
          <t>active</t>
        </is>
      </c>
      <c r="E2" s="2" t="inlineStr">
        <is>
          <t>Véhicule valide, équipage affecté, manifeste et autonomie vérifiés</t>
        </is>
      </c>
    </row>
    <row r="3">
      <c r="A3" s="2" t="inlineStr">
        <is>
          <t>Expedition</t>
        </is>
      </c>
      <c r="B3" s="2" t="inlineStr">
        <is>
          <t>preparing</t>
        </is>
      </c>
      <c r="C3" s="2" t="inlineStr">
        <is>
          <t>cancel</t>
        </is>
      </c>
      <c r="D3" s="2" t="inlineStr">
        <is>
          <t>cancelled</t>
        </is>
      </c>
      <c r="E3" s="2" t="inlineStr">
        <is>
          <t>Aucun coût de départ n’est appliqué si le départ n’a pas eu lieu</t>
        </is>
      </c>
    </row>
    <row r="4">
      <c r="A4" s="2" t="inlineStr">
        <is>
          <t>Expedition</t>
        </is>
      </c>
      <c r="B4" s="2" t="inlineStr">
        <is>
          <t>active</t>
        </is>
      </c>
      <c r="C4" s="2" t="inlineStr">
        <is>
          <t>encounter</t>
        </is>
      </c>
      <c r="D4" s="2" t="inlineStr">
        <is>
          <t>encounter_pending</t>
        </is>
      </c>
      <c r="E4" s="2" t="inlineStr">
        <is>
          <t>Événement d’expédition journalisé une fois</t>
        </is>
      </c>
    </row>
    <row r="5">
      <c r="A5" s="2" t="inlineStr">
        <is>
          <t>Expedition</t>
        </is>
      </c>
      <c r="B5" s="2" t="inlineStr">
        <is>
          <t>active</t>
        </is>
      </c>
      <c r="C5" s="2" t="inlineStr">
        <is>
          <t>return_started</t>
        </is>
      </c>
      <c r="D5" s="2" t="inlineStr">
        <is>
          <t>returning</t>
        </is>
      </c>
      <c r="E5" s="2" t="inlineStr">
        <is>
          <t>Retour avec cargaison, dommages et temps restants</t>
        </is>
      </c>
    </row>
    <row r="6">
      <c r="A6" s="2" t="inlineStr">
        <is>
          <t>Expedition</t>
        </is>
      </c>
      <c r="B6" s="2" t="inlineStr">
        <is>
          <t>encounter_pending</t>
        </is>
      </c>
      <c r="C6" s="2" t="inlineStr">
        <is>
          <t>engage</t>
        </is>
      </c>
      <c r="D6" s="2" t="inlineStr">
        <is>
          <t>combat</t>
        </is>
      </c>
      <c r="E6" s="2" t="inlineStr">
        <is>
          <t>Munitions et état du véhicule contrôlés</t>
        </is>
      </c>
    </row>
    <row r="7">
      <c r="A7" s="2" t="inlineStr">
        <is>
          <t>Expedition</t>
        </is>
      </c>
      <c r="B7" s="2" t="inlineStr">
        <is>
          <t>encounter_pending</t>
        </is>
      </c>
      <c r="C7" s="2" t="inlineStr">
        <is>
          <t>retreat</t>
        </is>
      </c>
      <c r="D7" s="2" t="inlineStr">
        <is>
          <t>retreating</t>
        </is>
      </c>
      <c r="E7" s="2" t="inlineStr">
        <is>
          <t>Perte éventuelle de temps/butin, jamais perte arbitraire sans journal</t>
        </is>
      </c>
    </row>
    <row r="8">
      <c r="A8" s="2" t="inlineStr">
        <is>
          <t>Expedition</t>
        </is>
      </c>
      <c r="B8" s="2" t="inlineStr">
        <is>
          <t>combat</t>
        </is>
      </c>
      <c r="C8" s="2" t="inlineStr">
        <is>
          <t>victory</t>
        </is>
      </c>
      <c r="D8" s="2" t="inlineStr">
        <is>
          <t>returning</t>
        </is>
      </c>
      <c r="E8" s="2" t="inlineStr">
        <is>
          <t>Butin et pertes enregistrés sans duplication</t>
        </is>
      </c>
    </row>
    <row r="9">
      <c r="A9" s="2" t="inlineStr">
        <is>
          <t>Expedition</t>
        </is>
      </c>
      <c r="B9" s="2" t="inlineStr">
        <is>
          <t>combat</t>
        </is>
      </c>
      <c r="C9" s="2" t="inlineStr">
        <is>
          <t>defeat</t>
        </is>
      </c>
      <c r="D9" s="2" t="inlineStr">
        <is>
          <t>retreating / disabled / captured</t>
        </is>
      </c>
      <c r="E9" s="2" t="inlineStr">
        <is>
          <t>Résultat dépendant du contexte et du rapport de combat</t>
        </is>
      </c>
    </row>
    <row r="10">
      <c r="A10" s="2" t="inlineStr">
        <is>
          <t>Expedition</t>
        </is>
      </c>
      <c r="B10" s="2" t="inlineStr">
        <is>
          <t>returning</t>
        </is>
      </c>
      <c r="C10" s="2" t="inlineStr">
        <is>
          <t>arrive</t>
        </is>
      </c>
      <c r="D10" s="2" t="inlineStr">
        <is>
          <t>complete</t>
        </is>
      </c>
      <c r="E10" s="2" t="inlineStr">
        <is>
          <t>Manifeste déchargé une fois; véhicules et équipage reviennent selon résultat</t>
        </is>
      </c>
    </row>
    <row r="11">
      <c r="A11" s="2" t="inlineStr">
        <is>
          <t>VehicleInstance</t>
        </is>
      </c>
      <c r="B11" s="2" t="inlineStr">
        <is>
          <t>operational</t>
        </is>
      </c>
      <c r="C11" s="2" t="inlineStr">
        <is>
          <t>damage</t>
        </is>
      </c>
      <c r="D11" s="2" t="inlineStr">
        <is>
          <t>damaged</t>
        </is>
      </c>
      <c r="E11" s="2" t="inlineStr">
        <is>
          <t>Dégradation d’un ou plusieurs composants</t>
        </is>
      </c>
    </row>
    <row r="12">
      <c r="A12" s="2" t="inlineStr">
        <is>
          <t>VehicleInstance</t>
        </is>
      </c>
      <c r="B12" s="2" t="inlineStr">
        <is>
          <t>damaged</t>
        </is>
      </c>
      <c r="C12" s="2" t="inlineStr">
        <is>
          <t>critical_part_missing</t>
        </is>
      </c>
      <c r="D12" s="2" t="inlineStr">
        <is>
          <t>immobilized</t>
        </is>
      </c>
      <c r="E12" s="2" t="inlineStr">
        <is>
          <t>Ne peut pas être réparé à l’origine sans pièce critique</t>
        </is>
      </c>
    </row>
    <row r="13">
      <c r="A13" s="2" t="inlineStr">
        <is>
          <t>VehicleInstance</t>
        </is>
      </c>
      <c r="B13" s="2" t="inlineStr">
        <is>
          <t>immobilized</t>
        </is>
      </c>
      <c r="C13" s="2" t="inlineStr">
        <is>
          <t>tow_or_repair</t>
        </is>
      </c>
      <c r="D13" s="2" t="inlineStr">
        <is>
          <t>repairing / towed</t>
        </is>
      </c>
      <c r="E13" s="2" t="inlineStr">
        <is>
          <t>Capacité de dépannage et véhicule tracteur vérifiés</t>
        </is>
      </c>
    </row>
    <row r="14">
      <c r="A14" s="2" t="inlineStr">
        <is>
          <t>VehicleInstance</t>
        </is>
      </c>
      <c r="B14" s="2" t="inlineStr">
        <is>
          <t>wreck</t>
        </is>
      </c>
      <c r="C14" s="2" t="inlineStr">
        <is>
          <t>salvage</t>
        </is>
      </c>
      <c r="D14" s="2" t="inlineStr">
        <is>
          <t>salvaging</t>
        </is>
      </c>
      <c r="E14" s="2" t="inlineStr">
        <is>
          <t>Inventaire de pièces restantes figé avant démontage</t>
        </is>
      </c>
    </row>
    <row r="15">
      <c r="A15" s="2" t="inlineStr">
        <is>
          <t>Incident</t>
        </is>
      </c>
      <c r="B15" s="2" t="inlineStr">
        <is>
          <t>pending</t>
        </is>
      </c>
      <c r="C15" s="2" t="inlineStr">
        <is>
          <t>choose_option</t>
        </is>
      </c>
      <c r="D15" s="2" t="inlineStr">
        <is>
          <t>resolved</t>
        </is>
      </c>
      <c r="E15" s="2" t="inlineStr">
        <is>
          <t>Effets appliqués une seule fois et consignés</t>
        </is>
      </c>
    </row>
    <row r="16">
      <c r="A16" s="2" t="inlineStr">
        <is>
          <t>Incident</t>
        </is>
      </c>
      <c r="B16" s="2" t="inlineStr">
        <is>
          <t>pending</t>
        </is>
      </c>
      <c r="C16" s="2" t="inlineStr">
        <is>
          <t>defer</t>
        </is>
      </c>
      <c r="D16" s="2" t="inlineStr">
        <is>
          <t>pending</t>
        </is>
      </c>
      <c r="E16" s="2" t="inlineStr">
        <is>
          <t>Reste visible; pas d’expiration silencieuse si décision requise</t>
        </is>
      </c>
    </row>
  </sheetData>
  <autoFilter ref="A1:E16"/>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22" customWidth="1" min="3" max="3"/>
    <col width="34" customWidth="1" min="4" max="4"/>
    <col width="22" customWidth="1" min="5" max="5"/>
    <col width="22" customWidth="1" min="6" max="6"/>
    <col width="18" customWidth="1" min="7" max="7"/>
    <col width="14" customWidth="1" min="8" max="8"/>
    <col width="62" customWidth="1" min="9" max="9"/>
  </cols>
  <sheetData>
    <row r="1" ht="36" customHeight="1">
      <c r="A1" s="25" t="inlineStr">
        <is>
          <t>ID</t>
        </is>
      </c>
      <c r="B1" s="25" t="inlineStr">
        <is>
          <t>Référence</t>
        </is>
      </c>
      <c r="C1" s="25" t="inlineStr">
        <is>
          <t>Type</t>
        </is>
      </c>
      <c r="D1" s="25" t="inlineStr">
        <is>
          <t>Nom UI</t>
        </is>
      </c>
      <c r="E1" s="25" t="inlineStr">
        <is>
          <t>Quantité / niveau</t>
        </is>
      </c>
      <c r="F1" s="25" t="inlineStr">
        <is>
          <t>Capacité / cible</t>
        </is>
      </c>
      <c r="G1" s="25" t="inlineStr">
        <is>
          <t>Unité</t>
        </is>
      </c>
      <c r="H1" s="25" t="inlineStr">
        <is>
          <t>Priorité</t>
        </is>
      </c>
      <c r="I1" s="25" t="inlineStr">
        <is>
          <t>Note de conception</t>
        </is>
      </c>
    </row>
    <row r="2">
      <c r="A2" s="2" t="inlineStr">
        <is>
          <t>RES-WATER</t>
        </is>
      </c>
      <c r="B2" s="2" t="inlineStr">
        <is>
          <t>water</t>
        </is>
      </c>
      <c r="C2" s="2" t="inlineStr">
        <is>
          <t>Ressource</t>
        </is>
      </c>
      <c r="D2" s="2" t="inlineStr">
        <is>
          <t>Eau</t>
        </is>
      </c>
      <c r="E2" s="2" t="n">
        <v>1200</v>
      </c>
      <c r="F2" s="2" t="n">
        <v>2000</v>
      </c>
      <c r="G2" s="2" t="inlineStr">
        <is>
          <t>L</t>
        </is>
      </c>
      <c r="H2" s="2" t="inlineStr">
        <is>
          <t>P0</t>
        </is>
      </c>
      <c r="I2" s="2" t="inlineStr">
        <is>
          <t>Départ hypothétique</t>
        </is>
      </c>
    </row>
    <row r="3">
      <c r="A3" s="2" t="inlineStr">
        <is>
          <t>RES-FOOD</t>
        </is>
      </c>
      <c r="B3" s="2" t="inlineStr">
        <is>
          <t>food</t>
        </is>
      </c>
      <c r="C3" s="2" t="inlineStr">
        <is>
          <t>Ressource</t>
        </is>
      </c>
      <c r="D3" s="2" t="inlineStr">
        <is>
          <t>Nourriture</t>
        </is>
      </c>
      <c r="E3" s="2" t="n">
        <v>160</v>
      </c>
      <c r="F3" s="2" t="n">
        <v>500</v>
      </c>
      <c r="G3" s="2" t="inlineStr">
        <is>
          <t>unité</t>
        </is>
      </c>
      <c r="H3" s="2" t="inlineStr">
        <is>
          <t>P0</t>
        </is>
      </c>
      <c r="I3" s="2" t="inlineStr">
        <is>
          <t>Ressource abstraite unique</t>
        </is>
      </c>
    </row>
    <row r="4">
      <c r="A4" s="2" t="inlineStr">
        <is>
          <t>RES-GAS</t>
        </is>
      </c>
      <c r="B4" s="2" t="inlineStr">
        <is>
          <t>fuel_gasoline</t>
        </is>
      </c>
      <c r="C4" s="2" t="inlineStr">
        <is>
          <t>Ressource</t>
        </is>
      </c>
      <c r="D4" s="2" t="inlineStr">
        <is>
          <t>Essence</t>
        </is>
      </c>
      <c r="E4" s="2" t="n">
        <v>80</v>
      </c>
      <c r="F4" s="2" t="n">
        <v>200</v>
      </c>
      <c r="G4" s="2" t="inlineStr">
        <is>
          <t>L</t>
        </is>
      </c>
      <c r="H4" s="2" t="inlineStr">
        <is>
          <t>P0</t>
        </is>
      </c>
      <c r="I4" s="2" t="inlineStr">
        <is>
          <t>Stock distinct du diesel</t>
        </is>
      </c>
    </row>
    <row r="5">
      <c r="A5" s="2" t="inlineStr">
        <is>
          <t>RES-DIESEL</t>
        </is>
      </c>
      <c r="B5" s="2" t="inlineStr">
        <is>
          <t>fuel_diesel</t>
        </is>
      </c>
      <c r="C5" s="2" t="inlineStr">
        <is>
          <t>Ressource</t>
        </is>
      </c>
      <c r="D5" s="2" t="inlineStr">
        <is>
          <t>Diesel</t>
        </is>
      </c>
      <c r="E5" s="2" t="n">
        <v>0</v>
      </c>
      <c r="F5" s="2" t="n">
        <v>150</v>
      </c>
      <c r="G5" s="2" t="inlineStr">
        <is>
          <t>L</t>
        </is>
      </c>
      <c r="H5" s="2" t="inlineStr">
        <is>
          <t>P0</t>
        </is>
      </c>
      <c r="I5" s="2" t="inlineStr">
        <is>
          <t>Stock initial nul; premier véhicule de départ essence</t>
        </is>
      </c>
    </row>
    <row r="6">
      <c r="A6" s="2" t="inlineStr">
        <is>
          <t>BLD-CMD-01</t>
        </is>
      </c>
      <c r="B6" s="2" t="inlineStr">
        <is>
          <t>command_center</t>
        </is>
      </c>
      <c r="C6" s="2" t="inlineStr">
        <is>
          <t>Bâtiment</t>
        </is>
      </c>
      <c r="D6" s="2" t="inlineStr">
        <is>
          <t>Centre de commandement</t>
        </is>
      </c>
      <c r="E6" s="2" t="n">
        <v>1</v>
      </c>
      <c r="F6" s="2" t="n">
        <v>1</v>
      </c>
      <c r="G6" s="2" t="inlineStr">
        <is>
          <t>niveau</t>
        </is>
      </c>
      <c r="H6" s="2" t="inlineStr">
        <is>
          <t>P0</t>
        </is>
      </c>
      <c r="I6" s="2" t="inlineStr">
        <is>
          <t>Bâtiment de départ</t>
        </is>
      </c>
    </row>
    <row r="7">
      <c r="A7" s="2" t="inlineStr">
        <is>
          <t>BLD-WELL-01</t>
        </is>
      </c>
      <c r="B7" s="2" t="inlineStr">
        <is>
          <t>water_well</t>
        </is>
      </c>
      <c r="C7" s="2" t="inlineStr">
        <is>
          <t>Bâtiment</t>
        </is>
      </c>
      <c r="D7" s="2" t="inlineStr">
        <is>
          <t>Puits mécanique</t>
        </is>
      </c>
      <c r="E7" s="2" t="n">
        <v>1</v>
      </c>
      <c r="F7" s="2" t="n">
        <v>1</v>
      </c>
      <c r="G7" s="2" t="inlineStr">
        <is>
          <t>niveau</t>
        </is>
      </c>
      <c r="H7" s="2" t="inlineStr">
        <is>
          <t>P0</t>
        </is>
      </c>
      <c r="I7" s="2" t="inlineStr">
        <is>
          <t>Production selon hypothèse et terrain</t>
        </is>
      </c>
    </row>
    <row r="8">
      <c r="A8" s="2" t="inlineStr">
        <is>
          <t>BLD-TANK-01</t>
        </is>
      </c>
      <c r="B8" s="2" t="inlineStr">
        <is>
          <t>water_tank</t>
        </is>
      </c>
      <c r="C8" s="2" t="inlineStr">
        <is>
          <t>Bâtiment</t>
        </is>
      </c>
      <c r="D8" s="2" t="inlineStr">
        <is>
          <t>Réservoir d’eau</t>
        </is>
      </c>
      <c r="E8" s="2" t="n">
        <v>1</v>
      </c>
      <c r="F8" s="2" t="n">
        <v>1</v>
      </c>
      <c r="G8" s="2" t="inlineStr">
        <is>
          <t>niveau</t>
        </is>
      </c>
      <c r="H8" s="2" t="inlineStr">
        <is>
          <t>P0</t>
        </is>
      </c>
      <c r="I8" s="2" t="inlineStr">
        <is>
          <t>Capacité eau incluse dans capacité globale</t>
        </is>
      </c>
    </row>
    <row r="9">
      <c r="A9" s="2" t="inlineStr">
        <is>
          <t>BLD-DORM-01</t>
        </is>
      </c>
      <c r="B9" s="2" t="inlineStr">
        <is>
          <t>dormitory</t>
        </is>
      </c>
      <c r="C9" s="2" t="inlineStr">
        <is>
          <t>Bâtiment</t>
        </is>
      </c>
      <c r="D9" s="2" t="inlineStr">
        <is>
          <t>Abri de ferme</t>
        </is>
      </c>
      <c r="E9" s="2" t="n">
        <v>1</v>
      </c>
      <c r="F9" s="2" t="n">
        <v>1</v>
      </c>
      <c r="G9" s="2" t="inlineStr">
        <is>
          <t>niveau</t>
        </is>
      </c>
      <c r="H9" s="2" t="inlineStr">
        <is>
          <t>P0</t>
        </is>
      </c>
      <c r="I9" s="2" t="inlineStr">
        <is>
          <t>Population de départ faible</t>
        </is>
      </c>
    </row>
    <row r="10">
      <c r="A10" s="2" t="inlineStr">
        <is>
          <t>BLD-WORK-01</t>
        </is>
      </c>
      <c r="B10" s="2" t="inlineStr">
        <is>
          <t>mechanical_workshop</t>
        </is>
      </c>
      <c r="C10" s="2" t="inlineStr">
        <is>
          <t>Bâtiment</t>
        </is>
      </c>
      <c r="D10" s="2" t="inlineStr">
        <is>
          <t>Atelier rudimentaire</t>
        </is>
      </c>
      <c r="E10" s="2" t="n">
        <v>0</v>
      </c>
      <c r="F10" s="2" t="n">
        <v>1</v>
      </c>
      <c r="G10" s="2" t="inlineStr">
        <is>
          <t>niveau</t>
        </is>
      </c>
      <c r="H10" s="2" t="inlineStr">
        <is>
          <t>P0</t>
        </is>
      </c>
      <c r="I10" s="2" t="inlineStr">
        <is>
          <t>À construire ou débloquer</t>
        </is>
      </c>
    </row>
    <row r="11">
      <c r="A11" s="2" t="inlineStr">
        <is>
          <t>BLD-GAR-01</t>
        </is>
      </c>
      <c r="B11" s="2" t="inlineStr">
        <is>
          <t>vehicle_garage</t>
        </is>
      </c>
      <c r="C11" s="2" t="inlineStr">
        <is>
          <t>Bâtiment</t>
        </is>
      </c>
      <c r="D11" s="2" t="inlineStr">
        <is>
          <t>Garage rudimentaire</t>
        </is>
      </c>
      <c r="E11" s="2" t="n">
        <v>1</v>
      </c>
      <c r="F11" s="2" t="n">
        <v>1</v>
      </c>
      <c r="G11" s="2" t="inlineStr">
        <is>
          <t>niveau</t>
        </is>
      </c>
      <c r="H11" s="2" t="inlineStr">
        <is>
          <t>P0</t>
        </is>
      </c>
      <c r="I11" s="2" t="inlineStr">
        <is>
          <t>Emplacement pour véhicules récupérés</t>
        </is>
      </c>
    </row>
    <row r="12">
      <c r="A12" s="2" t="inlineStr">
        <is>
          <t>VEH-START-01</t>
        </is>
      </c>
      <c r="B12" s="2" t="inlineStr">
        <is>
          <t>WILLYS_MB_1942</t>
        </is>
      </c>
      <c r="C12" s="2" t="inlineStr">
        <is>
          <t>VehicleModel</t>
        </is>
      </c>
      <c r="D12" s="2" t="inlineStr">
        <is>
          <t>Willys MB de départ</t>
        </is>
      </c>
      <c r="E12" s="2" t="n">
        <v>1</v>
      </c>
      <c r="F12" s="2" t="n">
        <v>1</v>
      </c>
      <c r="G12" s="2" t="inlineStr">
        <is>
          <t>instance</t>
        </is>
      </c>
      <c r="H12" s="2" t="inlineStr">
        <is>
          <t>P0</t>
        </is>
      </c>
      <c r="I12" s="2" t="inlineStr">
        <is>
          <t>État partiellement fonctionnel; variante gameplay dédiée</t>
        </is>
      </c>
    </row>
    <row r="13">
      <c r="A13" s="2" t="inlineStr">
        <is>
          <t>CMP-START-ENG</t>
        </is>
      </c>
      <c r="B13" s="2" t="inlineStr">
        <is>
          <t>CMP-ENGINE</t>
        </is>
      </c>
      <c r="C13" s="2" t="inlineStr">
        <is>
          <t>Composant</t>
        </is>
      </c>
      <c r="D13" s="2" t="inlineStr">
        <is>
          <t>Moteur L134</t>
        </is>
      </c>
      <c r="E13" s="2" t="n">
        <v>1</v>
      </c>
      <c r="F13" s="2" t="n">
        <v>1</v>
      </c>
      <c r="G13" s="2" t="inlineStr">
        <is>
          <t>pièce</t>
        </is>
      </c>
      <c r="H13" s="2" t="inlineStr">
        <is>
          <t>P0</t>
        </is>
      </c>
      <c r="I13" s="2" t="inlineStr">
        <is>
          <t>Présent mais état à définir</t>
        </is>
      </c>
    </row>
    <row r="14">
      <c r="A14" s="2" t="inlineStr">
        <is>
          <t>CMP-START-COOL</t>
        </is>
      </c>
      <c r="B14" s="2" t="inlineStr">
        <is>
          <t>CMP-COOLING</t>
        </is>
      </c>
      <c r="C14" s="2" t="inlineStr">
        <is>
          <t>Composant</t>
        </is>
      </c>
      <c r="D14" s="2" t="inlineStr">
        <is>
          <t>Radiateur/refroidissement</t>
        </is>
      </c>
      <c r="E14" s="2" t="n">
        <v>1</v>
      </c>
      <c r="F14" s="2" t="n">
        <v>1</v>
      </c>
      <c r="G14" s="2" t="inlineStr">
        <is>
          <t>pièce</t>
        </is>
      </c>
      <c r="H14" s="2" t="inlineStr">
        <is>
          <t>P0</t>
        </is>
      </c>
      <c r="I14" s="2" t="inlineStr">
        <is>
          <t>État endommagé</t>
        </is>
      </c>
    </row>
    <row r="15">
      <c r="A15" s="2" t="inlineStr">
        <is>
          <t>CMP-START-TIRE</t>
        </is>
      </c>
      <c r="B15" s="2" t="inlineStr">
        <is>
          <t>CMP-WHEELS</t>
        </is>
      </c>
      <c r="C15" s="2" t="inlineStr">
        <is>
          <t>Composant</t>
        </is>
      </c>
      <c r="D15" s="2" t="inlineStr">
        <is>
          <t>Roues/pneus</t>
        </is>
      </c>
      <c r="E15" s="2" t="n">
        <v>4</v>
      </c>
      <c r="F15" s="2" t="n">
        <v>4</v>
      </c>
      <c r="G15" s="2" t="inlineStr">
        <is>
          <t>pièce</t>
        </is>
      </c>
      <c r="H15" s="2" t="inlineStr">
        <is>
          <t>P0</t>
        </is>
      </c>
      <c r="I15" s="2" t="inlineStr">
        <is>
          <t>Pneus usés; quatre roues représentées par un ensemble</t>
        </is>
      </c>
    </row>
    <row r="16">
      <c r="A16" s="2" t="inlineStr">
        <is>
          <t>EXP-INTRO-01</t>
        </is>
      </c>
      <c r="B16" s="2" t="inlineStr">
        <is>
          <t>farm_supply_run</t>
        </is>
      </c>
      <c r="C16" s="2" t="inlineStr">
        <is>
          <t>Expedition</t>
        </is>
      </c>
      <c r="D16" s="2" t="inlineStr">
        <is>
          <t>Première sortie vers la ferme</t>
        </is>
      </c>
      <c r="E16" s="2" t="n">
        <v>1</v>
      </c>
      <c r="F16" s="2" t="n">
        <v>1</v>
      </c>
      <c r="G16" s="2" t="inlineStr">
        <is>
          <t>mission</t>
        </is>
      </c>
      <c r="H16" s="2" t="inlineStr">
        <is>
          <t>P0</t>
        </is>
      </c>
      <c r="I16" s="2" t="inlineStr">
        <is>
          <t>Tutoriel scénarisé après introduction</t>
        </is>
      </c>
    </row>
  </sheetData>
  <autoFilter ref="A1:I16"/>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62" customWidth="1" min="3" max="3"/>
    <col width="42" customWidth="1" min="4" max="4"/>
    <col width="48" customWidth="1" min="5" max="5"/>
    <col width="18" customWidth="1" min="6" max="6"/>
  </cols>
  <sheetData>
    <row r="1">
      <c r="A1" s="20" t="inlineStr">
        <is>
          <t>Système</t>
        </is>
      </c>
      <c r="B1" s="20" t="inlineStr">
        <is>
          <t>Élément</t>
        </is>
      </c>
      <c r="C1" s="20" t="inlineStr">
        <is>
          <t>Règle de conception</t>
        </is>
      </c>
      <c r="D1" s="20" t="inlineStr">
        <is>
          <t>Coûts / contraintes</t>
        </is>
      </c>
      <c r="E1" s="20" t="inlineStr">
        <is>
          <t>Conséquences / risques</t>
        </is>
      </c>
      <c r="F1" s="20" t="inlineStr">
        <is>
          <t>Statut</t>
        </is>
      </c>
    </row>
    <row r="2">
      <c r="A2" s="2" t="inlineStr">
        <is>
          <t>Capture</t>
        </is>
      </c>
      <c r="B2" s="2" t="inlineStr">
        <is>
          <t>Équipage ennemi</t>
        </is>
      </c>
      <c r="C2" s="2" t="inlineStr">
        <is>
          <t>Capturer des survivants après un combat si la situation tactique et la capacité de transport le permettent.</t>
        </is>
      </c>
      <c r="D2" s="2" t="inlineStr">
        <is>
          <t>Temps, places de transport, sécurisation du retour.</t>
        </is>
      </c>
      <c r="E2" s="2" t="inlineStr">
        <is>
          <t>Ralentissement, risque accru sur le trajet.</t>
        </is>
      </c>
      <c r="F2" s="2" t="inlineStr">
        <is>
          <t>À équilibrer</t>
        </is>
      </c>
    </row>
    <row r="3">
      <c r="A3" s="2" t="inlineStr">
        <is>
          <t>Capture</t>
        </is>
      </c>
      <c r="B3" s="2" t="inlineStr">
        <is>
          <t>Village pacifique</t>
        </is>
      </c>
      <c r="C3" s="2" t="inlineStr">
        <is>
          <t>Choix coercitif alternatif au troc/négociation; action majeure et volontaire.</t>
        </is>
      </c>
      <c r="D3" s="2" t="inlineStr">
        <is>
          <t>Risque opérationnel et rupture de confiance.</t>
        </is>
      </c>
      <c r="E3" s="2" t="inlineStr">
        <is>
          <t>Forte dégradation de réputation, représailles, routes fermées.</t>
        </is>
      </c>
      <c r="F3" s="2" t="inlineStr">
        <is>
          <t>À équilibrer</t>
        </is>
      </c>
    </row>
    <row r="4">
      <c r="A4" s="2" t="inlineStr">
        <is>
          <t>Détention</t>
        </is>
      </c>
      <c r="B4" s="2" t="inlineStr">
        <is>
          <t>Enclos grillagé</t>
        </is>
      </c>
      <c r="C4" s="2" t="inlineStr">
        <is>
          <t>Capacité intermédiaire; sécurité limitée.</t>
        </is>
      </c>
      <c r="D4" s="2" t="inlineStr">
        <is>
          <t>Construction, maintenance, eau, nourriture, gardes.</t>
        </is>
      </c>
      <c r="E4" s="2" t="inlineStr">
        <is>
          <t>Évasion et vulnérabilité aux brèches.</t>
        </is>
      </c>
      <c r="F4" s="2" t="inlineStr">
        <is>
          <t>Concept</t>
        </is>
      </c>
    </row>
    <row r="5">
      <c r="A5" s="2" t="inlineStr">
        <is>
          <t>Détention</t>
        </is>
      </c>
      <c r="B5" s="2" t="inlineStr">
        <is>
          <t>Cellules renforcées</t>
        </is>
      </c>
      <c r="C5" s="2" t="inlineStr">
        <is>
          <t>Capacité plus faible ou coût supérieur, sécurité élevée.</t>
        </is>
      </c>
      <c r="D5" s="2" t="inlineStr">
        <is>
          <t>Coût de construction/maintenance élevé.</t>
        </is>
      </c>
      <c r="E5" s="2" t="inlineStr">
        <is>
          <t>Risque réduit, pas nul.</t>
        </is>
      </c>
      <c r="F5" s="2" t="inlineStr">
        <is>
          <t>Concept</t>
        </is>
      </c>
    </row>
    <row r="6">
      <c r="A6" s="2" t="inlineStr">
        <is>
          <t>Détention</t>
        </is>
      </c>
      <c r="B6" s="2" t="inlineStr">
        <is>
          <t>Bloc amélioré</t>
        </is>
      </c>
      <c r="C6" s="2" t="inlineStr">
        <is>
          <t>Installation améliorée pour gérer capacité et incidents.</t>
        </is>
      </c>
      <c r="D6" s="2" t="inlineStr">
        <is>
          <t>Ressources, maintenance, personnel.</t>
        </is>
      </c>
      <c r="E6" s="2" t="inlineStr">
        <is>
          <t>Sécurité améliorée; incidents possibles.</t>
        </is>
      </c>
      <c r="F6" s="2" t="inlineStr">
        <is>
          <t>Concept</t>
        </is>
      </c>
    </row>
    <row r="7">
      <c r="A7" s="2" t="inlineStr">
        <is>
          <t>Personnel</t>
        </is>
      </c>
      <c r="B7" s="2" t="inlineStr">
        <is>
          <t>Gardes</t>
        </is>
      </c>
      <c r="C7" s="2" t="inlineStr">
        <is>
          <t>Affectation dédiée à la zone de détention.</t>
        </is>
      </c>
      <c r="D7" s="2" t="inlineStr">
        <is>
          <t>Gardes indisponibles pour expéditions et murs.</t>
        </is>
      </c>
      <c r="E7" s="2" t="inlineStr">
        <is>
          <t>Sous-effectif augmente évasions/incidents.</t>
        </is>
      </c>
      <c r="F7" s="2" t="inlineStr">
        <is>
          <t>Règle canonique</t>
        </is>
      </c>
    </row>
    <row r="8">
      <c r="A8" s="2" t="inlineStr">
        <is>
          <t>Besoins</t>
        </is>
      </c>
      <c r="B8" s="2" t="inlineStr">
        <is>
          <t>Eau et nourriture</t>
        </is>
      </c>
      <c r="C8" s="2" t="inlineStr">
        <is>
          <t>Les captifs consomment des ressources selon leur nombre.</t>
        </is>
      </c>
      <c r="D8" s="2" t="inlineStr">
        <is>
          <t>Eau + nourriture.</t>
        </is>
      </c>
      <c r="E8" s="2" t="inlineStr">
        <is>
          <t>Pénuries si capacité de stockage/production insuffisante.</t>
        </is>
      </c>
      <c r="F8" s="2" t="inlineStr">
        <is>
          <t>À chiffrer</t>
        </is>
      </c>
    </row>
    <row r="9">
      <c r="A9" s="2" t="inlineStr">
        <is>
          <t>Politique</t>
        </is>
      </c>
      <c r="B9" s="2" t="inlineStr">
        <is>
          <t>Travail forcé</t>
        </is>
      </c>
      <c r="C9" s="2" t="inlineStr">
        <is>
          <t>Gain abstrait limité sur des tâches simples.</t>
        </is>
      </c>
      <c r="D9" s="2" t="inlineStr">
        <is>
          <t>Surveillance et ressources consommées.</t>
        </is>
      </c>
      <c r="E9" s="2" t="inlineStr">
        <is>
          <t>Sabotage, incidents, réputation négative.</t>
        </is>
      </c>
      <c r="F9" s="2" t="inlineStr">
        <is>
          <t>À équilibrer</t>
        </is>
      </c>
    </row>
    <row r="10">
      <c r="A10" s="2" t="inlineStr">
        <is>
          <t>Alternative</t>
        </is>
      </c>
      <c r="B10" s="2" t="inlineStr">
        <is>
          <t>Libération</t>
        </is>
      </c>
      <c r="C10" s="2" t="inlineStr">
        <is>
          <t>Met fin à la détention; effets diplomatiques contextuels.</t>
        </is>
      </c>
      <c r="D10" s="2" t="inlineStr">
        <is>
          <t>Perte de toute contribution au travail forcé.</t>
        </is>
      </c>
      <c r="E10" s="2" t="inlineStr">
        <is>
          <t>Peut améliorer certaines relations; témoins possibles.</t>
        </is>
      </c>
      <c r="F10" s="2" t="inlineStr">
        <is>
          <t>Concept</t>
        </is>
      </c>
    </row>
    <row r="11">
      <c r="A11" s="2" t="inlineStr">
        <is>
          <t>Alternative</t>
        </is>
      </c>
      <c r="B11" s="2" t="inlineStr">
        <is>
          <t>Échange / rançon</t>
        </is>
      </c>
      <c r="C11" s="2" t="inlineStr">
        <is>
          <t>Négociation possible selon faction et contexte.</t>
        </is>
      </c>
      <c r="D11" s="2" t="inlineStr">
        <is>
          <t>Ressources ou concessions possibles.</t>
        </is>
      </c>
      <c r="E11" s="2" t="inlineStr">
        <is>
          <t>Résultat non garanti.</t>
        </is>
      </c>
      <c r="F11" s="2" t="inlineStr">
        <is>
          <t>Concept</t>
        </is>
      </c>
    </row>
    <row r="12">
      <c r="A12" s="2" t="inlineStr">
        <is>
          <t>Alternative</t>
        </is>
      </c>
      <c r="B12" s="2" t="inlineStr">
        <is>
          <t>Recrutement volontaire</t>
        </is>
      </c>
      <c r="C12" s="2" t="inlineStr">
        <is>
          <t>Possible seulement si conditions narratives réunies.</t>
        </is>
      </c>
      <c r="D12" s="2" t="inlineStr">
        <is>
          <t>Délai d’intégration.</t>
        </is>
      </c>
      <c r="E12" s="2" t="inlineStr">
        <is>
          <t>Pas de conversion automatique des captifs en recrues loyales.</t>
        </is>
      </c>
      <c r="F12" s="2" t="inlineStr">
        <is>
          <t>Règle canonique</t>
        </is>
      </c>
    </row>
    <row r="13">
      <c r="A13" s="2" t="inlineStr">
        <is>
          <t>Monde</t>
        </is>
      </c>
      <c r="B13" s="2" t="inlineStr">
        <is>
          <t>Réputation morale</t>
        </is>
      </c>
      <c r="C13" s="2" t="inlineStr">
        <is>
          <t>Indicateur persistant influencé par répétition, nombre et témoins.</t>
        </is>
      </c>
      <c r="D13" s="2" t="inlineStr">
        <is>
          <t>Aucun coût direct; système global.</t>
        </is>
      </c>
      <c r="E13" s="2" t="inlineStr">
        <is>
          <t>Attaques de représailles, commerce dégradé, coalitions.</t>
        </is>
      </c>
      <c r="F13" s="2" t="inlineStr">
        <is>
          <t>À équilibrer</t>
        </is>
      </c>
    </row>
    <row r="14">
      <c r="A14" s="2" t="inlineStr">
        <is>
          <t>Incidents</t>
        </is>
      </c>
      <c r="B14" s="2" t="inlineStr">
        <is>
          <t>Évasion / révolte / sabotage</t>
        </is>
      </c>
      <c r="C14" s="2" t="inlineStr">
        <is>
          <t>Événements possibles selon sécurité, effectifs et traitement.</t>
        </is>
      </c>
      <c r="D14" s="2" t="inlineStr">
        <is>
          <t>Réparations, gardes et ressources mobilisés.</t>
        </is>
      </c>
      <c r="E14" s="2" t="inlineStr">
        <is>
          <t>Perte de contrôle, baisse temporaire de production/sécurité.</t>
        </is>
      </c>
      <c r="F14" s="2" t="inlineStr">
        <is>
          <t>À équilibrer</t>
        </is>
      </c>
    </row>
    <row r="15">
      <c r="A15" s="2" t="inlineStr">
        <is>
          <t>Progression hors ligne</t>
        </is>
      </c>
      <c r="B15" s="2" t="inlineStr">
        <is>
          <t>Résumé au retour</t>
        </is>
      </c>
      <c r="C15" s="2" t="inlineStr">
        <is>
          <t>Respecter la limite existante de 12 h; aucun événement irréversible silencieux.</t>
        </is>
      </c>
      <c r="D15" s="2" t="inlineStr">
        <is>
          <t>Calcul hors ligne plafonné.</t>
        </is>
      </c>
      <c r="E15" s="2" t="inlineStr">
        <is>
          <t>Événements importants présentés au retour.</t>
        </is>
      </c>
      <c r="F15" s="2" t="inlineStr">
        <is>
          <t>Règle canonique</t>
        </is>
      </c>
    </row>
    <row r="16">
      <c r="A16" s="2" t="inlineStr">
        <is>
          <t>Équilibrage</t>
        </is>
      </c>
      <c r="B16" s="2" t="inlineStr">
        <is>
          <t>Valeurs numériques</t>
        </is>
      </c>
      <c r="C16" s="2" t="inlineStr">
        <is>
          <t>Ne pas fixer les coûts finaux dans cette passe de conception.</t>
        </is>
      </c>
      <c r="D16" s="2" t="inlineStr">
        <is>
          <t>À définir lors d’une passe dédiée.</t>
        </is>
      </c>
      <c r="E16" s="2" t="inlineStr">
        <is>
          <t>Tous bénéfices doivent avoir coûts et risques associés.</t>
        </is>
      </c>
      <c r="F16" s="2" t="inlineStr">
        <is>
          <t>Non validé</t>
        </is>
      </c>
    </row>
  </sheetData>
  <autoFilter ref="A1:F16"/>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O7"/>
  <sheetViews>
    <sheetView workbookViewId="0">
      <pane ySplit="1" topLeftCell="A2" activePane="bottomLeft" state="frozen"/>
      <selection pane="bottomLeft" activeCell="A1" sqref="A1"/>
    </sheetView>
  </sheetViews>
  <sheetFormatPr baseColWidth="8" defaultRowHeight="15"/>
  <cols>
    <col width="12" customWidth="1" min="1" max="1"/>
    <col width="41" customWidth="1" min="2" max="2"/>
    <col width="12" customWidth="1" min="3" max="3"/>
    <col width="12" customWidth="1" min="4" max="4"/>
    <col width="12" customWidth="1" min="5" max="5"/>
    <col width="16" customWidth="1" min="6" max="6"/>
    <col width="12" customWidth="1" min="7" max="7"/>
    <col width="12" customWidth="1" min="8" max="8"/>
    <col width="19" customWidth="1" min="9" max="9"/>
    <col width="21" customWidth="1" min="10" max="10"/>
    <col width="16" customWidth="1" min="11" max="11"/>
    <col width="20" customWidth="1" min="12" max="12"/>
    <col width="16" customWidth="1" min="13" max="13"/>
    <col width="17" customWidth="1" min="14" max="14"/>
    <col width="42" customWidth="1" min="15" max="15"/>
  </cols>
  <sheetData>
    <row r="1" ht="32" customHeight="1">
      <c r="A1" s="28" t="inlineStr">
        <is>
          <t>ID</t>
        </is>
      </c>
      <c r="B1" s="28" t="inlineStr">
        <is>
          <t>Élément</t>
        </is>
      </c>
      <c r="C1" s="28" t="inlineStr">
        <is>
          <t>Niveau</t>
        </is>
      </c>
      <c r="D1" s="28" t="inlineStr">
        <is>
          <t>Capacité</t>
        </is>
      </c>
      <c r="E1" s="28" t="inlineStr">
        <is>
          <t>Durée (j)</t>
        </is>
      </c>
      <c r="F1" s="28" t="inlineStr">
        <is>
          <t>Coût ferraille</t>
        </is>
      </c>
      <c r="G1" s="28" t="inlineStr">
        <is>
          <t>Coût bois</t>
        </is>
      </c>
      <c r="H1" s="28" t="inlineStr">
        <is>
          <t>Coût métal</t>
        </is>
      </c>
      <c r="I1" s="28" t="inlineStr">
        <is>
          <t>Coût électronique</t>
        </is>
      </c>
      <c r="J1" s="28" t="inlineStr">
        <is>
          <t>Nourriture/captif/j</t>
        </is>
      </c>
      <c r="K1" s="28" t="inlineStr">
        <is>
          <t>Eau L/captif/j</t>
        </is>
      </c>
      <c r="L1" s="28" t="inlineStr">
        <is>
          <t>Gardes / 4 captifs</t>
        </is>
      </c>
      <c r="M1" s="28" t="inlineStr">
        <is>
          <t>Évasion %/jour</t>
        </is>
      </c>
      <c r="N1" s="28" t="inlineStr">
        <is>
          <t>Incident %/jour</t>
        </is>
      </c>
      <c r="O1" s="28" t="inlineStr">
        <is>
          <t>Notes</t>
        </is>
      </c>
    </row>
    <row r="2">
      <c r="A2" t="inlineStr">
        <is>
          <t>DET-01</t>
        </is>
      </c>
      <c r="B2" t="inlineStr">
        <is>
          <t>Enclos improvisé</t>
        </is>
      </c>
      <c r="C2" t="n">
        <v>1</v>
      </c>
      <c r="D2" t="n">
        <v>4</v>
      </c>
      <c r="E2" t="n">
        <v>1</v>
      </c>
      <c r="F2" t="n">
        <v>45</v>
      </c>
      <c r="G2" t="n">
        <v>30</v>
      </c>
      <c r="H2" t="n">
        <v>10</v>
      </c>
      <c r="I2" t="n">
        <v>0</v>
      </c>
      <c r="J2" t="n">
        <v>1</v>
      </c>
      <c r="K2" t="n">
        <v>4</v>
      </c>
      <c r="L2" t="n">
        <v>1</v>
      </c>
      <c r="M2" t="n">
        <v>5</v>
      </c>
      <c r="N2" t="n">
        <v>6</v>
      </c>
      <c r="O2" t="inlineStr">
        <is>
          <t>Faible sécurité; inconfort et incidents fréquents.</t>
        </is>
      </c>
    </row>
    <row r="3">
      <c r="A3" t="inlineStr">
        <is>
          <t>DET-02</t>
        </is>
      </c>
      <c r="B3" t="inlineStr">
        <is>
          <t>Bloc de cellules renforcé</t>
        </is>
      </c>
      <c r="C3" t="n">
        <v>2</v>
      </c>
      <c r="D3" t="n">
        <v>8</v>
      </c>
      <c r="E3" t="n">
        <v>3</v>
      </c>
      <c r="F3" t="n">
        <v>90</v>
      </c>
      <c r="G3" t="n">
        <v>20</v>
      </c>
      <c r="H3" t="n">
        <v>55</v>
      </c>
      <c r="I3" t="n">
        <v>5</v>
      </c>
      <c r="J3" t="n">
        <v>1</v>
      </c>
      <c r="K3" t="n">
        <v>4</v>
      </c>
      <c r="L3" t="n">
        <v>1</v>
      </c>
      <c r="M3" t="n">
        <v>2.5</v>
      </c>
      <c r="N3" t="n">
        <v>3</v>
      </c>
      <c r="O3" t="inlineStr">
        <is>
          <t>Sécurité correcte; nécessite une surveillance organisée.</t>
        </is>
      </c>
    </row>
    <row r="4">
      <c r="A4" t="inlineStr">
        <is>
          <t>DET-03</t>
        </is>
      </c>
      <c r="B4" t="inlineStr">
        <is>
          <t>Quartier de détention sécurisé</t>
        </is>
      </c>
      <c r="C4" t="n">
        <v>3</v>
      </c>
      <c r="D4" t="n">
        <v>16</v>
      </c>
      <c r="E4" t="n">
        <v>6</v>
      </c>
      <c r="F4" t="n">
        <v>150</v>
      </c>
      <c r="G4" t="n">
        <v>20</v>
      </c>
      <c r="H4" t="n">
        <v>110</v>
      </c>
      <c r="I4" t="n">
        <v>15</v>
      </c>
      <c r="J4" t="n">
        <v>1</v>
      </c>
      <c r="K4" t="n">
        <v>4</v>
      </c>
      <c r="L4" t="n">
        <v>1</v>
      </c>
      <c r="M4" t="n">
        <v>1</v>
      </c>
      <c r="N4" t="n">
        <v>1.5</v>
      </c>
      <c r="O4" t="inlineStr">
        <is>
          <t>Plus coûteux; réduit les évasions mais attire l'attention.</t>
        </is>
      </c>
    </row>
    <row r="5">
      <c r="A5" t="inlineStr">
        <is>
          <t>CAP-WORK</t>
        </is>
      </c>
      <c r="B5" t="inlineStr">
        <is>
          <t>Production indicative par captif/jour</t>
        </is>
      </c>
      <c r="F5" t="n">
        <v>2</v>
      </c>
      <c r="G5" t="n">
        <v>1</v>
      </c>
      <c r="H5" t="n">
        <v>0.5</v>
      </c>
      <c r="I5" t="n">
        <v>0</v>
      </c>
      <c r="O5" t="inlineStr">
        <is>
          <t>Scrap + bois + métal; seulement si affecté et surveillé.</t>
        </is>
      </c>
    </row>
    <row r="6">
      <c r="A6" t="inlineStr">
        <is>
          <t>CAP-RAID</t>
        </is>
      </c>
      <c r="B6" t="inlineStr">
        <is>
          <t>Capture village pacifique</t>
        </is>
      </c>
      <c r="O6" t="inlineStr">
        <is>
          <t>Moral -12; réputation -15; menace +12; rupture durable de relation.</t>
        </is>
      </c>
    </row>
    <row r="7">
      <c r="A7" t="inlineStr">
        <is>
          <t>CAP-ENEMY</t>
        </is>
      </c>
      <c r="B7" t="inlineStr">
        <is>
          <t>Capture survivants ennemis (par captif)</t>
        </is>
      </c>
      <c r="O7" t="inlineStr">
        <is>
          <t>Moral -4; réputation -3; menace +3; ajuster selon faction et témoins.</t>
        </is>
      </c>
    </row>
  </sheetData>
  <autoFilter ref="A1:O7"/>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2" customWidth="1" min="3" max="3"/>
    <col width="14" customWidth="1" min="4" max="4"/>
    <col width="24" customWidth="1" min="5" max="5"/>
    <col width="12" customWidth="1" min="6" max="6"/>
    <col width="12" customWidth="1" min="7" max="7"/>
    <col width="12" customWidth="1" min="8" max="8"/>
    <col width="14" customWidth="1" min="9" max="9"/>
    <col width="42" customWidth="1" min="10" max="10"/>
  </cols>
  <sheetData>
    <row r="1" ht="32" customHeight="1">
      <c r="A1" s="28" t="inlineStr">
        <is>
          <t>ID</t>
        </is>
      </c>
      <c r="B1" s="28" t="inlineStr">
        <is>
          <t>Élément</t>
        </is>
      </c>
      <c r="C1" s="28" t="inlineStr">
        <is>
          <t>Niveau</t>
        </is>
      </c>
      <c r="D1" s="28" t="inlineStr">
        <is>
          <t>Intégrité PV</t>
        </is>
      </c>
      <c r="E1" s="28" t="inlineStr">
        <is>
          <t>Temps amélioration (j)</t>
        </is>
      </c>
      <c r="F1" s="28" t="inlineStr">
        <is>
          <t>Ferraille</t>
        </is>
      </c>
      <c r="G1" s="28" t="inlineStr">
        <is>
          <t>Bois</t>
        </is>
      </c>
      <c r="H1" s="28" t="inlineStr">
        <is>
          <t>Métal</t>
        </is>
      </c>
      <c r="I1" s="28" t="inlineStr">
        <is>
          <t>Électronique</t>
        </is>
      </c>
      <c r="J1" s="28" t="inlineStr">
        <is>
          <t>Règle / contrepartie</t>
        </is>
      </c>
    </row>
    <row r="2">
      <c r="A2" t="inlineStr">
        <is>
          <t>GATE-L</t>
        </is>
      </c>
      <c r="B2" t="inlineStr">
        <is>
          <t>Grande porte gauche</t>
        </is>
      </c>
      <c r="C2" t="n">
        <v>1</v>
      </c>
      <c r="D2" t="n">
        <v>500</v>
      </c>
      <c r="E2" t="n">
        <v>2</v>
      </c>
      <c r="F2" t="n">
        <v>80</v>
      </c>
      <c r="G2" t="n">
        <v>40</v>
      </c>
      <c r="H2" t="n">
        <v>25</v>
      </c>
      <c r="I2" t="n">
        <v>0</v>
      </c>
      <c r="J2" t="inlineStr">
        <is>
          <t>Porte indépendante; état, réparations et brèches propres.</t>
        </is>
      </c>
    </row>
    <row r="3">
      <c r="A3" t="inlineStr">
        <is>
          <t>GATE-L</t>
        </is>
      </c>
      <c r="B3" t="inlineStr">
        <is>
          <t>Grande porte gauche</t>
        </is>
      </c>
      <c r="C3" t="n">
        <v>2</v>
      </c>
      <c r="D3" t="n">
        <v>850</v>
      </c>
      <c r="E3" t="n">
        <v>3</v>
      </c>
      <c r="F3" t="n">
        <v>120</v>
      </c>
      <c r="G3" t="n">
        <v>20</v>
      </c>
      <c r="H3" t="n">
        <v>65</v>
      </c>
      <c r="I3" t="n">
        <v>0</v>
      </c>
      <c r="J3" t="inlineStr">
        <is>
          <t>Porte indépendante; état, réparations et brèches propres.</t>
        </is>
      </c>
    </row>
    <row r="4">
      <c r="A4" t="inlineStr">
        <is>
          <t>GATE-L</t>
        </is>
      </c>
      <c r="B4" t="inlineStr">
        <is>
          <t>Grande porte gauche</t>
        </is>
      </c>
      <c r="C4" t="n">
        <v>3</v>
      </c>
      <c r="D4" t="n">
        <v>1300</v>
      </c>
      <c r="E4" t="n">
        <v>5</v>
      </c>
      <c r="F4" t="n">
        <v>180</v>
      </c>
      <c r="G4" t="n">
        <v>10</v>
      </c>
      <c r="H4" t="n">
        <v>110</v>
      </c>
      <c r="I4" t="n">
        <v>10</v>
      </c>
      <c r="J4" t="inlineStr">
        <is>
          <t>Porte indépendante; état, réparations et brèches propres.</t>
        </is>
      </c>
    </row>
    <row r="5">
      <c r="A5" t="inlineStr">
        <is>
          <t>GATE-R</t>
        </is>
      </c>
      <c r="B5" t="inlineStr">
        <is>
          <t>Grande porte droite</t>
        </is>
      </c>
      <c r="C5" t="n">
        <v>1</v>
      </c>
      <c r="D5" t="n">
        <v>500</v>
      </c>
      <c r="E5" t="n">
        <v>2</v>
      </c>
      <c r="F5" t="n">
        <v>80</v>
      </c>
      <c r="G5" t="n">
        <v>40</v>
      </c>
      <c r="H5" t="n">
        <v>25</v>
      </c>
      <c r="I5" t="n">
        <v>0</v>
      </c>
      <c r="J5" t="inlineStr">
        <is>
          <t>Porte indépendante; état, réparations et brèches propres.</t>
        </is>
      </c>
    </row>
    <row r="6">
      <c r="A6" t="inlineStr">
        <is>
          <t>GATE-R</t>
        </is>
      </c>
      <c r="B6" t="inlineStr">
        <is>
          <t>Grande porte droite</t>
        </is>
      </c>
      <c r="C6" t="n">
        <v>2</v>
      </c>
      <c r="D6" t="n">
        <v>850</v>
      </c>
      <c r="E6" t="n">
        <v>3</v>
      </c>
      <c r="F6" t="n">
        <v>120</v>
      </c>
      <c r="G6" t="n">
        <v>20</v>
      </c>
      <c r="H6" t="n">
        <v>65</v>
      </c>
      <c r="I6" t="n">
        <v>0</v>
      </c>
      <c r="J6" t="inlineStr">
        <is>
          <t>Porte indépendante; état, réparations et brèches propres.</t>
        </is>
      </c>
    </row>
    <row r="7">
      <c r="A7" t="inlineStr">
        <is>
          <t>GATE-R</t>
        </is>
      </c>
      <c r="B7" t="inlineStr">
        <is>
          <t>Grande porte droite</t>
        </is>
      </c>
      <c r="C7" t="n">
        <v>3</v>
      </c>
      <c r="D7" t="n">
        <v>1300</v>
      </c>
      <c r="E7" t="n">
        <v>5</v>
      </c>
      <c r="F7" t="n">
        <v>180</v>
      </c>
      <c r="G7" t="n">
        <v>10</v>
      </c>
      <c r="H7" t="n">
        <v>110</v>
      </c>
      <c r="I7" t="n">
        <v>10</v>
      </c>
      <c r="J7" t="inlineStr">
        <is>
          <t>Porte indépendante; état, réparations et brèches propres.</t>
        </is>
      </c>
    </row>
    <row r="8">
      <c r="A8" t="inlineStr">
        <is>
          <t>WALL</t>
        </is>
      </c>
      <c r="B8" t="inlineStr">
        <is>
          <t>Segment de mur</t>
        </is>
      </c>
      <c r="C8" t="n">
        <v>1</v>
      </c>
      <c r="D8" t="n">
        <v>300</v>
      </c>
      <c r="E8" t="n">
        <v>1</v>
      </c>
      <c r="F8" t="n">
        <v>30</v>
      </c>
      <c r="G8" t="n">
        <v>25</v>
      </c>
      <c r="H8" t="n">
        <v>0</v>
      </c>
      <c r="I8" t="n">
        <v>0</v>
      </c>
      <c r="J8" t="inlineStr">
        <is>
          <t>Dégâts localisés; le segment détruit crée une brèche.</t>
        </is>
      </c>
    </row>
    <row r="9">
      <c r="A9" t="inlineStr">
        <is>
          <t>WALL</t>
        </is>
      </c>
      <c r="B9" t="inlineStr">
        <is>
          <t>Segment de mur</t>
        </is>
      </c>
      <c r="C9" t="n">
        <v>2</v>
      </c>
      <c r="D9" t="n">
        <v>550</v>
      </c>
      <c r="E9" t="n">
        <v>1</v>
      </c>
      <c r="F9" t="n">
        <v>50</v>
      </c>
      <c r="G9" t="n">
        <v>10</v>
      </c>
      <c r="H9" t="n">
        <v>20</v>
      </c>
      <c r="I9" t="n">
        <v>0</v>
      </c>
      <c r="J9" t="inlineStr">
        <is>
          <t>Dégâts localisés; le segment détruit crée une brèche.</t>
        </is>
      </c>
    </row>
    <row r="10">
      <c r="A10" t="inlineStr">
        <is>
          <t>WALL</t>
        </is>
      </c>
      <c r="B10" t="inlineStr">
        <is>
          <t>Segment de mur</t>
        </is>
      </c>
      <c r="C10" t="n">
        <v>3</v>
      </c>
      <c r="D10" t="n">
        <v>900</v>
      </c>
      <c r="E10" t="n">
        <v>1</v>
      </c>
      <c r="F10" t="n">
        <v>70</v>
      </c>
      <c r="G10" t="n">
        <v>0</v>
      </c>
      <c r="H10" t="n">
        <v>55</v>
      </c>
      <c r="I10" t="n">
        <v>0</v>
      </c>
      <c r="J10" t="inlineStr">
        <is>
          <t>Dégâts localisés; le segment détruit crée une brèche.</t>
        </is>
      </c>
    </row>
    <row r="11">
      <c r="A11" t="inlineStr">
        <is>
          <t>TOWER</t>
        </is>
      </c>
      <c r="B11" t="inlineStr">
        <is>
          <t>Tour de guet</t>
        </is>
      </c>
      <c r="C11" t="n">
        <v>1</v>
      </c>
      <c r="E11" t="n">
        <v>2</v>
      </c>
      <c r="F11" t="n">
        <v>55</v>
      </c>
      <c r="G11" t="n">
        <v>25</v>
      </c>
      <c r="H11" t="n">
        <v>10</v>
      </c>
      <c r="I11" t="n">
        <v>0</v>
      </c>
      <c r="J11" t="inlineStr">
        <is>
          <t>2 gardes; améliore détection et tir depuis le secteur.</t>
        </is>
      </c>
    </row>
    <row r="12">
      <c r="A12" t="inlineStr">
        <is>
          <t>BUNKER</t>
        </is>
      </c>
      <c r="B12" t="inlineStr">
        <is>
          <t>Bunker</t>
        </is>
      </c>
      <c r="C12" t="n">
        <v>1</v>
      </c>
      <c r="E12" t="n">
        <v>3</v>
      </c>
      <c r="F12" t="n">
        <v>80</v>
      </c>
      <c r="G12" t="n">
        <v>0</v>
      </c>
      <c r="H12" t="n">
        <v>60</v>
      </c>
      <c r="I12" t="n">
        <v>0</v>
      </c>
      <c r="J12" t="inlineStr">
        <is>
          <t>2 gardes; réduit l'exposition des défenseurs.</t>
        </is>
      </c>
    </row>
    <row r="13">
      <c r="A13" t="inlineStr">
        <is>
          <t>LIGHT</t>
        </is>
      </c>
      <c r="B13" t="inlineStr">
        <is>
          <t>Éclairage défensif</t>
        </is>
      </c>
      <c r="C13" t="n">
        <v>1</v>
      </c>
      <c r="E13" t="n">
        <v>1</v>
      </c>
      <c r="F13" t="n">
        <v>15</v>
      </c>
      <c r="G13" t="n">
        <v>0</v>
      </c>
      <c r="H13" t="n">
        <v>0</v>
      </c>
      <c r="I13" t="n">
        <v>8</v>
      </c>
      <c r="J13" t="inlineStr">
        <is>
          <t>Consomme 2 unités d'énergie par nuit.</t>
        </is>
      </c>
    </row>
    <row r="14">
      <c r="A14" t="inlineStr">
        <is>
          <t>WPN-MG</t>
        </is>
      </c>
      <c r="B14" t="inlineStr">
        <is>
          <t>Mitrailleuse lourde fixe</t>
        </is>
      </c>
      <c r="C14" t="n">
        <v>1</v>
      </c>
      <c r="E14" t="n">
        <v>2</v>
      </c>
      <c r="F14" t="n">
        <v>70</v>
      </c>
      <c r="G14" t="n">
        <v>0</v>
      </c>
      <c r="H14" t="n">
        <v>35</v>
      </c>
      <c r="I14" t="n">
        <v>5</v>
      </c>
      <c r="J14" t="inlineStr">
        <is>
          <t>Équipe 2; consommation/attaque 40 unités. Bonne cadence, consommation élevée de munitions.</t>
        </is>
      </c>
    </row>
    <row r="15">
      <c r="A15" t="inlineStr">
        <is>
          <t>WPN-CAN</t>
        </is>
      </c>
      <c r="B15" t="inlineStr">
        <is>
          <t>Canon de défense</t>
        </is>
      </c>
      <c r="C15" t="n">
        <v>1</v>
      </c>
      <c r="E15" t="n">
        <v>2</v>
      </c>
      <c r="F15" t="n">
        <v>100</v>
      </c>
      <c r="G15" t="n">
        <v>0</v>
      </c>
      <c r="H15" t="n">
        <v>80</v>
      </c>
      <c r="I15" t="n">
        <v>8</v>
      </c>
      <c r="J15" t="inlineStr">
        <is>
          <t>Équipe 3; consommation/attaque 12 unités. Fort contre véhicules et brèches; lent, munitions coûteuses.</t>
        </is>
      </c>
    </row>
    <row r="16">
      <c r="A16" t="inlineStr">
        <is>
          <t>WPN-MOR</t>
        </is>
      </c>
      <c r="B16" t="inlineStr">
        <is>
          <t>Mortier</t>
        </is>
      </c>
      <c r="C16" t="n">
        <v>1</v>
      </c>
      <c r="E16" t="n">
        <v>2</v>
      </c>
      <c r="F16" t="n">
        <v>90</v>
      </c>
      <c r="G16" t="n">
        <v>0</v>
      </c>
      <c r="H16" t="n">
        <v>55</v>
      </c>
      <c r="I16" t="n">
        <v>10</v>
      </c>
      <c r="J16" t="inlineStr">
        <is>
          <t>Équipe 3; consommation/attaque 8 unités. Tire indirectement; efficacité réduite à courte portée et risque de dégâts collatéraux.</t>
        </is>
      </c>
    </row>
  </sheetData>
  <autoFilter ref="A1:J16"/>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31" customWidth="1" min="4" max="4"/>
    <col width="42" customWidth="1" min="5" max="5"/>
  </cols>
  <sheetData>
    <row r="1" ht="32" customHeight="1">
      <c r="A1" s="28" t="inlineStr">
        <is>
          <t>Système</t>
        </is>
      </c>
      <c r="B1" s="28" t="inlineStr">
        <is>
          <t>Indicateur</t>
        </is>
      </c>
      <c r="C1" s="28" t="inlineStr">
        <is>
          <t>Valeur</t>
        </is>
      </c>
      <c r="D1" s="28" t="inlineStr">
        <is>
          <t>Unité / définition</t>
        </is>
      </c>
      <c r="E1" s="28" t="inlineStr">
        <is>
          <t>Règle</t>
        </is>
      </c>
    </row>
    <row r="2">
      <c r="A2" t="inlineStr">
        <is>
          <t>Population</t>
        </is>
      </c>
      <c r="B2" t="inlineStr">
        <is>
          <t>Nourriture</t>
        </is>
      </c>
      <c r="C2" t="n">
        <v>1</v>
      </c>
      <c r="D2" t="inlineStr">
        <is>
          <t>unité/personne/jour</t>
        </is>
      </c>
      <c r="E2" t="inlineStr">
        <is>
          <t>Alerte sous 2 jours de stock; critique sous 1 jour.</t>
        </is>
      </c>
    </row>
    <row r="3">
      <c r="A3" t="inlineStr">
        <is>
          <t>Population</t>
        </is>
      </c>
      <c r="B3" t="inlineStr">
        <is>
          <t>Eau</t>
        </is>
      </c>
      <c r="C3" t="n">
        <v>5</v>
      </c>
      <c r="D3" t="inlineStr">
        <is>
          <t>L/personne/jour</t>
        </is>
      </c>
      <c r="E3" t="inlineStr">
        <is>
          <t>L'eau reste un stock unique mesuré en litres.</t>
        </is>
      </c>
    </row>
    <row r="4">
      <c r="A4" t="inlineStr">
        <is>
          <t>Captif</t>
        </is>
      </c>
      <c r="B4" t="inlineStr">
        <is>
          <t>Nourriture</t>
        </is>
      </c>
      <c r="C4" t="n">
        <v>1</v>
      </c>
      <c r="D4" t="inlineStr">
        <is>
          <t>unité/captif/jour</t>
        </is>
      </c>
      <c r="E4" t="inlineStr">
        <is>
          <t>Toujours consommée, même si le captif ne travaille pas.</t>
        </is>
      </c>
    </row>
    <row r="5">
      <c r="A5" t="inlineStr">
        <is>
          <t>Captif</t>
        </is>
      </c>
      <c r="B5" t="inlineStr">
        <is>
          <t>Eau</t>
        </is>
      </c>
      <c r="C5" t="n">
        <v>4</v>
      </c>
      <c r="D5" t="inlineStr">
        <is>
          <t>L/captif/jour</t>
        </is>
      </c>
      <c r="E5" t="inlineStr">
        <is>
          <t>Ne pas faire de la captivité une ressource gratuite.</t>
        </is>
      </c>
    </row>
    <row r="6">
      <c r="A6" t="inlineStr">
        <is>
          <t>Véhicule</t>
        </is>
      </c>
      <c r="B6" t="inlineStr">
        <is>
          <t>Carburant</t>
        </is>
      </c>
      <c r="D6" t="inlineStr">
        <is>
          <t>L/100 km par classe et moteur</t>
        </is>
      </c>
      <c r="E6" t="inlineStr">
        <is>
          <t>Un seul stock de carburant; moteur garde son type et sa compatibilité.</t>
        </is>
      </c>
    </row>
    <row r="7">
      <c r="A7" t="inlineStr">
        <is>
          <t>Expédition</t>
        </is>
      </c>
      <c r="B7" t="inlineStr">
        <is>
          <t>Rapport</t>
        </is>
      </c>
      <c r="D7" t="inlineStr">
        <is>
          <t>Champs obligatoires</t>
        </is>
      </c>
      <c r="E7" t="inlineStr">
        <is>
          <t>Distance, temps, carburant, provisions, munitions, dégâts, blessures, butin, réputation.</t>
        </is>
      </c>
    </row>
    <row r="8">
      <c r="A8" t="inlineStr">
        <is>
          <t>Hors ligne</t>
        </is>
      </c>
      <c r="B8" t="inlineStr">
        <is>
          <t>Plafond</t>
        </is>
      </c>
      <c r="C8" t="n">
        <v>12</v>
      </c>
      <c r="D8" t="inlineStr">
        <is>
          <t>heures</t>
        </is>
      </c>
      <c r="E8" t="inlineStr">
        <is>
          <t>Résumé au retour; aucune mort/perte majeure silencieuse.</t>
        </is>
      </c>
    </row>
    <row r="9">
      <c r="A9" t="inlineStr">
        <is>
          <t>Alerte stocks</t>
        </is>
      </c>
      <c r="B9" t="inlineStr">
        <is>
          <t>Pré-alerte</t>
        </is>
      </c>
      <c r="C9" t="n">
        <v>2</v>
      </c>
      <c r="D9" t="inlineStr">
        <is>
          <t>jours d'autonomie</t>
        </is>
      </c>
      <c r="E9" t="inlineStr">
        <is>
          <t>Calculée sur consommation prévisionnelle réelle.</t>
        </is>
      </c>
    </row>
    <row r="10">
      <c r="A10" t="inlineStr">
        <is>
          <t>Alerte stocks</t>
        </is>
      </c>
      <c r="B10" t="inlineStr">
        <is>
          <t>Critique</t>
        </is>
      </c>
      <c r="C10" t="n">
        <v>1</v>
      </c>
      <c r="D10" t="inlineStr">
        <is>
          <t>jour d'autonomie</t>
        </is>
      </c>
      <c r="E10" t="inlineStr">
        <is>
          <t>Afficher rationnement ou production à prioriser.</t>
        </is>
      </c>
    </row>
  </sheetData>
  <autoFilter ref="A1:E10"/>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276"/>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40" customWidth="1" min="3" max="3"/>
    <col width="28" customWidth="1" min="4" max="4"/>
    <col width="42" customWidth="1" min="5" max="5"/>
    <col width="34" customWidth="1" min="6" max="6"/>
    <col width="42" customWidth="1" min="7" max="7"/>
  </cols>
  <sheetData>
    <row r="1" ht="32" customHeight="1">
      <c r="A1" s="28" t="inlineStr">
        <is>
          <t>ID</t>
        </is>
      </c>
      <c r="B1" s="28" t="inlineStr">
        <is>
          <t>Modèle</t>
        </is>
      </c>
      <c r="C1" s="28" t="inlineStr">
        <is>
          <t>Catégorie</t>
        </is>
      </c>
      <c r="D1" s="28" t="inlineStr">
        <is>
          <t>Nombre de champs manquants</t>
        </is>
      </c>
      <c r="E1" s="28" t="inlineStr">
        <is>
          <t>Champs à compléter</t>
        </is>
      </c>
      <c r="F1" s="28" t="inlineStr">
        <is>
          <t>Action</t>
        </is>
      </c>
      <c r="G1" s="28" t="inlineStr">
        <is>
          <t>Niveau de confiance conseillé</t>
        </is>
      </c>
    </row>
    <row r="2">
      <c r="A2" t="inlineStr">
        <is>
          <t>VEH-001</t>
        </is>
      </c>
      <c r="B2" t="inlineStr">
        <is>
          <t>Citroën Traction Avant</t>
        </is>
      </c>
      <c r="C2" t="inlineStr">
        <is>
          <t>Voitures civiles et utilitaires légers</t>
        </is>
      </c>
      <c r="D2" t="n">
        <v>10</v>
      </c>
      <c r="E2" t="inlineStr">
        <is>
          <t>Masse à vide (kg), Longueur (m), Largeur (m), Hauteur (m), Cylindrée (L), Puissance (ch), Capacité carburant (L), Consommation historique (L/100 km), Vitesse max (km/h), Autonomie historique (km)</t>
        </is>
      </c>
      <c r="F2" t="inlineStr">
        <is>
          <t>Estimation gameplay à renseigner</t>
        </is>
      </c>
      <c r="G2" t="inlineStr">
        <is>
          <t>C si véhicule courant/variante connue; D si prototype ou variante ambiguë</t>
        </is>
      </c>
    </row>
    <row r="3">
      <c r="A3" t="inlineStr">
        <is>
          <t>VEH-002</t>
        </is>
      </c>
      <c r="B3" t="inlineStr">
        <is>
          <t>Citroën Type 23</t>
        </is>
      </c>
      <c r="C3" t="inlineStr">
        <is>
          <t>Camions légers et moyens</t>
        </is>
      </c>
      <c r="D3" t="n">
        <v>10</v>
      </c>
      <c r="E3" t="inlineStr">
        <is>
          <t>Masse à vide (kg), Longueur (m), Largeur (m), Hauteur (m), Cylindrée (L), Puissance (ch), Capacité carburant (L), Consommation historique (L/100 km), Vitesse max (km/h), Autonomie historique (km)</t>
        </is>
      </c>
      <c r="F3" t="inlineStr">
        <is>
          <t>Estimation gameplay à renseigner</t>
        </is>
      </c>
      <c r="G3" t="inlineStr">
        <is>
          <t>C si véhicule courant/variante connue; D si prototype ou variante ambiguë</t>
        </is>
      </c>
    </row>
    <row r="4">
      <c r="A4" t="inlineStr">
        <is>
          <t>VEH-003</t>
        </is>
      </c>
      <c r="B4" t="inlineStr">
        <is>
          <t>Peugeot 202</t>
        </is>
      </c>
      <c r="C4" t="inlineStr">
        <is>
          <t>Voitures civiles et utilitaires légers</t>
        </is>
      </c>
      <c r="D4" t="n">
        <v>10</v>
      </c>
      <c r="E4" t="inlineStr">
        <is>
          <t>Masse à vide (kg), Longueur (m), Largeur (m), Hauteur (m), Cylindrée (L), Puissance (ch), Capacité carburant (L), Consommation historique (L/100 km), Vitesse max (km/h), Autonomie historique (km)</t>
        </is>
      </c>
      <c r="F4" t="inlineStr">
        <is>
          <t>Estimation gameplay à renseigner</t>
        </is>
      </c>
      <c r="G4" t="inlineStr">
        <is>
          <t>C si véhicule courant/variante connue; D si prototype ou variante ambiguë</t>
        </is>
      </c>
    </row>
    <row r="5">
      <c r="A5" t="inlineStr">
        <is>
          <t>VEH-004</t>
        </is>
      </c>
      <c r="B5" t="inlineStr">
        <is>
          <t>Peugeot 402</t>
        </is>
      </c>
      <c r="C5" t="inlineStr">
        <is>
          <t>Voitures civiles et utilitaires légers</t>
        </is>
      </c>
      <c r="D5" t="n">
        <v>10</v>
      </c>
      <c r="E5" t="inlineStr">
        <is>
          <t>Masse à vide (kg), Longueur (m), Largeur (m), Hauteur (m), Cylindrée (L), Puissance (ch), Capacité carburant (L), Consommation historique (L/100 km), Vitesse max (km/h), Autonomie historique (km)</t>
        </is>
      </c>
      <c r="F5" t="inlineStr">
        <is>
          <t>Estimation gameplay à renseigner</t>
        </is>
      </c>
      <c r="G5" t="inlineStr">
        <is>
          <t>C si véhicule courant/variante connue; D si prototype ou variante ambiguë</t>
        </is>
      </c>
    </row>
    <row r="6">
      <c r="A6" t="inlineStr">
        <is>
          <t>VEH-005</t>
        </is>
      </c>
      <c r="B6" t="inlineStr">
        <is>
          <t>Renault Juvaquatre</t>
        </is>
      </c>
      <c r="C6" t="inlineStr">
        <is>
          <t>Voitures civiles et utilitaires légers</t>
        </is>
      </c>
      <c r="D6" t="n">
        <v>10</v>
      </c>
      <c r="E6" t="inlineStr">
        <is>
          <t>Masse à vide (kg), Longueur (m), Largeur (m), Hauteur (m), Cylindrée (L), Puissance (ch), Capacité carburant (L), Consommation historique (L/100 km), Vitesse max (km/h), Autonomie historique (km)</t>
        </is>
      </c>
      <c r="F6" t="inlineStr">
        <is>
          <t>Estimation gameplay à renseigner</t>
        </is>
      </c>
      <c r="G6" t="inlineStr">
        <is>
          <t>C si véhicule courant/variante connue; D si prototype ou variante ambiguë</t>
        </is>
      </c>
    </row>
    <row r="7">
      <c r="A7" t="inlineStr">
        <is>
          <t>VEH-006</t>
        </is>
      </c>
      <c r="B7" t="inlineStr">
        <is>
          <t>Renault Primaquatre</t>
        </is>
      </c>
      <c r="C7" t="inlineStr">
        <is>
          <t>Voitures civiles et utilitaires légers</t>
        </is>
      </c>
      <c r="D7" t="n">
        <v>10</v>
      </c>
      <c r="E7" t="inlineStr">
        <is>
          <t>Masse à vide (kg), Longueur (m), Largeur (m), Hauteur (m), Cylindrée (L), Puissance (ch), Capacité carburant (L), Consommation historique (L/100 km), Vitesse max (km/h), Autonomie historique (km)</t>
        </is>
      </c>
      <c r="F7" t="inlineStr">
        <is>
          <t>Estimation gameplay à renseigner</t>
        </is>
      </c>
      <c r="G7" t="inlineStr">
        <is>
          <t>C si véhicule courant/variante connue; D si prototype ou variante ambiguë</t>
        </is>
      </c>
    </row>
    <row r="8">
      <c r="A8" t="inlineStr">
        <is>
          <t>VEH-007</t>
        </is>
      </c>
      <c r="B8" t="inlineStr">
        <is>
          <t>Ford Model T</t>
        </is>
      </c>
      <c r="C8" t="inlineStr">
        <is>
          <t>Voitures civiles et utilitaires légers</t>
        </is>
      </c>
      <c r="D8" t="n">
        <v>10</v>
      </c>
      <c r="E8" t="inlineStr">
        <is>
          <t>Masse à vide (kg), Longueur (m), Largeur (m), Hauteur (m), Cylindrée (L), Puissance (ch), Capacité carburant (L), Consommation historique (L/100 km), Vitesse max (km/h), Autonomie historique (km)</t>
        </is>
      </c>
      <c r="F8" t="inlineStr">
        <is>
          <t>Estimation gameplay à renseigner</t>
        </is>
      </c>
      <c r="G8" t="inlineStr">
        <is>
          <t>C si véhicule courant/variante connue; D si prototype ou variante ambiguë</t>
        </is>
      </c>
    </row>
    <row r="9">
      <c r="A9" t="inlineStr">
        <is>
          <t>VEH-008</t>
        </is>
      </c>
      <c r="B9" t="inlineStr">
        <is>
          <t>Ford Model A</t>
        </is>
      </c>
      <c r="C9" t="inlineStr">
        <is>
          <t>Voitures civiles et utilitaires légers</t>
        </is>
      </c>
      <c r="D9" t="n">
        <v>10</v>
      </c>
      <c r="E9" t="inlineStr">
        <is>
          <t>Masse à vide (kg), Longueur (m), Largeur (m), Hauteur (m), Cylindrée (L), Puissance (ch), Capacité carburant (L), Consommation historique (L/100 km), Vitesse max (km/h), Autonomie historique (km)</t>
        </is>
      </c>
      <c r="F9" t="inlineStr">
        <is>
          <t>Estimation gameplay à renseigner</t>
        </is>
      </c>
      <c r="G9" t="inlineStr">
        <is>
          <t>C si véhicule courant/variante connue; D si prototype ou variante ambiguë</t>
        </is>
      </c>
    </row>
    <row r="10">
      <c r="A10" t="inlineStr">
        <is>
          <t>VEH-009</t>
        </is>
      </c>
      <c r="B10" t="inlineStr">
        <is>
          <t>Ford V8 (années 1930)</t>
        </is>
      </c>
      <c r="C10" t="inlineStr">
        <is>
          <t>Voitures civiles et utilitaires légers</t>
        </is>
      </c>
      <c r="D10" t="n">
        <v>10</v>
      </c>
      <c r="E10" t="inlineStr">
        <is>
          <t>Masse à vide (kg), Longueur (m), Largeur (m), Hauteur (m), Cylindrée (L), Puissance (ch), Capacité carburant (L), Consommation historique (L/100 km), Vitesse max (km/h), Autonomie historique (km)</t>
        </is>
      </c>
      <c r="F10" t="inlineStr">
        <is>
          <t>Estimation gameplay à renseigner</t>
        </is>
      </c>
      <c r="G10" t="inlineStr">
        <is>
          <t>C si véhicule courant/variante connue; D si prototype ou variante ambiguë</t>
        </is>
      </c>
    </row>
    <row r="11">
      <c r="A11" t="inlineStr">
        <is>
          <t>VEH-010</t>
        </is>
      </c>
      <c r="B11" t="inlineStr">
        <is>
          <t>Chevrolet Master / Special Deluxe</t>
        </is>
      </c>
      <c r="C11" t="inlineStr">
        <is>
          <t>Voitures civiles et utilitaires légers</t>
        </is>
      </c>
      <c r="D11" t="n">
        <v>10</v>
      </c>
      <c r="E11" t="inlineStr">
        <is>
          <t>Masse à vide (kg), Longueur (m), Largeur (m), Hauteur (m), Cylindrée (L), Puissance (ch), Capacité carburant (L), Consommation historique (L/100 km), Vitesse max (km/h), Autonomie historique (km)</t>
        </is>
      </c>
      <c r="F11" t="inlineStr">
        <is>
          <t>Estimation gameplay à renseigner</t>
        </is>
      </c>
      <c r="G11" t="inlineStr">
        <is>
          <t>C si véhicule courant/variante connue; D si prototype ou variante ambiguë</t>
        </is>
      </c>
    </row>
    <row r="12">
      <c r="A12" t="inlineStr">
        <is>
          <t>VEH-011</t>
        </is>
      </c>
      <c r="B12" t="inlineStr">
        <is>
          <t>Dodge WC-1 / WC-12</t>
        </is>
      </c>
      <c r="C12" t="inlineStr">
        <is>
          <t>Voitures civiles et utilitaires légers</t>
        </is>
      </c>
      <c r="D12" t="n">
        <v>10</v>
      </c>
      <c r="E12" t="inlineStr">
        <is>
          <t>Masse à vide (kg), Longueur (m), Largeur (m), Hauteur (m), Cylindrée (L), Puissance (ch), Capacité carburant (L), Consommation historique (L/100 km), Vitesse max (km/h), Autonomie historique (km)</t>
        </is>
      </c>
      <c r="F12" t="inlineStr">
        <is>
          <t>Estimation gameplay à renseigner</t>
        </is>
      </c>
      <c r="G12" t="inlineStr">
        <is>
          <t>C si véhicule courant/variante connue; D si prototype ou variante ambiguë</t>
        </is>
      </c>
    </row>
    <row r="13">
      <c r="A13" t="inlineStr">
        <is>
          <t>VEH-012</t>
        </is>
      </c>
      <c r="B13" t="inlineStr">
        <is>
          <t>Willys MB</t>
        </is>
      </c>
      <c r="C13" t="inlineStr">
        <is>
          <t>Voitures civiles et utilitaires légers</t>
        </is>
      </c>
      <c r="D13" t="n">
        <v>2</v>
      </c>
      <c r="E13" t="inlineStr">
        <is>
          <t>Consommation historique (L/100 km), Autonomie historique (km)</t>
        </is>
      </c>
      <c r="F13" t="inlineStr">
        <is>
          <t>Estimation gameplay à renseigner</t>
        </is>
      </c>
      <c r="G13" t="inlineStr">
        <is>
          <t>C si véhicule courant/variante connue; D si prototype ou variante ambiguë</t>
        </is>
      </c>
    </row>
    <row r="14">
      <c r="A14" t="inlineStr">
        <is>
          <t>VEH-013</t>
        </is>
      </c>
      <c r="B14" t="inlineStr">
        <is>
          <t>Ford GPW</t>
        </is>
      </c>
      <c r="C14" t="inlineStr">
        <is>
          <t>Voitures civiles et utilitaires légers</t>
        </is>
      </c>
      <c r="D14" t="n">
        <v>10</v>
      </c>
      <c r="E14" t="inlineStr">
        <is>
          <t>Masse à vide (kg), Longueur (m), Largeur (m), Hauteur (m), Cylindrée (L), Puissance (ch), Capacité carburant (L), Consommation historique (L/100 km), Vitesse max (km/h), Autonomie historique (km)</t>
        </is>
      </c>
      <c r="F14" t="inlineStr">
        <is>
          <t>Estimation gameplay à renseigner</t>
        </is>
      </c>
      <c r="G14" t="inlineStr">
        <is>
          <t>C si véhicule courant/variante connue; D si prototype ou variante ambiguë</t>
        </is>
      </c>
    </row>
    <row r="15">
      <c r="A15" t="inlineStr">
        <is>
          <t>VEH-014</t>
        </is>
      </c>
      <c r="B15" t="inlineStr">
        <is>
          <t>Volkswagen Kübelwagen Type 82</t>
        </is>
      </c>
      <c r="C15" t="inlineStr">
        <is>
          <t>Voitures civiles et utilitaires légers</t>
        </is>
      </c>
      <c r="D15" t="n">
        <v>10</v>
      </c>
      <c r="E15" t="inlineStr">
        <is>
          <t>Masse à vide (kg), Longueur (m), Largeur (m), Hauteur (m), Cylindrée (L), Puissance (ch), Capacité carburant (L), Consommation historique (L/100 km), Vitesse max (km/h), Autonomie historique (km)</t>
        </is>
      </c>
      <c r="F15" t="inlineStr">
        <is>
          <t>Estimation gameplay à renseigner</t>
        </is>
      </c>
      <c r="G15" t="inlineStr">
        <is>
          <t>C si véhicule courant/variante connue; D si prototype ou variante ambiguë</t>
        </is>
      </c>
    </row>
    <row r="16">
      <c r="A16" t="inlineStr">
        <is>
          <t>VEH-015</t>
        </is>
      </c>
      <c r="B16" t="inlineStr">
        <is>
          <t>Volkswagen Schwimmwagen Type 166</t>
        </is>
      </c>
      <c r="C16" t="inlineStr">
        <is>
          <t>Voitures civiles et utilitaires légers</t>
        </is>
      </c>
      <c r="D16" t="n">
        <v>10</v>
      </c>
      <c r="E16" t="inlineStr">
        <is>
          <t>Masse à vide (kg), Longueur (m), Largeur (m), Hauteur (m), Cylindrée (L), Puissance (ch), Capacité carburant (L), Consommation historique (L/100 km), Vitesse max (km/h), Autonomie historique (km)</t>
        </is>
      </c>
      <c r="F16" t="inlineStr">
        <is>
          <t>Estimation gameplay à renseigner</t>
        </is>
      </c>
      <c r="G16" t="inlineStr">
        <is>
          <t>C si véhicule courant/variante connue; D si prototype ou variante ambiguë</t>
        </is>
      </c>
    </row>
    <row r="17">
      <c r="A17" t="inlineStr">
        <is>
          <t>VEH-016</t>
        </is>
      </c>
      <c r="B17" t="inlineStr">
        <is>
          <t>Mercedes-Benz 170 V</t>
        </is>
      </c>
      <c r="C17" t="inlineStr">
        <is>
          <t>Voitures civiles et utilitaires légers</t>
        </is>
      </c>
      <c r="D17" t="n">
        <v>10</v>
      </c>
      <c r="E17" t="inlineStr">
        <is>
          <t>Masse à vide (kg), Longueur (m), Largeur (m), Hauteur (m), Cylindrée (L), Puissance (ch), Capacité carburant (L), Consommation historique (L/100 km), Vitesse max (km/h), Autonomie historique (km)</t>
        </is>
      </c>
      <c r="F17" t="inlineStr">
        <is>
          <t>Estimation gameplay à renseigner</t>
        </is>
      </c>
      <c r="G17" t="inlineStr">
        <is>
          <t>C si véhicule courant/variante connue; D si prototype ou variante ambiguë</t>
        </is>
      </c>
    </row>
    <row r="18">
      <c r="A18" t="inlineStr">
        <is>
          <t>VEH-017</t>
        </is>
      </c>
      <c r="B18" t="inlineStr">
        <is>
          <t>Opel Olympia</t>
        </is>
      </c>
      <c r="C18" t="inlineStr">
        <is>
          <t>Voitures civiles et utilitaires légers</t>
        </is>
      </c>
      <c r="D18" t="n">
        <v>10</v>
      </c>
      <c r="E18" t="inlineStr">
        <is>
          <t>Masse à vide (kg), Longueur (m), Largeur (m), Hauteur (m), Cylindrée (L), Puissance (ch), Capacité carburant (L), Consommation historique (L/100 km), Vitesse max (km/h), Autonomie historique (km)</t>
        </is>
      </c>
      <c r="F18" t="inlineStr">
        <is>
          <t>Estimation gameplay à renseigner</t>
        </is>
      </c>
      <c r="G18" t="inlineStr">
        <is>
          <t>C si véhicule courant/variante connue; D si prototype ou variante ambiguë</t>
        </is>
      </c>
    </row>
    <row r="19">
      <c r="A19" t="inlineStr">
        <is>
          <t>VEH-018</t>
        </is>
      </c>
      <c r="B19" t="inlineStr">
        <is>
          <t>Horch 830 / 901</t>
        </is>
      </c>
      <c r="C19" t="inlineStr">
        <is>
          <t>Voitures civiles et utilitaires légers</t>
        </is>
      </c>
      <c r="D19" t="n">
        <v>10</v>
      </c>
      <c r="E19" t="inlineStr">
        <is>
          <t>Masse à vide (kg), Longueur (m), Largeur (m), Hauteur (m), Cylindrée (L), Puissance (ch), Capacité carburant (L), Consommation historique (L/100 km), Vitesse max (km/h), Autonomie historique (km)</t>
        </is>
      </c>
      <c r="F19" t="inlineStr">
        <is>
          <t>Estimation gameplay à renseigner</t>
        </is>
      </c>
      <c r="G19" t="inlineStr">
        <is>
          <t>C si véhicule courant/variante connue; D si prototype ou variante ambiguë</t>
        </is>
      </c>
    </row>
    <row r="20">
      <c r="A20" t="inlineStr">
        <is>
          <t>VEH-019</t>
        </is>
      </c>
      <c r="B20" t="inlineStr">
        <is>
          <t>BMW 326</t>
        </is>
      </c>
      <c r="C20" t="inlineStr">
        <is>
          <t>Voitures civiles et utilitaires légers</t>
        </is>
      </c>
      <c r="D20" t="n">
        <v>10</v>
      </c>
      <c r="E20" t="inlineStr">
        <is>
          <t>Masse à vide (kg), Longueur (m), Largeur (m), Hauteur (m), Cylindrée (L), Puissance (ch), Capacité carburant (L), Consommation historique (L/100 km), Vitesse max (km/h), Autonomie historique (km)</t>
        </is>
      </c>
      <c r="F20" t="inlineStr">
        <is>
          <t>Estimation gameplay à renseigner</t>
        </is>
      </c>
      <c r="G20" t="inlineStr">
        <is>
          <t>C si véhicule courant/variante connue; D si prototype ou variante ambiguë</t>
        </is>
      </c>
    </row>
    <row r="21">
      <c r="A21" t="inlineStr">
        <is>
          <t>VEH-020</t>
        </is>
      </c>
      <c r="B21" t="inlineStr">
        <is>
          <t>Fiat 508 Balilla</t>
        </is>
      </c>
      <c r="C21" t="inlineStr">
        <is>
          <t>Voitures civiles et utilitaires légers</t>
        </is>
      </c>
      <c r="D21" t="n">
        <v>10</v>
      </c>
      <c r="E21" t="inlineStr">
        <is>
          <t>Masse à vide (kg), Longueur (m), Largeur (m), Hauteur (m), Cylindrée (L), Puissance (ch), Capacité carburant (L), Consommation historique (L/100 km), Vitesse max (km/h), Autonomie historique (km)</t>
        </is>
      </c>
      <c r="F21" t="inlineStr">
        <is>
          <t>Estimation gameplay à renseigner</t>
        </is>
      </c>
      <c r="G21" t="inlineStr">
        <is>
          <t>C si véhicule courant/variante connue; D si prototype ou variante ambiguë</t>
        </is>
      </c>
    </row>
    <row r="22">
      <c r="A22" t="inlineStr">
        <is>
          <t>VEH-021</t>
        </is>
      </c>
      <c r="B22" t="inlineStr">
        <is>
          <t>Fiat 1100</t>
        </is>
      </c>
      <c r="C22" t="inlineStr">
        <is>
          <t>Voitures civiles et utilitaires légers</t>
        </is>
      </c>
      <c r="D22" t="n">
        <v>10</v>
      </c>
      <c r="E22" t="inlineStr">
        <is>
          <t>Masse à vide (kg), Longueur (m), Largeur (m), Hauteur (m), Cylindrée (L), Puissance (ch), Capacité carburant (L), Consommation historique (L/100 km), Vitesse max (km/h), Autonomie historique (km)</t>
        </is>
      </c>
      <c r="F22" t="inlineStr">
        <is>
          <t>Estimation gameplay à renseigner</t>
        </is>
      </c>
      <c r="G22" t="inlineStr">
        <is>
          <t>C si véhicule courant/variante connue; D si prototype ou variante ambiguë</t>
        </is>
      </c>
    </row>
    <row r="23">
      <c r="A23" t="inlineStr">
        <is>
          <t>VEH-022</t>
        </is>
      </c>
      <c r="B23" t="inlineStr">
        <is>
          <t>Lancia Aprilia</t>
        </is>
      </c>
      <c r="C23" t="inlineStr">
        <is>
          <t>Voitures civiles et utilitaires légers</t>
        </is>
      </c>
      <c r="D23" t="n">
        <v>10</v>
      </c>
      <c r="E23" t="inlineStr">
        <is>
          <t>Masse à vide (kg), Longueur (m), Largeur (m), Hauteur (m), Cylindrée (L), Puissance (ch), Capacité carburant (L), Consommation historique (L/100 km), Vitesse max (km/h), Autonomie historique (km)</t>
        </is>
      </c>
      <c r="F23" t="inlineStr">
        <is>
          <t>Estimation gameplay à renseigner</t>
        </is>
      </c>
      <c r="G23" t="inlineStr">
        <is>
          <t>C si véhicule courant/variante connue; D si prototype ou variante ambiguë</t>
        </is>
      </c>
    </row>
    <row r="24">
      <c r="A24" t="inlineStr">
        <is>
          <t>VEH-023</t>
        </is>
      </c>
      <c r="B24" t="inlineStr">
        <is>
          <t>Austin 10</t>
        </is>
      </c>
      <c r="C24" t="inlineStr">
        <is>
          <t>Voitures civiles et utilitaires légers</t>
        </is>
      </c>
      <c r="D24" t="n">
        <v>10</v>
      </c>
      <c r="E24" t="inlineStr">
        <is>
          <t>Masse à vide (kg), Longueur (m), Largeur (m), Hauteur (m), Cylindrée (L), Puissance (ch), Capacité carburant (L), Consommation historique (L/100 km), Vitesse max (km/h), Autonomie historique (km)</t>
        </is>
      </c>
      <c r="F24" t="inlineStr">
        <is>
          <t>Estimation gameplay à renseigner</t>
        </is>
      </c>
      <c r="G24" t="inlineStr">
        <is>
          <t>C si véhicule courant/variante connue; D si prototype ou variante ambiguë</t>
        </is>
      </c>
    </row>
    <row r="25">
      <c r="A25" t="inlineStr">
        <is>
          <t>VEH-024</t>
        </is>
      </c>
      <c r="B25" t="inlineStr">
        <is>
          <t>Morris 8</t>
        </is>
      </c>
      <c r="C25" t="inlineStr">
        <is>
          <t>Voitures civiles et utilitaires légers</t>
        </is>
      </c>
      <c r="D25" t="n">
        <v>10</v>
      </c>
      <c r="E25" t="inlineStr">
        <is>
          <t>Masse à vide (kg), Longueur (m), Largeur (m), Hauteur (m), Cylindrée (L), Puissance (ch), Capacité carburant (L), Consommation historique (L/100 km), Vitesse max (km/h), Autonomie historique (km)</t>
        </is>
      </c>
      <c r="F25" t="inlineStr">
        <is>
          <t>Estimation gameplay à renseigner</t>
        </is>
      </c>
      <c r="G25" t="inlineStr">
        <is>
          <t>C si véhicule courant/variante connue; D si prototype ou variante ambiguë</t>
        </is>
      </c>
    </row>
    <row r="26">
      <c r="A26" t="inlineStr">
        <is>
          <t>VEH-025</t>
        </is>
      </c>
      <c r="B26" t="inlineStr">
        <is>
          <t>Harley-Davidson WLA</t>
        </is>
      </c>
      <c r="C26" t="inlineStr">
        <is>
          <t>Motos et side-cars</t>
        </is>
      </c>
      <c r="D26" t="n">
        <v>10</v>
      </c>
      <c r="E26" t="inlineStr">
        <is>
          <t>Masse à vide (kg), Longueur (m), Largeur (m), Hauteur (m), Cylindrée (L), Puissance (ch), Capacité carburant (L), Consommation historique (L/100 km), Vitesse max (km/h), Autonomie historique (km)</t>
        </is>
      </c>
      <c r="F26" t="inlineStr">
        <is>
          <t>Estimation gameplay à renseigner</t>
        </is>
      </c>
      <c r="G26" t="inlineStr">
        <is>
          <t>C si véhicule courant/variante connue; D si prototype ou variante ambiguë</t>
        </is>
      </c>
    </row>
    <row r="27">
      <c r="A27" t="inlineStr">
        <is>
          <t>VEH-026</t>
        </is>
      </c>
      <c r="B27" t="inlineStr">
        <is>
          <t>Indian 741</t>
        </is>
      </c>
      <c r="C27" t="inlineStr">
        <is>
          <t>Motos et side-cars</t>
        </is>
      </c>
      <c r="D27" t="n">
        <v>10</v>
      </c>
      <c r="E27" t="inlineStr">
        <is>
          <t>Masse à vide (kg), Longueur (m), Largeur (m), Hauteur (m), Cylindrée (L), Puissance (ch), Capacité carburant (L), Consommation historique (L/100 km), Vitesse max (km/h), Autonomie historique (km)</t>
        </is>
      </c>
      <c r="F27" t="inlineStr">
        <is>
          <t>Estimation gameplay à renseigner</t>
        </is>
      </c>
      <c r="G27" t="inlineStr">
        <is>
          <t>C si véhicule courant/variante connue; D si prototype ou variante ambiguë</t>
        </is>
      </c>
    </row>
    <row r="28">
      <c r="A28" t="inlineStr">
        <is>
          <t>VEH-027</t>
        </is>
      </c>
      <c r="B28" t="inlineStr">
        <is>
          <t>BMW R75</t>
        </is>
      </c>
      <c r="C28" t="inlineStr">
        <is>
          <t>Motos et side-cars</t>
        </is>
      </c>
      <c r="D28" t="n">
        <v>2</v>
      </c>
      <c r="E28" t="inlineStr">
        <is>
          <t>Consommation historique (L/100 km), Autonomie historique (km)</t>
        </is>
      </c>
      <c r="F28" t="inlineStr">
        <is>
          <t>Estimation gameplay à renseigner</t>
        </is>
      </c>
      <c r="G28" t="inlineStr">
        <is>
          <t>C si véhicule courant/variante connue; D si prototype ou variante ambiguë</t>
        </is>
      </c>
    </row>
    <row r="29">
      <c r="A29" t="inlineStr">
        <is>
          <t>VEH-028</t>
        </is>
      </c>
      <c r="B29" t="inlineStr">
        <is>
          <t>Zündapp KS 750</t>
        </is>
      </c>
      <c r="C29" t="inlineStr">
        <is>
          <t>Motos et side-cars</t>
        </is>
      </c>
      <c r="D29" t="n">
        <v>10</v>
      </c>
      <c r="E29" t="inlineStr">
        <is>
          <t>Masse à vide (kg), Longueur (m), Largeur (m), Hauteur (m), Cylindrée (L), Puissance (ch), Capacité carburant (L), Consommation historique (L/100 km), Vitesse max (km/h), Autonomie historique (km)</t>
        </is>
      </c>
      <c r="F29" t="inlineStr">
        <is>
          <t>Estimation gameplay à renseigner</t>
        </is>
      </c>
      <c r="G29" t="inlineStr">
        <is>
          <t>C si véhicule courant/variante connue; D si prototype ou variante ambiguë</t>
        </is>
      </c>
    </row>
    <row r="30">
      <c r="A30" t="inlineStr">
        <is>
          <t>VEH-029</t>
        </is>
      </c>
      <c r="B30" t="inlineStr">
        <is>
          <t>NSU 251 OSL</t>
        </is>
      </c>
      <c r="C30" t="inlineStr">
        <is>
          <t>Motos et side-cars</t>
        </is>
      </c>
      <c r="D30" t="n">
        <v>10</v>
      </c>
      <c r="E30" t="inlineStr">
        <is>
          <t>Masse à vide (kg), Longueur (m), Largeur (m), Hauteur (m), Cylindrée (L), Puissance (ch), Capacité carburant (L), Consommation historique (L/100 km), Vitesse max (km/h), Autonomie historique (km)</t>
        </is>
      </c>
      <c r="F30" t="inlineStr">
        <is>
          <t>Estimation gameplay à renseigner</t>
        </is>
      </c>
      <c r="G30" t="inlineStr">
        <is>
          <t>C si véhicule courant/variante connue; D si prototype ou variante ambiguë</t>
        </is>
      </c>
    </row>
    <row r="31">
      <c r="A31" t="inlineStr">
        <is>
          <t>VEH-030</t>
        </is>
      </c>
      <c r="B31" t="inlineStr">
        <is>
          <t>BSA M20</t>
        </is>
      </c>
      <c r="C31" t="inlineStr">
        <is>
          <t>Motos et side-cars</t>
        </is>
      </c>
      <c r="D31" t="n">
        <v>10</v>
      </c>
      <c r="E31" t="inlineStr">
        <is>
          <t>Masse à vide (kg), Longueur (m), Largeur (m), Hauteur (m), Cylindrée (L), Puissance (ch), Capacité carburant (L), Consommation historique (L/100 km), Vitesse max (km/h), Autonomie historique (km)</t>
        </is>
      </c>
      <c r="F31" t="inlineStr">
        <is>
          <t>Estimation gameplay à renseigner</t>
        </is>
      </c>
      <c r="G31" t="inlineStr">
        <is>
          <t>C si véhicule courant/variante connue; D si prototype ou variante ambiguë</t>
        </is>
      </c>
    </row>
    <row r="32">
      <c r="A32" t="inlineStr">
        <is>
          <t>VEH-031</t>
        </is>
      </c>
      <c r="B32" t="inlineStr">
        <is>
          <t>Norton 16H</t>
        </is>
      </c>
      <c r="C32" t="inlineStr">
        <is>
          <t>Motos et side-cars</t>
        </is>
      </c>
      <c r="D32" t="n">
        <v>10</v>
      </c>
      <c r="E32" t="inlineStr">
        <is>
          <t>Masse à vide (kg), Longueur (m), Largeur (m), Hauteur (m), Cylindrée (L), Puissance (ch), Capacité carburant (L), Consommation historique (L/100 km), Vitesse max (km/h), Autonomie historique (km)</t>
        </is>
      </c>
      <c r="F32" t="inlineStr">
        <is>
          <t>Estimation gameplay à renseigner</t>
        </is>
      </c>
      <c r="G32" t="inlineStr">
        <is>
          <t>C si véhicule courant/variante connue; D si prototype ou variante ambiguë</t>
        </is>
      </c>
    </row>
    <row r="33">
      <c r="A33" t="inlineStr">
        <is>
          <t>VEH-032</t>
        </is>
      </c>
      <c r="B33" t="inlineStr">
        <is>
          <t>Royal Enfield WD/RE</t>
        </is>
      </c>
      <c r="C33" t="inlineStr">
        <is>
          <t>Motos et side-cars</t>
        </is>
      </c>
      <c r="D33" t="n">
        <v>10</v>
      </c>
      <c r="E33" t="inlineStr">
        <is>
          <t>Masse à vide (kg), Longueur (m), Largeur (m), Hauteur (m), Cylindrée (L), Puissance (ch), Capacité carburant (L), Consommation historique (L/100 km), Vitesse max (km/h), Autonomie historique (km)</t>
        </is>
      </c>
      <c r="F33" t="inlineStr">
        <is>
          <t>Estimation gameplay à renseigner</t>
        </is>
      </c>
      <c r="G33" t="inlineStr">
        <is>
          <t>C si véhicule courant/variante connue; D si prototype ou variante ambiguë</t>
        </is>
      </c>
    </row>
    <row r="34">
      <c r="A34" t="inlineStr">
        <is>
          <t>VEH-033</t>
        </is>
      </c>
      <c r="B34" t="inlineStr">
        <is>
          <t>Terrot RDA / modèles militaires d'époque</t>
        </is>
      </c>
      <c r="C34" t="inlineStr">
        <is>
          <t>Motos et side-cars</t>
        </is>
      </c>
      <c r="D34" t="n">
        <v>10</v>
      </c>
      <c r="E34" t="inlineStr">
        <is>
          <t>Masse à vide (kg), Longueur (m), Largeur (m), Hauteur (m), Cylindrée (L), Puissance (ch), Capacité carburant (L), Consommation historique (L/100 km), Vitesse max (km/h), Autonomie historique (km)</t>
        </is>
      </c>
      <c r="F34" t="inlineStr">
        <is>
          <t>Estimation gameplay à renseigner</t>
        </is>
      </c>
      <c r="G34" t="inlineStr">
        <is>
          <t>C si véhicule courant/variante connue; D si prototype ou variante ambiguë</t>
        </is>
      </c>
    </row>
    <row r="35">
      <c r="A35" t="inlineStr">
        <is>
          <t>VEH-034</t>
        </is>
      </c>
      <c r="B35" t="inlineStr">
        <is>
          <t>Dodge WC-51 / WC-52</t>
        </is>
      </c>
      <c r="C35" t="inlineStr">
        <is>
          <t>Camions légers et moyens</t>
        </is>
      </c>
      <c r="D35" t="n">
        <v>10</v>
      </c>
      <c r="E35" t="inlineStr">
        <is>
          <t>Masse à vide (kg), Longueur (m), Largeur (m), Hauteur (m), Cylindrée (L), Puissance (ch), Capacité carburant (L), Consommation historique (L/100 km), Vitesse max (km/h), Autonomie historique (km)</t>
        </is>
      </c>
      <c r="F35" t="inlineStr">
        <is>
          <t>Estimation gameplay à renseigner</t>
        </is>
      </c>
      <c r="G35" t="inlineStr">
        <is>
          <t>C si véhicule courant/variante connue; D si prototype ou variante ambiguë</t>
        </is>
      </c>
    </row>
    <row r="36">
      <c r="A36" t="inlineStr">
        <is>
          <t>VEH-035</t>
        </is>
      </c>
      <c r="B36" t="inlineStr">
        <is>
          <t>Dodge WC-54</t>
        </is>
      </c>
      <c r="C36" t="inlineStr">
        <is>
          <t>Camions légers et moyens</t>
        </is>
      </c>
      <c r="D36" t="n">
        <v>10</v>
      </c>
      <c r="E36" t="inlineStr">
        <is>
          <t>Masse à vide (kg), Longueur (m), Largeur (m), Hauteur (m), Cylindrée (L), Puissance (ch), Capacité carburant (L), Consommation historique (L/100 km), Vitesse max (km/h), Autonomie historique (km)</t>
        </is>
      </c>
      <c r="F36" t="inlineStr">
        <is>
          <t>Estimation gameplay à renseigner</t>
        </is>
      </c>
      <c r="G36" t="inlineStr">
        <is>
          <t>C si véhicule courant/variante connue; D si prototype ou variante ambiguë</t>
        </is>
      </c>
    </row>
    <row r="37">
      <c r="A37" t="inlineStr">
        <is>
          <t>VEH-036</t>
        </is>
      </c>
      <c r="B37" t="inlineStr">
        <is>
          <t>Chevrolet G506</t>
        </is>
      </c>
      <c r="C37" t="inlineStr">
        <is>
          <t>Camions légers et moyens</t>
        </is>
      </c>
      <c r="D37" t="n">
        <v>10</v>
      </c>
      <c r="E37" t="inlineStr">
        <is>
          <t>Masse à vide (kg), Longueur (m), Largeur (m), Hauteur (m), Cylindrée (L), Puissance (ch), Capacité carburant (L), Consommation historique (L/100 km), Vitesse max (km/h), Autonomie historique (km)</t>
        </is>
      </c>
      <c r="F37" t="inlineStr">
        <is>
          <t>Estimation gameplay à renseigner</t>
        </is>
      </c>
      <c r="G37" t="inlineStr">
        <is>
          <t>C si véhicule courant/variante connue; D si prototype ou variante ambiguë</t>
        </is>
      </c>
    </row>
    <row r="38">
      <c r="A38" t="inlineStr">
        <is>
          <t>VEH-037</t>
        </is>
      </c>
      <c r="B38" t="inlineStr">
        <is>
          <t>GMC CCKW 353</t>
        </is>
      </c>
      <c r="C38" t="inlineStr">
        <is>
          <t>Camions légers et moyens</t>
        </is>
      </c>
      <c r="D38" t="n">
        <v>4</v>
      </c>
      <c r="E38" t="inlineStr">
        <is>
          <t>Capacité carburant (L), Consommation historique (L/100 km), Vitesse max (km/h), Autonomie historique (km)</t>
        </is>
      </c>
      <c r="F38" t="inlineStr">
        <is>
          <t>Estimation gameplay à renseigner</t>
        </is>
      </c>
      <c r="G38" t="inlineStr">
        <is>
          <t>C si véhicule courant/variante connue; D si prototype ou variante ambiguë</t>
        </is>
      </c>
    </row>
    <row r="39">
      <c r="A39" t="inlineStr">
        <is>
          <t>VEH-038</t>
        </is>
      </c>
      <c r="B39" t="inlineStr">
        <is>
          <t>Studebaker US6</t>
        </is>
      </c>
      <c r="C39" t="inlineStr">
        <is>
          <t>Camions légers et moyens</t>
        </is>
      </c>
      <c r="D39" t="n">
        <v>10</v>
      </c>
      <c r="E39" t="inlineStr">
        <is>
          <t>Masse à vide (kg), Longueur (m), Largeur (m), Hauteur (m), Cylindrée (L), Puissance (ch), Capacité carburant (L), Consommation historique (L/100 km), Vitesse max (km/h), Autonomie historique (km)</t>
        </is>
      </c>
      <c r="F39" t="inlineStr">
        <is>
          <t>Estimation gameplay à renseigner</t>
        </is>
      </c>
      <c r="G39" t="inlineStr">
        <is>
          <t>C si véhicule courant/variante connue; D si prototype ou variante ambiguë</t>
        </is>
      </c>
    </row>
    <row r="40">
      <c r="A40" t="inlineStr">
        <is>
          <t>VEH-039</t>
        </is>
      </c>
      <c r="B40" t="inlineStr">
        <is>
          <t>Ford F-series pré-guerre / Model 50</t>
        </is>
      </c>
      <c r="C40" t="inlineStr">
        <is>
          <t>Camions légers et moyens</t>
        </is>
      </c>
      <c r="D40" t="n">
        <v>10</v>
      </c>
      <c r="E40" t="inlineStr">
        <is>
          <t>Masse à vide (kg), Longueur (m), Largeur (m), Hauteur (m), Cylindrée (L), Puissance (ch), Capacité carburant (L), Consommation historique (L/100 km), Vitesse max (km/h), Autonomie historique (km)</t>
        </is>
      </c>
      <c r="F40" t="inlineStr">
        <is>
          <t>Estimation gameplay à renseigner</t>
        </is>
      </c>
      <c r="G40" t="inlineStr">
        <is>
          <t>C si véhicule courant/variante connue; D si prototype ou variante ambiguë</t>
        </is>
      </c>
    </row>
    <row r="41">
      <c r="A41" t="inlineStr">
        <is>
          <t>VEH-040</t>
        </is>
      </c>
      <c r="B41" t="inlineStr">
        <is>
          <t>Bedford QL</t>
        </is>
      </c>
      <c r="C41" t="inlineStr">
        <is>
          <t>Camions légers et moyens</t>
        </is>
      </c>
      <c r="D41" t="n">
        <v>10</v>
      </c>
      <c r="E41" t="inlineStr">
        <is>
          <t>Masse à vide (kg), Longueur (m), Largeur (m), Hauteur (m), Cylindrée (L), Puissance (ch), Capacité carburant (L), Consommation historique (L/100 km), Vitesse max (km/h), Autonomie historique (km)</t>
        </is>
      </c>
      <c r="F41" t="inlineStr">
        <is>
          <t>Estimation gameplay à renseigner</t>
        </is>
      </c>
      <c r="G41" t="inlineStr">
        <is>
          <t>C si véhicule courant/variante connue; D si prototype ou variante ambiguë</t>
        </is>
      </c>
    </row>
    <row r="42">
      <c r="A42" t="inlineStr">
        <is>
          <t>VEH-041</t>
        </is>
      </c>
      <c r="B42" t="inlineStr">
        <is>
          <t>Austin K5</t>
        </is>
      </c>
      <c r="C42" t="inlineStr">
        <is>
          <t>Camions légers et moyens</t>
        </is>
      </c>
      <c r="D42" t="n">
        <v>10</v>
      </c>
      <c r="E42" t="inlineStr">
        <is>
          <t>Masse à vide (kg), Longueur (m), Largeur (m), Hauteur (m), Cylindrée (L), Puissance (ch), Capacité carburant (L), Consommation historique (L/100 km), Vitesse max (km/h), Autonomie historique (km)</t>
        </is>
      </c>
      <c r="F42" t="inlineStr">
        <is>
          <t>Estimation gameplay à renseigner</t>
        </is>
      </c>
      <c r="G42" t="inlineStr">
        <is>
          <t>C si véhicule courant/variante connue; D si prototype ou variante ambiguë</t>
        </is>
      </c>
    </row>
    <row r="43">
      <c r="A43" t="inlineStr">
        <is>
          <t>VEH-042</t>
        </is>
      </c>
      <c r="B43" t="inlineStr">
        <is>
          <t>Morris Commercial C8</t>
        </is>
      </c>
      <c r="C43" t="inlineStr">
        <is>
          <t>Camions légers et moyens</t>
        </is>
      </c>
      <c r="D43" t="n">
        <v>10</v>
      </c>
      <c r="E43" t="inlineStr">
        <is>
          <t>Masse à vide (kg), Longueur (m), Largeur (m), Hauteur (m), Cylindrée (L), Puissance (ch), Capacité carburant (L), Consommation historique (L/100 km), Vitesse max (km/h), Autonomie historique (km)</t>
        </is>
      </c>
      <c r="F43" t="inlineStr">
        <is>
          <t>Estimation gameplay à renseigner</t>
        </is>
      </c>
      <c r="G43" t="inlineStr">
        <is>
          <t>C si véhicule courant/variante connue; D si prototype ou variante ambiguë</t>
        </is>
      </c>
    </row>
    <row r="44">
      <c r="A44" t="inlineStr">
        <is>
          <t>VEH-043</t>
        </is>
      </c>
      <c r="B44" t="inlineStr">
        <is>
          <t>AEC Matador</t>
        </is>
      </c>
      <c r="C44" t="inlineStr">
        <is>
          <t>Camions légers et moyens</t>
        </is>
      </c>
      <c r="D44" t="n">
        <v>10</v>
      </c>
      <c r="E44" t="inlineStr">
        <is>
          <t>Masse à vide (kg), Longueur (m), Largeur (m), Hauteur (m), Cylindrée (L), Puissance (ch), Capacité carburant (L), Consommation historique (L/100 km), Vitesse max (km/h), Autonomie historique (km)</t>
        </is>
      </c>
      <c r="F44" t="inlineStr">
        <is>
          <t>Estimation gameplay à renseigner</t>
        </is>
      </c>
      <c r="G44" t="inlineStr">
        <is>
          <t>C si véhicule courant/variante connue; D si prototype ou variante ambiguë</t>
        </is>
      </c>
    </row>
    <row r="45">
      <c r="A45" t="inlineStr">
        <is>
          <t>VEH-044</t>
        </is>
      </c>
      <c r="B45" t="inlineStr">
        <is>
          <t>Leyland Retriever</t>
        </is>
      </c>
      <c r="C45" t="inlineStr">
        <is>
          <t>Camions légers et moyens</t>
        </is>
      </c>
      <c r="D45" t="n">
        <v>10</v>
      </c>
      <c r="E45" t="inlineStr">
        <is>
          <t>Masse à vide (kg), Longueur (m), Largeur (m), Hauteur (m), Cylindrée (L), Puissance (ch), Capacité carburant (L), Consommation historique (L/100 km), Vitesse max (km/h), Autonomie historique (km)</t>
        </is>
      </c>
      <c r="F45" t="inlineStr">
        <is>
          <t>Estimation gameplay à renseigner</t>
        </is>
      </c>
      <c r="G45" t="inlineStr">
        <is>
          <t>C si véhicule courant/variante connue; D si prototype ou variante ambiguë</t>
        </is>
      </c>
    </row>
    <row r="46">
      <c r="A46" t="inlineStr">
        <is>
          <t>VEH-045</t>
        </is>
      </c>
      <c r="B46" t="inlineStr">
        <is>
          <t>Opel Blitz 3.6-36S</t>
        </is>
      </c>
      <c r="C46" t="inlineStr">
        <is>
          <t>Camions légers et moyens</t>
        </is>
      </c>
      <c r="D46" t="n">
        <v>10</v>
      </c>
      <c r="E46" t="inlineStr">
        <is>
          <t>Masse à vide (kg), Longueur (m), Largeur (m), Hauteur (m), Cylindrée (L), Puissance (ch), Capacité carburant (L), Consommation historique (L/100 km), Vitesse max (km/h), Autonomie historique (km)</t>
        </is>
      </c>
      <c r="F46" t="inlineStr">
        <is>
          <t>Estimation gameplay à renseigner</t>
        </is>
      </c>
      <c r="G46" t="inlineStr">
        <is>
          <t>C si véhicule courant/variante connue; D si prototype ou variante ambiguë</t>
        </is>
      </c>
    </row>
    <row r="47">
      <c r="A47" t="inlineStr">
        <is>
          <t>VEH-046</t>
        </is>
      </c>
      <c r="B47" t="inlineStr">
        <is>
          <t>Mercedes-Benz L 3000</t>
        </is>
      </c>
      <c r="C47" t="inlineStr">
        <is>
          <t>Camions légers et moyens</t>
        </is>
      </c>
      <c r="D47" t="n">
        <v>10</v>
      </c>
      <c r="E47" t="inlineStr">
        <is>
          <t>Masse à vide (kg), Longueur (m), Largeur (m), Hauteur (m), Cylindrée (L), Puissance (ch), Capacité carburant (L), Consommation historique (L/100 km), Vitesse max (km/h), Autonomie historique (km)</t>
        </is>
      </c>
      <c r="F47" t="inlineStr">
        <is>
          <t>Estimation gameplay à renseigner</t>
        </is>
      </c>
      <c r="G47" t="inlineStr">
        <is>
          <t>C si véhicule courant/variante connue; D si prototype ou variante ambiguë</t>
        </is>
      </c>
    </row>
    <row r="48">
      <c r="A48" t="inlineStr">
        <is>
          <t>VEH-047</t>
        </is>
      </c>
      <c r="B48" t="inlineStr">
        <is>
          <t>Büssing-NAG 4500</t>
        </is>
      </c>
      <c r="C48" t="inlineStr">
        <is>
          <t>Camions légers et moyens</t>
        </is>
      </c>
      <c r="D48" t="n">
        <v>10</v>
      </c>
      <c r="E48" t="inlineStr">
        <is>
          <t>Masse à vide (kg), Longueur (m), Largeur (m), Hauteur (m), Cylindrée (L), Puissance (ch), Capacité carburant (L), Consommation historique (L/100 km), Vitesse max (km/h), Autonomie historique (km)</t>
        </is>
      </c>
      <c r="F48" t="inlineStr">
        <is>
          <t>Estimation gameplay à renseigner</t>
        </is>
      </c>
      <c r="G48" t="inlineStr">
        <is>
          <t>C si véhicule courant/variante connue; D si prototype ou variante ambiguë</t>
        </is>
      </c>
    </row>
    <row r="49">
      <c r="A49" t="inlineStr">
        <is>
          <t>VEH-048</t>
        </is>
      </c>
      <c r="B49" t="inlineStr">
        <is>
          <t>MAN ML 4500</t>
        </is>
      </c>
      <c r="C49" t="inlineStr">
        <is>
          <t>Camions légers et moyens</t>
        </is>
      </c>
      <c r="D49" t="n">
        <v>10</v>
      </c>
      <c r="E49" t="inlineStr">
        <is>
          <t>Masse à vide (kg), Longueur (m), Largeur (m), Hauteur (m), Cylindrée (L), Puissance (ch), Capacité carburant (L), Consommation historique (L/100 km), Vitesse max (km/h), Autonomie historique (km)</t>
        </is>
      </c>
      <c r="F49" t="inlineStr">
        <is>
          <t>Estimation gameplay à renseigner</t>
        </is>
      </c>
      <c r="G49" t="inlineStr">
        <is>
          <t>C si véhicule courant/variante connue; D si prototype ou variante ambiguë</t>
        </is>
      </c>
    </row>
    <row r="50">
      <c r="A50" t="inlineStr">
        <is>
          <t>VEH-049</t>
        </is>
      </c>
      <c r="B50" t="inlineStr">
        <is>
          <t>Fiat 626</t>
        </is>
      </c>
      <c r="C50" t="inlineStr">
        <is>
          <t>Camions légers et moyens</t>
        </is>
      </c>
      <c r="D50" t="n">
        <v>10</v>
      </c>
      <c r="E50" t="inlineStr">
        <is>
          <t>Masse à vide (kg), Longueur (m), Largeur (m), Hauteur (m), Cylindrée (L), Puissance (ch), Capacité carburant (L), Consommation historique (L/100 km), Vitesse max (km/h), Autonomie historique (km)</t>
        </is>
      </c>
      <c r="F50" t="inlineStr">
        <is>
          <t>Estimation gameplay à renseigner</t>
        </is>
      </c>
      <c r="G50" t="inlineStr">
        <is>
          <t>C si véhicule courant/variante connue; D si prototype ou variante ambiguë</t>
        </is>
      </c>
    </row>
    <row r="51">
      <c r="A51" t="inlineStr">
        <is>
          <t>VEH-050</t>
        </is>
      </c>
      <c r="B51" t="inlineStr">
        <is>
          <t>Lancia 3Ro</t>
        </is>
      </c>
      <c r="C51" t="inlineStr">
        <is>
          <t>Camions légers et moyens</t>
        </is>
      </c>
      <c r="D51" t="n">
        <v>10</v>
      </c>
      <c r="E51" t="inlineStr">
        <is>
          <t>Masse à vide (kg), Longueur (m), Largeur (m), Hauteur (m), Cylindrée (L), Puissance (ch), Capacité carburant (L), Consommation historique (L/100 km), Vitesse max (km/h), Autonomie historique (km)</t>
        </is>
      </c>
      <c r="F51" t="inlineStr">
        <is>
          <t>Estimation gameplay à renseigner</t>
        </is>
      </c>
      <c r="G51" t="inlineStr">
        <is>
          <t>C si véhicule courant/variante connue; D si prototype ou variante ambiguë</t>
        </is>
      </c>
    </row>
    <row r="52">
      <c r="A52" t="inlineStr">
        <is>
          <t>VEH-051</t>
        </is>
      </c>
      <c r="B52" t="inlineStr">
        <is>
          <t>SPA Dovunque 35</t>
        </is>
      </c>
      <c r="C52" t="inlineStr">
        <is>
          <t>Camions légers et moyens</t>
        </is>
      </c>
      <c r="D52" t="n">
        <v>10</v>
      </c>
      <c r="E52" t="inlineStr">
        <is>
          <t>Masse à vide (kg), Longueur (m), Largeur (m), Hauteur (m), Cylindrée (L), Puissance (ch), Capacité carburant (L), Consommation historique (L/100 km), Vitesse max (km/h), Autonomie historique (km)</t>
        </is>
      </c>
      <c r="F52" t="inlineStr">
        <is>
          <t>Estimation gameplay à renseigner</t>
        </is>
      </c>
      <c r="G52" t="inlineStr">
        <is>
          <t>C si véhicule courant/variante connue; D si prototype ou variante ambiguë</t>
        </is>
      </c>
    </row>
    <row r="53">
      <c r="A53" t="inlineStr">
        <is>
          <t>VEH-052</t>
        </is>
      </c>
      <c r="B53" t="inlineStr">
        <is>
          <t>ZiS-5</t>
        </is>
      </c>
      <c r="C53" t="inlineStr">
        <is>
          <t>Camions légers et moyens</t>
        </is>
      </c>
      <c r="D53" t="n">
        <v>10</v>
      </c>
      <c r="E53" t="inlineStr">
        <is>
          <t>Masse à vide (kg), Longueur (m), Largeur (m), Hauteur (m), Cylindrée (L), Puissance (ch), Capacité carburant (L), Consommation historique (L/100 km), Vitesse max (km/h), Autonomie historique (km)</t>
        </is>
      </c>
      <c r="F53" t="inlineStr">
        <is>
          <t>Estimation gameplay à renseigner</t>
        </is>
      </c>
      <c r="G53" t="inlineStr">
        <is>
          <t>C si véhicule courant/variante connue; D si prototype ou variante ambiguë</t>
        </is>
      </c>
    </row>
    <row r="54">
      <c r="A54" t="inlineStr">
        <is>
          <t>VEH-053</t>
        </is>
      </c>
      <c r="B54" t="inlineStr">
        <is>
          <t>GAZ-AA / GAZ-MM</t>
        </is>
      </c>
      <c r="C54" t="inlineStr">
        <is>
          <t>Camions légers et moyens</t>
        </is>
      </c>
      <c r="D54" t="n">
        <v>10</v>
      </c>
      <c r="E54" t="inlineStr">
        <is>
          <t>Masse à vide (kg), Longueur (m), Largeur (m), Hauteur (m), Cylindrée (L), Puissance (ch), Capacité carburant (L), Consommation historique (L/100 km), Vitesse max (km/h), Autonomie historique (km)</t>
        </is>
      </c>
      <c r="F54" t="inlineStr">
        <is>
          <t>Estimation gameplay à renseigner</t>
        </is>
      </c>
      <c r="G54" t="inlineStr">
        <is>
          <t>C si véhicule courant/variante connue; D si prototype ou variante ambiguë</t>
        </is>
      </c>
    </row>
    <row r="55">
      <c r="A55" t="inlineStr">
        <is>
          <t>VEH-054</t>
        </is>
      </c>
      <c r="B55" t="inlineStr">
        <is>
          <t>ZIS-6</t>
        </is>
      </c>
      <c r="C55" t="inlineStr">
        <is>
          <t>Camions légers et moyens</t>
        </is>
      </c>
      <c r="D55" t="n">
        <v>10</v>
      </c>
      <c r="E55" t="inlineStr">
        <is>
          <t>Masse à vide (kg), Longueur (m), Largeur (m), Hauteur (m), Cylindrée (L), Puissance (ch), Capacité carburant (L), Consommation historique (L/100 km), Vitesse max (km/h), Autonomie historique (km)</t>
        </is>
      </c>
      <c r="F55" t="inlineStr">
        <is>
          <t>Estimation gameplay à renseigner</t>
        </is>
      </c>
      <c r="G55" t="inlineStr">
        <is>
          <t>C si véhicule courant/variante connue; D si prototype ou variante ambiguë</t>
        </is>
      </c>
    </row>
    <row r="56">
      <c r="A56" t="inlineStr">
        <is>
          <t>VEH-055</t>
        </is>
      </c>
      <c r="B56" t="inlineStr">
        <is>
          <t>Diamond T 969 Wrecker</t>
        </is>
      </c>
      <c r="C56" t="inlineStr">
        <is>
          <t>Camions lourds, dépannage et grue</t>
        </is>
      </c>
      <c r="D56" t="n">
        <v>1</v>
      </c>
      <c r="E56" t="inlineStr">
        <is>
          <t>Autonomie historique (km)</t>
        </is>
      </c>
      <c r="F56" t="inlineStr">
        <is>
          <t>Estimation gameplay à renseigner</t>
        </is>
      </c>
      <c r="G56" t="inlineStr">
        <is>
          <t>C si véhicule courant/variante connue; D si prototype ou variante ambiguë</t>
        </is>
      </c>
    </row>
    <row r="57">
      <c r="A57" t="inlineStr">
        <is>
          <t>VEH-056</t>
        </is>
      </c>
      <c r="B57" t="inlineStr">
        <is>
          <t>M26 Pacific</t>
        </is>
      </c>
      <c r="C57" t="inlineStr">
        <is>
          <t>Camions lourds, dépannage et grue</t>
        </is>
      </c>
      <c r="D57" t="n">
        <v>10</v>
      </c>
      <c r="E57" t="inlineStr">
        <is>
          <t>Masse à vide (kg), Longueur (m), Largeur (m), Hauteur (m), Cylindrée (L), Puissance (ch), Capacité carburant (L), Consommation historique (L/100 km), Vitesse max (km/h), Autonomie historique (km)</t>
        </is>
      </c>
      <c r="F57" t="inlineStr">
        <is>
          <t>Estimation gameplay à renseigner</t>
        </is>
      </c>
      <c r="G57" t="inlineStr">
        <is>
          <t>C si véhicule courant/variante connue; D si prototype ou variante ambiguë</t>
        </is>
      </c>
    </row>
    <row r="58">
      <c r="A58" t="inlineStr">
        <is>
          <t>VEH-057</t>
        </is>
      </c>
      <c r="B58" t="inlineStr">
        <is>
          <t>Ward LaFrance M1A1</t>
        </is>
      </c>
      <c r="C58" t="inlineStr">
        <is>
          <t>Camions lourds, dépannage et grue</t>
        </is>
      </c>
      <c r="D58" t="n">
        <v>10</v>
      </c>
      <c r="E58" t="inlineStr">
        <is>
          <t>Masse à vide (kg), Longueur (m), Largeur (m), Hauteur (m), Cylindrée (L), Puissance (ch), Capacité carburant (L), Consommation historique (L/100 km), Vitesse max (km/h), Autonomie historique (km)</t>
        </is>
      </c>
      <c r="F58" t="inlineStr">
        <is>
          <t>Estimation gameplay à renseigner</t>
        </is>
      </c>
      <c r="G58" t="inlineStr">
        <is>
          <t>C si véhicule courant/variante connue; D si prototype ou variante ambiguë</t>
        </is>
      </c>
    </row>
    <row r="59">
      <c r="A59" t="inlineStr">
        <is>
          <t>VEH-058</t>
        </is>
      </c>
      <c r="B59" t="inlineStr">
        <is>
          <t>Scammell Pioneer</t>
        </is>
      </c>
      <c r="C59" t="inlineStr">
        <is>
          <t>Camions lourds, dépannage et grue</t>
        </is>
      </c>
      <c r="D59" t="n">
        <v>10</v>
      </c>
      <c r="E59" t="inlineStr">
        <is>
          <t>Masse à vide (kg), Longueur (m), Largeur (m), Hauteur (m), Cylindrée (L), Puissance (ch), Capacité carburant (L), Consommation historique (L/100 km), Vitesse max (km/h), Autonomie historique (km)</t>
        </is>
      </c>
      <c r="F59" t="inlineStr">
        <is>
          <t>Estimation gameplay à renseigner</t>
        </is>
      </c>
      <c r="G59" t="inlineStr">
        <is>
          <t>C si véhicule courant/variante connue; D si prototype ou variante ambiguë</t>
        </is>
      </c>
    </row>
    <row r="60">
      <c r="A60" t="inlineStr">
        <is>
          <t>VEH-059</t>
        </is>
      </c>
      <c r="B60" t="inlineStr">
        <is>
          <t>FWD Model B</t>
        </is>
      </c>
      <c r="C60" t="inlineStr">
        <is>
          <t>Camions lourds, dépannage et grue</t>
        </is>
      </c>
      <c r="D60" t="n">
        <v>10</v>
      </c>
      <c r="E60" t="inlineStr">
        <is>
          <t>Masse à vide (kg), Longueur (m), Largeur (m), Hauteur (m), Cylindrée (L), Puissance (ch), Capacité carburant (L), Consommation historique (L/100 km), Vitesse max (km/h), Autonomie historique (km)</t>
        </is>
      </c>
      <c r="F60" t="inlineStr">
        <is>
          <t>Estimation gameplay à renseigner</t>
        </is>
      </c>
      <c r="G60" t="inlineStr">
        <is>
          <t>C si véhicule courant/variante connue; D si prototype ou variante ambiguë</t>
        </is>
      </c>
    </row>
    <row r="61">
      <c r="A61" t="inlineStr">
        <is>
          <t>VEH-060</t>
        </is>
      </c>
      <c r="B61" t="inlineStr">
        <is>
          <t>Laffly S15 / S20</t>
        </is>
      </c>
      <c r="C61" t="inlineStr">
        <is>
          <t>Camions lourds, dépannage et grue</t>
        </is>
      </c>
      <c r="D61" t="n">
        <v>10</v>
      </c>
      <c r="E61" t="inlineStr">
        <is>
          <t>Masse à vide (kg), Longueur (m), Largeur (m), Hauteur (m), Cylindrée (L), Puissance (ch), Capacité carburant (L), Consommation historique (L/100 km), Vitesse max (km/h), Autonomie historique (km)</t>
        </is>
      </c>
      <c r="F61" t="inlineStr">
        <is>
          <t>Estimation gameplay à renseigner</t>
        </is>
      </c>
      <c r="G61" t="inlineStr">
        <is>
          <t>C si véhicule courant/variante connue; D si prototype ou variante ambiguë</t>
        </is>
      </c>
    </row>
    <row r="62">
      <c r="A62" t="inlineStr">
        <is>
          <t>VEH-061</t>
        </is>
      </c>
      <c r="B62" t="inlineStr">
        <is>
          <t>Berliet GBC / modèles militaires d'avant-guerre</t>
        </is>
      </c>
      <c r="C62" t="inlineStr">
        <is>
          <t>Camions lourds, dépannage et grue</t>
        </is>
      </c>
      <c r="D62" t="n">
        <v>10</v>
      </c>
      <c r="E62" t="inlineStr">
        <is>
          <t>Masse à vide (kg), Longueur (m), Largeur (m), Hauteur (m), Cylindrée (L), Puissance (ch), Capacité carburant (L), Consommation historique (L/100 km), Vitesse max (km/h), Autonomie historique (km)</t>
        </is>
      </c>
      <c r="F62" t="inlineStr">
        <is>
          <t>Estimation gameplay à renseigner</t>
        </is>
      </c>
      <c r="G62" t="inlineStr">
        <is>
          <t>C si véhicule courant/variante connue; D si prototype ou variante ambiguë</t>
        </is>
      </c>
    </row>
    <row r="63">
      <c r="A63" t="inlineStr">
        <is>
          <t>VEH-062</t>
        </is>
      </c>
      <c r="B63" t="inlineStr">
        <is>
          <t>Faun ZR / tracteurs lourds d'époque</t>
        </is>
      </c>
      <c r="C63" t="inlineStr">
        <is>
          <t>Camions lourds, dépannage et grue</t>
        </is>
      </c>
      <c r="D63" t="n">
        <v>10</v>
      </c>
      <c r="E63" t="inlineStr">
        <is>
          <t>Masse à vide (kg), Longueur (m), Largeur (m), Hauteur (m), Cylindrée (L), Puissance (ch), Capacité carburant (L), Consommation historique (L/100 km), Vitesse max (km/h), Autonomie historique (km)</t>
        </is>
      </c>
      <c r="F63" t="inlineStr">
        <is>
          <t>Estimation gameplay à renseigner</t>
        </is>
      </c>
      <c r="G63" t="inlineStr">
        <is>
          <t>C si véhicule courant/variante connue; D si prototype ou variante ambiguë</t>
        </is>
      </c>
    </row>
    <row r="64">
      <c r="A64" t="inlineStr">
        <is>
          <t>VEH-063</t>
        </is>
      </c>
      <c r="B64" t="inlineStr">
        <is>
          <t>M2 Half Track</t>
        </is>
      </c>
      <c r="C64" t="inlineStr">
        <is>
          <t>Véhicules chenillés et semi-chenillés</t>
        </is>
      </c>
      <c r="D64" t="n">
        <v>10</v>
      </c>
      <c r="E64" t="inlineStr">
        <is>
          <t>Masse à vide (kg), Longueur (m), Largeur (m), Hauteur (m), Cylindrée (L), Puissance (ch), Capacité carburant (L), Consommation historique (L/100 km), Vitesse max (km/h), Autonomie historique (km)</t>
        </is>
      </c>
      <c r="F64" t="inlineStr">
        <is>
          <t>Estimation gameplay à renseigner</t>
        </is>
      </c>
      <c r="G64" t="inlineStr">
        <is>
          <t>C si véhicule courant/variante connue; D si prototype ou variante ambiguë</t>
        </is>
      </c>
    </row>
    <row r="65">
      <c r="A65" t="inlineStr">
        <is>
          <t>VEH-064</t>
        </is>
      </c>
      <c r="B65" t="inlineStr">
        <is>
          <t>M3 Half Track</t>
        </is>
      </c>
      <c r="C65" t="inlineStr">
        <is>
          <t>Véhicules chenillés et semi-chenillés</t>
        </is>
      </c>
      <c r="D65" t="n">
        <v>3</v>
      </c>
      <c r="E65" t="inlineStr">
        <is>
          <t>Capacité carburant (L), Consommation historique (L/100 km), Autonomie historique (km)</t>
        </is>
      </c>
      <c r="F65" t="inlineStr">
        <is>
          <t>Estimation gameplay à renseigner</t>
        </is>
      </c>
      <c r="G65" t="inlineStr">
        <is>
          <t>C si véhicule courant/variante connue; D si prototype ou variante ambiguë</t>
        </is>
      </c>
    </row>
    <row r="66">
      <c r="A66" t="inlineStr">
        <is>
          <t>VEH-065</t>
        </is>
      </c>
      <c r="B66" t="inlineStr">
        <is>
          <t>M5 Half Track</t>
        </is>
      </c>
      <c r="C66" t="inlineStr">
        <is>
          <t>Véhicules chenillés et semi-chenillés</t>
        </is>
      </c>
      <c r="D66" t="n">
        <v>10</v>
      </c>
      <c r="E66" t="inlineStr">
        <is>
          <t>Masse à vide (kg), Longueur (m), Largeur (m), Hauteur (m), Cylindrée (L), Puissance (ch), Capacité carburant (L), Consommation historique (L/100 km), Vitesse max (km/h), Autonomie historique (km)</t>
        </is>
      </c>
      <c r="F66" t="inlineStr">
        <is>
          <t>Estimation gameplay à renseigner</t>
        </is>
      </c>
      <c r="G66" t="inlineStr">
        <is>
          <t>C si véhicule courant/variante connue; D si prototype ou variante ambiguë</t>
        </is>
      </c>
    </row>
    <row r="67">
      <c r="A67" t="inlineStr">
        <is>
          <t>VEH-066</t>
        </is>
      </c>
      <c r="B67" t="inlineStr">
        <is>
          <t>M3 Scout Car</t>
        </is>
      </c>
      <c r="C67" t="inlineStr">
        <is>
          <t>Véhicules chenillés et semi-chenillés</t>
        </is>
      </c>
      <c r="D67" t="n">
        <v>10</v>
      </c>
      <c r="E67" t="inlineStr">
        <is>
          <t>Masse à vide (kg), Longueur (m), Largeur (m), Hauteur (m), Cylindrée (L), Puissance (ch), Capacité carburant (L), Consommation historique (L/100 km), Vitesse max (km/h), Autonomie historique (km)</t>
        </is>
      </c>
      <c r="F67" t="inlineStr">
        <is>
          <t>Estimation gameplay à renseigner</t>
        </is>
      </c>
      <c r="G67" t="inlineStr">
        <is>
          <t>C si véhicule courant/variante connue; D si prototype ou variante ambiguë</t>
        </is>
      </c>
    </row>
    <row r="68">
      <c r="A68" t="inlineStr">
        <is>
          <t>VEH-067</t>
        </is>
      </c>
      <c r="B68" t="inlineStr">
        <is>
          <t>Universal Carrier</t>
        </is>
      </c>
      <c r="C68" t="inlineStr">
        <is>
          <t>Véhicules chenillés et semi-chenillés</t>
        </is>
      </c>
      <c r="D68" t="n">
        <v>10</v>
      </c>
      <c r="E68" t="inlineStr">
        <is>
          <t>Masse à vide (kg), Longueur (m), Largeur (m), Hauteur (m), Cylindrée (L), Puissance (ch), Capacité carburant (L), Consommation historique (L/100 km), Vitesse max (km/h), Autonomie historique (km)</t>
        </is>
      </c>
      <c r="F68" t="inlineStr">
        <is>
          <t>Estimation gameplay à renseigner</t>
        </is>
      </c>
      <c r="G68" t="inlineStr">
        <is>
          <t>C si véhicule courant/variante connue; D si prototype ou variante ambiguë</t>
        </is>
      </c>
    </row>
    <row r="69">
      <c r="A69" t="inlineStr">
        <is>
          <t>VEH-068</t>
        </is>
      </c>
      <c r="B69" t="inlineStr">
        <is>
          <t>Sd.Kfz. 251</t>
        </is>
      </c>
      <c r="C69" t="inlineStr">
        <is>
          <t>Véhicules chenillés et semi-chenillés</t>
        </is>
      </c>
      <c r="D69" t="n">
        <v>10</v>
      </c>
      <c r="E69" t="inlineStr">
        <is>
          <t>Masse à vide (kg), Longueur (m), Largeur (m), Hauteur (m), Cylindrée (L), Puissance (ch), Capacité carburant (L), Consommation historique (L/100 km), Vitesse max (km/h), Autonomie historique (km)</t>
        </is>
      </c>
      <c r="F69" t="inlineStr">
        <is>
          <t>Estimation gameplay à renseigner</t>
        </is>
      </c>
      <c r="G69" t="inlineStr">
        <is>
          <t>C si véhicule courant/variante connue; D si prototype ou variante ambiguë</t>
        </is>
      </c>
    </row>
    <row r="70">
      <c r="A70" t="inlineStr">
        <is>
          <t>VEH-069</t>
        </is>
      </c>
      <c r="B70" t="inlineStr">
        <is>
          <t>Sd.Kfz. 250</t>
        </is>
      </c>
      <c r="C70" t="inlineStr">
        <is>
          <t>Véhicules chenillés et semi-chenillés</t>
        </is>
      </c>
      <c r="D70" t="n">
        <v>10</v>
      </c>
      <c r="E70" t="inlineStr">
        <is>
          <t>Masse à vide (kg), Longueur (m), Largeur (m), Hauteur (m), Cylindrée (L), Puissance (ch), Capacité carburant (L), Consommation historique (L/100 km), Vitesse max (km/h), Autonomie historique (km)</t>
        </is>
      </c>
      <c r="F70" t="inlineStr">
        <is>
          <t>Estimation gameplay à renseigner</t>
        </is>
      </c>
      <c r="G70" t="inlineStr">
        <is>
          <t>C si véhicule courant/variante connue; D si prototype ou variante ambiguë</t>
        </is>
      </c>
    </row>
    <row r="71">
      <c r="A71" t="inlineStr">
        <is>
          <t>VEH-070</t>
        </is>
      </c>
      <c r="B71" t="inlineStr">
        <is>
          <t>Sd.Kfz. 7</t>
        </is>
      </c>
      <c r="C71" t="inlineStr">
        <is>
          <t>Véhicules chenillés et semi-chenillés</t>
        </is>
      </c>
      <c r="D71" t="n">
        <v>10</v>
      </c>
      <c r="E71" t="inlineStr">
        <is>
          <t>Masse à vide (kg), Longueur (m), Largeur (m), Hauteur (m), Cylindrée (L), Puissance (ch), Capacité carburant (L), Consommation historique (L/100 km), Vitesse max (km/h), Autonomie historique (km)</t>
        </is>
      </c>
      <c r="F71" t="inlineStr">
        <is>
          <t>Estimation gameplay à renseigner</t>
        </is>
      </c>
      <c r="G71" t="inlineStr">
        <is>
          <t>C si véhicule courant/variante connue; D si prototype ou variante ambiguë</t>
        </is>
      </c>
    </row>
    <row r="72">
      <c r="A72" t="inlineStr">
        <is>
          <t>VEH-071</t>
        </is>
      </c>
      <c r="B72" t="inlineStr">
        <is>
          <t>Kettenkrad HK 101</t>
        </is>
      </c>
      <c r="C72" t="inlineStr">
        <is>
          <t>Véhicules chenillés et semi-chenillés</t>
        </is>
      </c>
      <c r="D72" t="n">
        <v>10</v>
      </c>
      <c r="E72" t="inlineStr">
        <is>
          <t>Masse à vide (kg), Longueur (m), Largeur (m), Hauteur (m), Cylindrée (L), Puissance (ch), Capacité carburant (L), Consommation historique (L/100 km), Vitesse max (km/h), Autonomie historique (km)</t>
        </is>
      </c>
      <c r="F72" t="inlineStr">
        <is>
          <t>Estimation gameplay à renseigner</t>
        </is>
      </c>
      <c r="G72" t="inlineStr">
        <is>
          <t>C si véhicule courant/variante connue; D si prototype ou variante ambiguë</t>
        </is>
      </c>
    </row>
    <row r="73">
      <c r="A73" t="inlineStr">
        <is>
          <t>VEH-072</t>
        </is>
      </c>
      <c r="B73" t="inlineStr">
        <is>
          <t>Renault UE Chenillette</t>
        </is>
      </c>
      <c r="C73" t="inlineStr">
        <is>
          <t>Véhicules chenillés et semi-chenillés</t>
        </is>
      </c>
      <c r="D73" t="n">
        <v>10</v>
      </c>
      <c r="E73" t="inlineStr">
        <is>
          <t>Masse à vide (kg), Longueur (m), Largeur (m), Hauteur (m), Cylindrée (L), Puissance (ch), Capacité carburant (L), Consommation historique (L/100 km), Vitesse max (km/h), Autonomie historique (km)</t>
        </is>
      </c>
      <c r="F73" t="inlineStr">
        <is>
          <t>Estimation gameplay à renseigner</t>
        </is>
      </c>
      <c r="G73" t="inlineStr">
        <is>
          <t>C si véhicule courant/variante connue; D si prototype ou variante ambiguë</t>
        </is>
      </c>
    </row>
    <row r="74">
      <c r="A74" t="inlineStr">
        <is>
          <t>VEH-073</t>
        </is>
      </c>
      <c r="B74" t="inlineStr">
        <is>
          <t>Loyd Carrier</t>
        </is>
      </c>
      <c r="C74" t="inlineStr">
        <is>
          <t>Véhicules chenillés et semi-chenillés</t>
        </is>
      </c>
      <c r="D74" t="n">
        <v>10</v>
      </c>
      <c r="E74" t="inlineStr">
        <is>
          <t>Masse à vide (kg), Longueur (m), Largeur (m), Hauteur (m), Cylindrée (L), Puissance (ch), Capacité carburant (L), Consommation historique (L/100 km), Vitesse max (km/h), Autonomie historique (km)</t>
        </is>
      </c>
      <c r="F74" t="inlineStr">
        <is>
          <t>Estimation gameplay à renseigner</t>
        </is>
      </c>
      <c r="G74" t="inlineStr">
        <is>
          <t>C si véhicule courant/variante connue; D si prototype ou variante ambiguë</t>
        </is>
      </c>
    </row>
    <row r="75">
      <c r="A75" t="inlineStr">
        <is>
          <t>VEH-074</t>
        </is>
      </c>
      <c r="B75" t="inlineStr">
        <is>
          <t>M8 Greyhound</t>
        </is>
      </c>
      <c r="C75" t="inlineStr">
        <is>
          <t>Automitrailleuses et reconnaissance</t>
        </is>
      </c>
      <c r="D75" t="n">
        <v>5</v>
      </c>
      <c r="E75" t="inlineStr">
        <is>
          <t>Masse à vide (kg), Capacité carburant (L), Consommation historique (L/100 km), Vitesse max (km/h), Autonomie historique (km)</t>
        </is>
      </c>
      <c r="F75" t="inlineStr">
        <is>
          <t>Estimation gameplay à renseigner</t>
        </is>
      </c>
      <c r="G75" t="inlineStr">
        <is>
          <t>C si véhicule courant/variante connue; D si prototype ou variante ambiguë</t>
        </is>
      </c>
    </row>
    <row r="76">
      <c r="A76" t="inlineStr">
        <is>
          <t>VEH-075</t>
        </is>
      </c>
      <c r="B76" t="inlineStr">
        <is>
          <t>M20 Armored Utility Car</t>
        </is>
      </c>
      <c r="C76" t="inlineStr">
        <is>
          <t>Automitrailleuses et reconnaissance</t>
        </is>
      </c>
      <c r="D76" t="n">
        <v>10</v>
      </c>
      <c r="E76" t="inlineStr">
        <is>
          <t>Masse à vide (kg), Longueur (m), Largeur (m), Hauteur (m), Cylindrée (L), Puissance (ch), Capacité carburant (L), Consommation historique (L/100 km), Vitesse max (km/h), Autonomie historique (km)</t>
        </is>
      </c>
      <c r="F76" t="inlineStr">
        <is>
          <t>Estimation gameplay à renseigner</t>
        </is>
      </c>
      <c r="G76" t="inlineStr">
        <is>
          <t>C si véhicule courant/variante connue; D si prototype ou variante ambiguë</t>
        </is>
      </c>
    </row>
    <row r="77">
      <c r="A77" t="inlineStr">
        <is>
          <t>VEH-076</t>
        </is>
      </c>
      <c r="B77" t="inlineStr">
        <is>
          <t>Daimler Dingo</t>
        </is>
      </c>
      <c r="C77" t="inlineStr">
        <is>
          <t>Automitrailleuses et reconnaissance</t>
        </is>
      </c>
      <c r="D77" t="n">
        <v>10</v>
      </c>
      <c r="E77" t="inlineStr">
        <is>
          <t>Masse à vide (kg), Longueur (m), Largeur (m), Hauteur (m), Cylindrée (L), Puissance (ch), Capacité carburant (L), Consommation historique (L/100 km), Vitesse max (km/h), Autonomie historique (km)</t>
        </is>
      </c>
      <c r="F77" t="inlineStr">
        <is>
          <t>Estimation gameplay à renseigner</t>
        </is>
      </c>
      <c r="G77" t="inlineStr">
        <is>
          <t>C si véhicule courant/variante connue; D si prototype ou variante ambiguë</t>
        </is>
      </c>
    </row>
    <row r="78">
      <c r="A78" t="inlineStr">
        <is>
          <t>VEH-077</t>
        </is>
      </c>
      <c r="B78" t="inlineStr">
        <is>
          <t>Humber Armoured Car</t>
        </is>
      </c>
      <c r="C78" t="inlineStr">
        <is>
          <t>Automitrailleuses et reconnaissance</t>
        </is>
      </c>
      <c r="D78" t="n">
        <v>10</v>
      </c>
      <c r="E78" t="inlineStr">
        <is>
          <t>Masse à vide (kg), Longueur (m), Largeur (m), Hauteur (m), Cylindrée (L), Puissance (ch), Capacité carburant (L), Consommation historique (L/100 km), Vitesse max (km/h), Autonomie historique (km)</t>
        </is>
      </c>
      <c r="F78" t="inlineStr">
        <is>
          <t>Estimation gameplay à renseigner</t>
        </is>
      </c>
      <c r="G78" t="inlineStr">
        <is>
          <t>C si véhicule courant/variante connue; D si prototype ou variante ambiguë</t>
        </is>
      </c>
    </row>
    <row r="79">
      <c r="A79" t="inlineStr">
        <is>
          <t>VEH-078</t>
        </is>
      </c>
      <c r="B79" t="inlineStr">
        <is>
          <t>AEC Armoured Car</t>
        </is>
      </c>
      <c r="C79" t="inlineStr">
        <is>
          <t>Automitrailleuses et reconnaissance</t>
        </is>
      </c>
      <c r="D79" t="n">
        <v>10</v>
      </c>
      <c r="E79" t="inlineStr">
        <is>
          <t>Masse à vide (kg), Longueur (m), Largeur (m), Hauteur (m), Cylindrée (L), Puissance (ch), Capacité carburant (L), Consommation historique (L/100 km), Vitesse max (km/h), Autonomie historique (km)</t>
        </is>
      </c>
      <c r="F79" t="inlineStr">
        <is>
          <t>Estimation gameplay à renseigner</t>
        </is>
      </c>
      <c r="G79" t="inlineStr">
        <is>
          <t>C si véhicule courant/variante connue; D si prototype ou variante ambiguë</t>
        </is>
      </c>
    </row>
    <row r="80">
      <c r="A80" t="inlineStr">
        <is>
          <t>VEH-079</t>
        </is>
      </c>
      <c r="B80" t="inlineStr">
        <is>
          <t>Panhard AMD 178</t>
        </is>
      </c>
      <c r="C80" t="inlineStr">
        <is>
          <t>Automitrailleuses et reconnaissance</t>
        </is>
      </c>
      <c r="D80" t="n">
        <v>10</v>
      </c>
      <c r="E80" t="inlineStr">
        <is>
          <t>Masse à vide (kg), Longueur (m), Largeur (m), Hauteur (m), Cylindrée (L), Puissance (ch), Capacité carburant (L), Consommation historique (L/100 km), Vitesse max (km/h), Autonomie historique (km)</t>
        </is>
      </c>
      <c r="F80" t="inlineStr">
        <is>
          <t>Estimation gameplay à renseigner</t>
        </is>
      </c>
      <c r="G80" t="inlineStr">
        <is>
          <t>C si véhicule courant/variante connue; D si prototype ou variante ambiguë</t>
        </is>
      </c>
    </row>
    <row r="81">
      <c r="A81" t="inlineStr">
        <is>
          <t>VEH-080</t>
        </is>
      </c>
      <c r="B81" t="inlineStr">
        <is>
          <t>Laffly 80 AM</t>
        </is>
      </c>
      <c r="C81" t="inlineStr">
        <is>
          <t>Automitrailleuses et reconnaissance</t>
        </is>
      </c>
      <c r="D81" t="n">
        <v>10</v>
      </c>
      <c r="E81" t="inlineStr">
        <is>
          <t>Masse à vide (kg), Longueur (m), Largeur (m), Hauteur (m), Cylindrée (L), Puissance (ch), Capacité carburant (L), Consommation historique (L/100 km), Vitesse max (km/h), Autonomie historique (km)</t>
        </is>
      </c>
      <c r="F81" t="inlineStr">
        <is>
          <t>Estimation gameplay à renseigner</t>
        </is>
      </c>
      <c r="G81" t="inlineStr">
        <is>
          <t>C si véhicule courant/variante connue; D si prototype ou variante ambiguë</t>
        </is>
      </c>
    </row>
    <row r="82">
      <c r="A82" t="inlineStr">
        <is>
          <t>VEH-081</t>
        </is>
      </c>
      <c r="B82" t="inlineStr">
        <is>
          <t>Sd.Kfz. 222</t>
        </is>
      </c>
      <c r="C82" t="inlineStr">
        <is>
          <t>Automitrailleuses et reconnaissance</t>
        </is>
      </c>
      <c r="D82" t="n">
        <v>10</v>
      </c>
      <c r="E82" t="inlineStr">
        <is>
          <t>Masse à vide (kg), Longueur (m), Largeur (m), Hauteur (m), Cylindrée (L), Puissance (ch), Capacité carburant (L), Consommation historique (L/100 km), Vitesse max (km/h), Autonomie historique (km)</t>
        </is>
      </c>
      <c r="F82" t="inlineStr">
        <is>
          <t>Estimation gameplay à renseigner</t>
        </is>
      </c>
      <c r="G82" t="inlineStr">
        <is>
          <t>C si véhicule courant/variante connue; D si prototype ou variante ambiguë</t>
        </is>
      </c>
    </row>
    <row r="83">
      <c r="A83" t="inlineStr">
        <is>
          <t>VEH-082</t>
        </is>
      </c>
      <c r="B83" t="inlineStr">
        <is>
          <t>AB 41</t>
        </is>
      </c>
      <c r="C83" t="inlineStr">
        <is>
          <t>Automitrailleuses et reconnaissance</t>
        </is>
      </c>
      <c r="D83" t="n">
        <v>10</v>
      </c>
      <c r="E83" t="inlineStr">
        <is>
          <t>Masse à vide (kg), Longueur (m), Largeur (m), Hauteur (m), Cylindrée (L), Puissance (ch), Capacité carburant (L), Consommation historique (L/100 km), Vitesse max (km/h), Autonomie historique (km)</t>
        </is>
      </c>
      <c r="F83" t="inlineStr">
        <is>
          <t>Estimation gameplay à renseigner</t>
        </is>
      </c>
      <c r="G83" t="inlineStr">
        <is>
          <t>C si véhicule courant/variante connue; D si prototype ou variante ambiguë</t>
        </is>
      </c>
    </row>
    <row r="84">
      <c r="A84" t="inlineStr">
        <is>
          <t>VEH-083</t>
        </is>
      </c>
      <c r="B84" t="inlineStr">
        <is>
          <t>BA-64</t>
        </is>
      </c>
      <c r="C84" t="inlineStr">
        <is>
          <t>Automitrailleuses et reconnaissance</t>
        </is>
      </c>
      <c r="D84" t="n">
        <v>10</v>
      </c>
      <c r="E84" t="inlineStr">
        <is>
          <t>Masse à vide (kg), Longueur (m), Largeur (m), Hauteur (m), Cylindrée (L), Puissance (ch), Capacité carburant (L), Consommation historique (L/100 km), Vitesse max (km/h), Autonomie historique (km)</t>
        </is>
      </c>
      <c r="F84" t="inlineStr">
        <is>
          <t>Estimation gameplay à renseigner</t>
        </is>
      </c>
      <c r="G84" t="inlineStr">
        <is>
          <t>C si véhicule courant/variante connue; D si prototype ou variante ambiguë</t>
        </is>
      </c>
    </row>
    <row r="85">
      <c r="A85" t="inlineStr">
        <is>
          <t>VEH-084</t>
        </is>
      </c>
      <c r="B85" t="inlineStr">
        <is>
          <t>M3 Stuart</t>
        </is>
      </c>
      <c r="C85" t="inlineStr">
        <is>
          <t>Chars légers</t>
        </is>
      </c>
      <c r="D85" t="n">
        <v>2</v>
      </c>
      <c r="E85" t="inlineStr">
        <is>
          <t>Consommation historique (L/100 km), Autonomie historique (km)</t>
        </is>
      </c>
      <c r="F85" t="inlineStr">
        <is>
          <t>Estimation gameplay à renseigner</t>
        </is>
      </c>
      <c r="G85" t="inlineStr">
        <is>
          <t>C si véhicule courant/variante connue; D si prototype ou variante ambiguë</t>
        </is>
      </c>
    </row>
    <row r="86">
      <c r="A86" t="inlineStr">
        <is>
          <t>VEH-085</t>
        </is>
      </c>
      <c r="B86" t="inlineStr">
        <is>
          <t>M5 Stuart</t>
        </is>
      </c>
      <c r="C86" t="inlineStr">
        <is>
          <t>Chars légers</t>
        </is>
      </c>
      <c r="D86" t="n">
        <v>10</v>
      </c>
      <c r="E86" t="inlineStr">
        <is>
          <t>Masse à vide (kg), Longueur (m), Largeur (m), Hauteur (m), Cylindrée (L), Puissance (ch), Capacité carburant (L), Consommation historique (L/100 km), Vitesse max (km/h), Autonomie historique (km)</t>
        </is>
      </c>
      <c r="F86" t="inlineStr">
        <is>
          <t>Estimation gameplay à renseigner</t>
        </is>
      </c>
      <c r="G86" t="inlineStr">
        <is>
          <t>C si véhicule courant/variante connue; D si prototype ou variante ambiguë</t>
        </is>
      </c>
    </row>
    <row r="87">
      <c r="A87" t="inlineStr">
        <is>
          <t>VEH-086</t>
        </is>
      </c>
      <c r="B87" t="inlineStr">
        <is>
          <t>M24 Chaffee</t>
        </is>
      </c>
      <c r="C87" t="inlineStr">
        <is>
          <t>Chars légers</t>
        </is>
      </c>
      <c r="D87" t="n">
        <v>10</v>
      </c>
      <c r="E87" t="inlineStr">
        <is>
          <t>Masse à vide (kg), Longueur (m), Largeur (m), Hauteur (m), Cylindrée (L), Puissance (ch), Capacité carburant (L), Consommation historique (L/100 km), Vitesse max (km/h), Autonomie historique (km)</t>
        </is>
      </c>
      <c r="F87" t="inlineStr">
        <is>
          <t>Estimation gameplay à renseigner</t>
        </is>
      </c>
      <c r="G87" t="inlineStr">
        <is>
          <t>C si véhicule courant/variante connue; D si prototype ou variante ambiguë</t>
        </is>
      </c>
    </row>
    <row r="88">
      <c r="A88" t="inlineStr">
        <is>
          <t>VEH-087</t>
        </is>
      </c>
      <c r="B88" t="inlineStr">
        <is>
          <t>T-26</t>
        </is>
      </c>
      <c r="C88" t="inlineStr">
        <is>
          <t>Chars légers</t>
        </is>
      </c>
      <c r="D88" t="n">
        <v>10</v>
      </c>
      <c r="E88" t="inlineStr">
        <is>
          <t>Masse à vide (kg), Longueur (m), Largeur (m), Hauteur (m), Cylindrée (L), Puissance (ch), Capacité carburant (L), Consommation historique (L/100 km), Vitesse max (km/h), Autonomie historique (km)</t>
        </is>
      </c>
      <c r="F88" t="inlineStr">
        <is>
          <t>Estimation gameplay à renseigner</t>
        </is>
      </c>
      <c r="G88" t="inlineStr">
        <is>
          <t>C si véhicule courant/variante connue; D si prototype ou variante ambiguë</t>
        </is>
      </c>
    </row>
    <row r="89">
      <c r="A89" t="inlineStr">
        <is>
          <t>VEH-088</t>
        </is>
      </c>
      <c r="B89" t="inlineStr">
        <is>
          <t>BT-5 / BT-7</t>
        </is>
      </c>
      <c r="C89" t="inlineStr">
        <is>
          <t>Chars légers</t>
        </is>
      </c>
      <c r="D89" t="n">
        <v>10</v>
      </c>
      <c r="E89" t="inlineStr">
        <is>
          <t>Masse à vide (kg), Longueur (m), Largeur (m), Hauteur (m), Cylindrée (L), Puissance (ch), Capacité carburant (L), Consommation historique (L/100 km), Vitesse max (km/h), Autonomie historique (km)</t>
        </is>
      </c>
      <c r="F89" t="inlineStr">
        <is>
          <t>Estimation gameplay à renseigner</t>
        </is>
      </c>
      <c r="G89" t="inlineStr">
        <is>
          <t>C si véhicule courant/variante connue; D si prototype ou variante ambiguë</t>
        </is>
      </c>
    </row>
    <row r="90">
      <c r="A90" t="inlineStr">
        <is>
          <t>VEH-089</t>
        </is>
      </c>
      <c r="B90" t="inlineStr">
        <is>
          <t>T-60</t>
        </is>
      </c>
      <c r="C90" t="inlineStr">
        <is>
          <t>Chars légers</t>
        </is>
      </c>
      <c r="D90" t="n">
        <v>10</v>
      </c>
      <c r="E90" t="inlineStr">
        <is>
          <t>Masse à vide (kg), Longueur (m), Largeur (m), Hauteur (m), Cylindrée (L), Puissance (ch), Capacité carburant (L), Consommation historique (L/100 km), Vitesse max (km/h), Autonomie historique (km)</t>
        </is>
      </c>
      <c r="F90" t="inlineStr">
        <is>
          <t>Estimation gameplay à renseigner</t>
        </is>
      </c>
      <c r="G90" t="inlineStr">
        <is>
          <t>C si véhicule courant/variante connue; D si prototype ou variante ambiguë</t>
        </is>
      </c>
    </row>
    <row r="91">
      <c r="A91" t="inlineStr">
        <is>
          <t>VEH-090</t>
        </is>
      </c>
      <c r="B91" t="inlineStr">
        <is>
          <t>T-70</t>
        </is>
      </c>
      <c r="C91" t="inlineStr">
        <is>
          <t>Chars légers</t>
        </is>
      </c>
      <c r="D91" t="n">
        <v>10</v>
      </c>
      <c r="E91" t="inlineStr">
        <is>
          <t>Masse à vide (kg), Longueur (m), Largeur (m), Hauteur (m), Cylindrée (L), Puissance (ch), Capacité carburant (L), Consommation historique (L/100 km), Vitesse max (km/h), Autonomie historique (km)</t>
        </is>
      </c>
      <c r="F91" t="inlineStr">
        <is>
          <t>Estimation gameplay à renseigner</t>
        </is>
      </c>
      <c r="G91" t="inlineStr">
        <is>
          <t>C si véhicule courant/variante connue; D si prototype ou variante ambiguë</t>
        </is>
      </c>
    </row>
    <row r="92">
      <c r="A92" t="inlineStr">
        <is>
          <t>VEH-091</t>
        </is>
      </c>
      <c r="B92" t="inlineStr">
        <is>
          <t>Panzer II</t>
        </is>
      </c>
      <c r="C92" t="inlineStr">
        <is>
          <t>Chars légers</t>
        </is>
      </c>
      <c r="D92" t="n">
        <v>10</v>
      </c>
      <c r="E92" t="inlineStr">
        <is>
          <t>Masse à vide (kg), Longueur (m), Largeur (m), Hauteur (m), Cylindrée (L), Puissance (ch), Capacité carburant (L), Consommation historique (L/100 km), Vitesse max (km/h), Autonomie historique (km)</t>
        </is>
      </c>
      <c r="F92" t="inlineStr">
        <is>
          <t>Estimation gameplay à renseigner</t>
        </is>
      </c>
      <c r="G92" t="inlineStr">
        <is>
          <t>C si véhicule courant/variante connue; D si prototype ou variante ambiguë</t>
        </is>
      </c>
    </row>
    <row r="93">
      <c r="A93" t="inlineStr">
        <is>
          <t>VEH-092</t>
        </is>
      </c>
      <c r="B93" t="inlineStr">
        <is>
          <t>Panzer 38(t)</t>
        </is>
      </c>
      <c r="C93" t="inlineStr">
        <is>
          <t>Chars légers</t>
        </is>
      </c>
      <c r="D93" t="n">
        <v>10</v>
      </c>
      <c r="E93" t="inlineStr">
        <is>
          <t>Masse à vide (kg), Longueur (m), Largeur (m), Hauteur (m), Cylindrée (L), Puissance (ch), Capacité carburant (L), Consommation historique (L/100 km), Vitesse max (km/h), Autonomie historique (km)</t>
        </is>
      </c>
      <c r="F93" t="inlineStr">
        <is>
          <t>Estimation gameplay à renseigner</t>
        </is>
      </c>
      <c r="G93" t="inlineStr">
        <is>
          <t>C si véhicule courant/variante connue; D si prototype ou variante ambiguë</t>
        </is>
      </c>
    </row>
    <row r="94">
      <c r="A94" t="inlineStr">
        <is>
          <t>VEH-093</t>
        </is>
      </c>
      <c r="B94" t="inlineStr">
        <is>
          <t>Renault R35</t>
        </is>
      </c>
      <c r="C94" t="inlineStr">
        <is>
          <t>Chars légers</t>
        </is>
      </c>
      <c r="D94" t="n">
        <v>10</v>
      </c>
      <c r="E94" t="inlineStr">
        <is>
          <t>Masse à vide (kg), Longueur (m), Largeur (m), Hauteur (m), Cylindrée (L), Puissance (ch), Capacité carburant (L), Consommation historique (L/100 km), Vitesse max (km/h), Autonomie historique (km)</t>
        </is>
      </c>
      <c r="F94" t="inlineStr">
        <is>
          <t>Estimation gameplay à renseigner</t>
        </is>
      </c>
      <c r="G94" t="inlineStr">
        <is>
          <t>C si véhicule courant/variante connue; D si prototype ou variante ambiguë</t>
        </is>
      </c>
    </row>
    <row r="95">
      <c r="A95" t="inlineStr">
        <is>
          <t>VEH-094</t>
        </is>
      </c>
      <c r="B95" t="inlineStr">
        <is>
          <t>Hotchkiss H35 / H39</t>
        </is>
      </c>
      <c r="C95" t="inlineStr">
        <is>
          <t>Chars légers</t>
        </is>
      </c>
      <c r="D95" t="n">
        <v>10</v>
      </c>
      <c r="E95" t="inlineStr">
        <is>
          <t>Masse à vide (kg), Longueur (m), Largeur (m), Hauteur (m), Cylindrée (L), Puissance (ch), Capacité carburant (L), Consommation historique (L/100 km), Vitesse max (km/h), Autonomie historique (km)</t>
        </is>
      </c>
      <c r="F95" t="inlineStr">
        <is>
          <t>Estimation gameplay à renseigner</t>
        </is>
      </c>
      <c r="G95" t="inlineStr">
        <is>
          <t>C si véhicule courant/variante connue; D si prototype ou variante ambiguë</t>
        </is>
      </c>
    </row>
    <row r="96">
      <c r="A96" t="inlineStr">
        <is>
          <t>VEH-095</t>
        </is>
      </c>
      <c r="B96" t="inlineStr">
        <is>
          <t>Fiat L3/35</t>
        </is>
      </c>
      <c r="C96" t="inlineStr">
        <is>
          <t>Chars légers</t>
        </is>
      </c>
      <c r="D96" t="n">
        <v>10</v>
      </c>
      <c r="E96" t="inlineStr">
        <is>
          <t>Masse à vide (kg), Longueur (m), Largeur (m), Hauteur (m), Cylindrée (L), Puissance (ch), Capacité carburant (L), Consommation historique (L/100 km), Vitesse max (km/h), Autonomie historique (km)</t>
        </is>
      </c>
      <c r="F96" t="inlineStr">
        <is>
          <t>Estimation gameplay à renseigner</t>
        </is>
      </c>
      <c r="G96" t="inlineStr">
        <is>
          <t>C si véhicule courant/variante connue; D si prototype ou variante ambiguë</t>
        </is>
      </c>
    </row>
    <row r="97">
      <c r="A97" t="inlineStr">
        <is>
          <t>VEH-096</t>
        </is>
      </c>
      <c r="B97" t="inlineStr">
        <is>
          <t>M4 Sherman</t>
        </is>
      </c>
      <c r="C97" t="inlineStr">
        <is>
          <t>Chars moyens</t>
        </is>
      </c>
      <c r="D97" t="n">
        <v>4</v>
      </c>
      <c r="E97" t="inlineStr">
        <is>
          <t>Cylindrée (L), Capacité carburant (L), Consommation historique (L/100 km), Autonomie historique (km)</t>
        </is>
      </c>
      <c r="F97" t="inlineStr">
        <is>
          <t>Estimation gameplay à renseigner</t>
        </is>
      </c>
      <c r="G97" t="inlineStr">
        <is>
          <t>C si véhicule courant/variante connue; D si prototype ou variante ambiguë</t>
        </is>
      </c>
    </row>
    <row r="98">
      <c r="A98" t="inlineStr">
        <is>
          <t>VEH-097</t>
        </is>
      </c>
      <c r="B98" t="inlineStr">
        <is>
          <t>M3 Lee / Grant</t>
        </is>
      </c>
      <c r="C98" t="inlineStr">
        <is>
          <t>Chars moyens</t>
        </is>
      </c>
      <c r="D98" t="n">
        <v>10</v>
      </c>
      <c r="E98" t="inlineStr">
        <is>
          <t>Masse à vide (kg), Longueur (m), Largeur (m), Hauteur (m), Cylindrée (L), Puissance (ch), Capacité carburant (L), Consommation historique (L/100 km), Vitesse max (km/h), Autonomie historique (km)</t>
        </is>
      </c>
      <c r="F98" t="inlineStr">
        <is>
          <t>Estimation gameplay à renseigner</t>
        </is>
      </c>
      <c r="G98" t="inlineStr">
        <is>
          <t>C si véhicule courant/variante connue; D si prototype ou variante ambiguë</t>
        </is>
      </c>
    </row>
    <row r="99">
      <c r="A99" t="inlineStr">
        <is>
          <t>VEH-098</t>
        </is>
      </c>
      <c r="B99" t="inlineStr">
        <is>
          <t>T-34</t>
        </is>
      </c>
      <c r="C99" t="inlineStr">
        <is>
          <t>Chars moyens</t>
        </is>
      </c>
      <c r="D99" t="n">
        <v>10</v>
      </c>
      <c r="E99" t="inlineStr">
        <is>
          <t>Masse à vide (kg), Longueur (m), Largeur (m), Hauteur (m), Cylindrée (L), Puissance (ch), Capacité carburant (L), Consommation historique (L/100 km), Vitesse max (km/h), Autonomie historique (km)</t>
        </is>
      </c>
      <c r="F99" t="inlineStr">
        <is>
          <t>Estimation gameplay à renseigner</t>
        </is>
      </c>
      <c r="G99" t="inlineStr">
        <is>
          <t>C si véhicule courant/variante connue; D si prototype ou variante ambiguë</t>
        </is>
      </c>
    </row>
    <row r="100">
      <c r="A100" t="inlineStr">
        <is>
          <t>VEH-099</t>
        </is>
      </c>
      <c r="B100" t="inlineStr">
        <is>
          <t>Panzer III</t>
        </is>
      </c>
      <c r="C100" t="inlineStr">
        <is>
          <t>Chars moyens</t>
        </is>
      </c>
      <c r="D100" t="n">
        <v>10</v>
      </c>
      <c r="E100" t="inlineStr">
        <is>
          <t>Masse à vide (kg), Longueur (m), Largeur (m), Hauteur (m), Cylindrée (L), Puissance (ch), Capacité carburant (L), Consommation historique (L/100 km), Vitesse max (km/h), Autonomie historique (km)</t>
        </is>
      </c>
      <c r="F100" t="inlineStr">
        <is>
          <t>Estimation gameplay à renseigner</t>
        </is>
      </c>
      <c r="G100" t="inlineStr">
        <is>
          <t>C si véhicule courant/variante connue; D si prototype ou variante ambiguë</t>
        </is>
      </c>
    </row>
    <row r="101">
      <c r="A101" t="inlineStr">
        <is>
          <t>VEH-100</t>
        </is>
      </c>
      <c r="B101" t="inlineStr">
        <is>
          <t>Panzer IV</t>
        </is>
      </c>
      <c r="C101" t="inlineStr">
        <is>
          <t>Chars moyens</t>
        </is>
      </c>
      <c r="D101" t="n">
        <v>10</v>
      </c>
      <c r="E101" t="inlineStr">
        <is>
          <t>Masse à vide (kg), Longueur (m), Largeur (m), Hauteur (m), Cylindrée (L), Puissance (ch), Capacité carburant (L), Consommation historique (L/100 km), Vitesse max (km/h), Autonomie historique (km)</t>
        </is>
      </c>
      <c r="F101" t="inlineStr">
        <is>
          <t>Estimation gameplay à renseigner</t>
        </is>
      </c>
      <c r="G101" t="inlineStr">
        <is>
          <t>C si véhicule courant/variante connue; D si prototype ou variante ambiguë</t>
        </is>
      </c>
    </row>
    <row r="102">
      <c r="A102" t="inlineStr">
        <is>
          <t>VEH-101</t>
        </is>
      </c>
      <c r="B102" t="inlineStr">
        <is>
          <t>Panther (Panzer V)</t>
        </is>
      </c>
      <c r="C102" t="inlineStr">
        <is>
          <t>Chars moyens</t>
        </is>
      </c>
      <c r="D102" t="n">
        <v>10</v>
      </c>
      <c r="E102" t="inlineStr">
        <is>
          <t>Masse à vide (kg), Longueur (m), Largeur (m), Hauteur (m), Cylindrée (L), Puissance (ch), Capacité carburant (L), Consommation historique (L/100 km), Vitesse max (km/h), Autonomie historique (km)</t>
        </is>
      </c>
      <c r="F102" t="inlineStr">
        <is>
          <t>Estimation gameplay à renseigner</t>
        </is>
      </c>
      <c r="G102" t="inlineStr">
        <is>
          <t>C si véhicule courant/variante connue; D si prototype ou variante ambiguë</t>
        </is>
      </c>
    </row>
    <row r="103">
      <c r="A103" t="inlineStr">
        <is>
          <t>VEH-102</t>
        </is>
      </c>
      <c r="B103" t="inlineStr">
        <is>
          <t>Cromwell</t>
        </is>
      </c>
      <c r="C103" t="inlineStr">
        <is>
          <t>Chars moyens</t>
        </is>
      </c>
      <c r="D103" t="n">
        <v>10</v>
      </c>
      <c r="E103" t="inlineStr">
        <is>
          <t>Masse à vide (kg), Longueur (m), Largeur (m), Hauteur (m), Cylindrée (L), Puissance (ch), Capacité carburant (L), Consommation historique (L/100 km), Vitesse max (km/h), Autonomie historique (km)</t>
        </is>
      </c>
      <c r="F103" t="inlineStr">
        <is>
          <t>Estimation gameplay à renseigner</t>
        </is>
      </c>
      <c r="G103" t="inlineStr">
        <is>
          <t>C si véhicule courant/variante connue; D si prototype ou variante ambiguë</t>
        </is>
      </c>
    </row>
    <row r="104">
      <c r="A104" t="inlineStr">
        <is>
          <t>VEH-103</t>
        </is>
      </c>
      <c r="B104" t="inlineStr">
        <is>
          <t>Crusader</t>
        </is>
      </c>
      <c r="C104" t="inlineStr">
        <is>
          <t>Chars moyens</t>
        </is>
      </c>
      <c r="D104" t="n">
        <v>10</v>
      </c>
      <c r="E104" t="inlineStr">
        <is>
          <t>Masse à vide (kg), Longueur (m), Largeur (m), Hauteur (m), Cylindrée (L), Puissance (ch), Capacité carburant (L), Consommation historique (L/100 km), Vitesse max (km/h), Autonomie historique (km)</t>
        </is>
      </c>
      <c r="F104" t="inlineStr">
        <is>
          <t>Estimation gameplay à renseigner</t>
        </is>
      </c>
      <c r="G104" t="inlineStr">
        <is>
          <t>C si véhicule courant/variante connue; D si prototype ou variante ambiguë</t>
        </is>
      </c>
    </row>
    <row r="105">
      <c r="A105" t="inlineStr">
        <is>
          <t>VEH-104</t>
        </is>
      </c>
      <c r="B105" t="inlineStr">
        <is>
          <t>Valentine</t>
        </is>
      </c>
      <c r="C105" t="inlineStr">
        <is>
          <t>Chars moyens</t>
        </is>
      </c>
      <c r="D105" t="n">
        <v>10</v>
      </c>
      <c r="E105" t="inlineStr">
        <is>
          <t>Masse à vide (kg), Longueur (m), Largeur (m), Hauteur (m), Cylindrée (L), Puissance (ch), Capacité carburant (L), Consommation historique (L/100 km), Vitesse max (km/h), Autonomie historique (km)</t>
        </is>
      </c>
      <c r="F105" t="inlineStr">
        <is>
          <t>Estimation gameplay à renseigner</t>
        </is>
      </c>
      <c r="G105" t="inlineStr">
        <is>
          <t>C si véhicule courant/variante connue; D si prototype ou variante ambiguë</t>
        </is>
      </c>
    </row>
    <row r="106">
      <c r="A106" t="inlineStr">
        <is>
          <t>VEH-105</t>
        </is>
      </c>
      <c r="B106" t="inlineStr">
        <is>
          <t>Matilda II</t>
        </is>
      </c>
      <c r="C106" t="inlineStr">
        <is>
          <t>Chars moyens</t>
        </is>
      </c>
      <c r="D106" t="n">
        <v>10</v>
      </c>
      <c r="E106" t="inlineStr">
        <is>
          <t>Masse à vide (kg), Longueur (m), Largeur (m), Hauteur (m), Cylindrée (L), Puissance (ch), Capacité carburant (L), Consommation historique (L/100 km), Vitesse max (km/h), Autonomie historique (km)</t>
        </is>
      </c>
      <c r="F106" t="inlineStr">
        <is>
          <t>Estimation gameplay à renseigner</t>
        </is>
      </c>
      <c r="G106" t="inlineStr">
        <is>
          <t>C si véhicule courant/variante connue; D si prototype ou variante ambiguë</t>
        </is>
      </c>
    </row>
    <row r="107">
      <c r="A107" t="inlineStr">
        <is>
          <t>VEH-106</t>
        </is>
      </c>
      <c r="B107" t="inlineStr">
        <is>
          <t>SOMUA S35</t>
        </is>
      </c>
      <c r="C107" t="inlineStr">
        <is>
          <t>Chars moyens</t>
        </is>
      </c>
      <c r="D107" t="n">
        <v>10</v>
      </c>
      <c r="E107" t="inlineStr">
        <is>
          <t>Masse à vide (kg), Longueur (m), Largeur (m), Hauteur (m), Cylindrée (L), Puissance (ch), Capacité carburant (L), Consommation historique (L/100 km), Vitesse max (km/h), Autonomie historique (km)</t>
        </is>
      </c>
      <c r="F107" t="inlineStr">
        <is>
          <t>Estimation gameplay à renseigner</t>
        </is>
      </c>
      <c r="G107" t="inlineStr">
        <is>
          <t>C si véhicule courant/variante connue; D si prototype ou variante ambiguë</t>
        </is>
      </c>
    </row>
    <row r="108">
      <c r="A108" t="inlineStr">
        <is>
          <t>VEH-107</t>
        </is>
      </c>
      <c r="B108" t="inlineStr">
        <is>
          <t>Char B1 bis</t>
        </is>
      </c>
      <c r="C108" t="inlineStr">
        <is>
          <t>Chars moyens</t>
        </is>
      </c>
      <c r="D108" t="n">
        <v>10</v>
      </c>
      <c r="E108" t="inlineStr">
        <is>
          <t>Masse à vide (kg), Longueur (m), Largeur (m), Hauteur (m), Cylindrée (L), Puissance (ch), Capacité carburant (L), Consommation historique (L/100 km), Vitesse max (km/h), Autonomie historique (km)</t>
        </is>
      </c>
      <c r="F108" t="inlineStr">
        <is>
          <t>Estimation gameplay à renseigner</t>
        </is>
      </c>
      <c r="G108" t="inlineStr">
        <is>
          <t>C si véhicule courant/variante connue; D si prototype ou variante ambiguë</t>
        </is>
      </c>
    </row>
    <row r="109">
      <c r="A109" t="inlineStr">
        <is>
          <t>VEH-108</t>
        </is>
      </c>
      <c r="B109" t="inlineStr">
        <is>
          <t>M13/40</t>
        </is>
      </c>
      <c r="C109" t="inlineStr">
        <is>
          <t>Chars moyens</t>
        </is>
      </c>
      <c r="D109" t="n">
        <v>10</v>
      </c>
      <c r="E109" t="inlineStr">
        <is>
          <t>Masse à vide (kg), Longueur (m), Largeur (m), Hauteur (m), Cylindrée (L), Puissance (ch), Capacité carburant (L), Consommation historique (L/100 km), Vitesse max (km/h), Autonomie historique (km)</t>
        </is>
      </c>
      <c r="F109" t="inlineStr">
        <is>
          <t>Estimation gameplay à renseigner</t>
        </is>
      </c>
      <c r="G109" t="inlineStr">
        <is>
          <t>C si véhicule courant/variante connue; D si prototype ou variante ambiguë</t>
        </is>
      </c>
    </row>
    <row r="110">
      <c r="A110" t="inlineStr">
        <is>
          <t>VEH-109</t>
        </is>
      </c>
      <c r="B110" t="inlineStr">
        <is>
          <t>M15/42</t>
        </is>
      </c>
      <c r="C110" t="inlineStr">
        <is>
          <t>Chars moyens</t>
        </is>
      </c>
      <c r="D110" t="n">
        <v>10</v>
      </c>
      <c r="E110" t="inlineStr">
        <is>
          <t>Masse à vide (kg), Longueur (m), Largeur (m), Hauteur (m), Cylindrée (L), Puissance (ch), Capacité carburant (L), Consommation historique (L/100 km), Vitesse max (km/h), Autonomie historique (km)</t>
        </is>
      </c>
      <c r="F110" t="inlineStr">
        <is>
          <t>Estimation gameplay à renseigner</t>
        </is>
      </c>
      <c r="G110" t="inlineStr">
        <is>
          <t>C si véhicule courant/variante connue; D si prototype ou variante ambiguë</t>
        </is>
      </c>
    </row>
    <row r="111">
      <c r="A111" t="inlineStr">
        <is>
          <t>VEH-110</t>
        </is>
      </c>
      <c r="B111" t="inlineStr">
        <is>
          <t>Type 97 Chi-Ha</t>
        </is>
      </c>
      <c r="C111" t="inlineStr">
        <is>
          <t>Chars moyens</t>
        </is>
      </c>
      <c r="D111" t="n">
        <v>10</v>
      </c>
      <c r="E111" t="inlineStr">
        <is>
          <t>Masse à vide (kg), Longueur (m), Largeur (m), Hauteur (m), Cylindrée (L), Puissance (ch), Capacité carburant (L), Consommation historique (L/100 km), Vitesse max (km/h), Autonomie historique (km)</t>
        </is>
      </c>
      <c r="F111" t="inlineStr">
        <is>
          <t>Estimation gameplay à renseigner</t>
        </is>
      </c>
      <c r="G111" t="inlineStr">
        <is>
          <t>C si véhicule courant/variante connue; D si prototype ou variante ambiguë</t>
        </is>
      </c>
    </row>
    <row r="112">
      <c r="A112" t="inlineStr">
        <is>
          <t>VEH-111</t>
        </is>
      </c>
      <c r="B112" t="inlineStr">
        <is>
          <t>Churchill</t>
        </is>
      </c>
      <c r="C112" t="inlineStr">
        <is>
          <t>Chars lourds et chasseurs de chars</t>
        </is>
      </c>
      <c r="D112" t="n">
        <v>10</v>
      </c>
      <c r="E112" t="inlineStr">
        <is>
          <t>Masse à vide (kg), Longueur (m), Largeur (m), Hauteur (m), Cylindrée (L), Puissance (ch), Capacité carburant (L), Consommation historique (L/100 km), Vitesse max (km/h), Autonomie historique (km)</t>
        </is>
      </c>
      <c r="F112" t="inlineStr">
        <is>
          <t>Estimation gameplay à renseigner</t>
        </is>
      </c>
      <c r="G112" t="inlineStr">
        <is>
          <t>C si véhicule courant/variante connue; D si prototype ou variante ambiguë</t>
        </is>
      </c>
    </row>
    <row r="113">
      <c r="A113" t="inlineStr">
        <is>
          <t>VEH-112</t>
        </is>
      </c>
      <c r="B113" t="inlineStr">
        <is>
          <t>Tiger I</t>
        </is>
      </c>
      <c r="C113" t="inlineStr">
        <is>
          <t>Chars lourds et chasseurs de chars</t>
        </is>
      </c>
      <c r="D113" t="n">
        <v>3</v>
      </c>
      <c r="E113" t="inlineStr">
        <is>
          <t>Capacité carburant (L), Consommation historique (L/100 km), Autonomie historique (km)</t>
        </is>
      </c>
      <c r="F113" t="inlineStr">
        <is>
          <t>Estimation gameplay à renseigner</t>
        </is>
      </c>
      <c r="G113" t="inlineStr">
        <is>
          <t>C si véhicule courant/variante connue; D si prototype ou variante ambiguë</t>
        </is>
      </c>
    </row>
    <row r="114">
      <c r="A114" t="inlineStr">
        <is>
          <t>VEH-113</t>
        </is>
      </c>
      <c r="B114" t="inlineStr">
        <is>
          <t>Tiger II</t>
        </is>
      </c>
      <c r="C114" t="inlineStr">
        <is>
          <t>Chars lourds et chasseurs de chars</t>
        </is>
      </c>
      <c r="D114" t="n">
        <v>1</v>
      </c>
      <c r="E114" t="inlineStr">
        <is>
          <t>Consommation historique (L/100 km)</t>
        </is>
      </c>
      <c r="F114" t="inlineStr">
        <is>
          <t>Estimation gameplay à renseigner</t>
        </is>
      </c>
      <c r="G114" t="inlineStr">
        <is>
          <t>C si véhicule courant/variante connue; D si prototype ou variante ambiguë</t>
        </is>
      </c>
    </row>
    <row r="115">
      <c r="A115" t="inlineStr">
        <is>
          <t>VEH-114</t>
        </is>
      </c>
      <c r="B115" t="inlineStr">
        <is>
          <t>Jagdtiger</t>
        </is>
      </c>
      <c r="C115" t="inlineStr">
        <is>
          <t>Chars lourds et chasseurs de chars</t>
        </is>
      </c>
      <c r="D115" t="n">
        <v>10</v>
      </c>
      <c r="E115" t="inlineStr">
        <is>
          <t>Masse à vide (kg), Longueur (m), Largeur (m), Hauteur (m), Cylindrée (L), Puissance (ch), Capacité carburant (L), Consommation historique (L/100 km), Vitesse max (km/h), Autonomie historique (km)</t>
        </is>
      </c>
      <c r="F115" t="inlineStr">
        <is>
          <t>Estimation gameplay à renseigner</t>
        </is>
      </c>
      <c r="G115" t="inlineStr">
        <is>
          <t>C si véhicule courant/variante connue; D si prototype ou variante ambiguë</t>
        </is>
      </c>
    </row>
    <row r="116">
      <c r="A116" t="inlineStr">
        <is>
          <t>VEH-115</t>
        </is>
      </c>
      <c r="B116" t="inlineStr">
        <is>
          <t>Jagdpanther</t>
        </is>
      </c>
      <c r="C116" t="inlineStr">
        <is>
          <t>Chars lourds et chasseurs de chars</t>
        </is>
      </c>
      <c r="D116" t="n">
        <v>10</v>
      </c>
      <c r="E116" t="inlineStr">
        <is>
          <t>Masse à vide (kg), Longueur (m), Largeur (m), Hauteur (m), Cylindrée (L), Puissance (ch), Capacité carburant (L), Consommation historique (L/100 km), Vitesse max (km/h), Autonomie historique (km)</t>
        </is>
      </c>
      <c r="F116" t="inlineStr">
        <is>
          <t>Estimation gameplay à renseigner</t>
        </is>
      </c>
      <c r="G116" t="inlineStr">
        <is>
          <t>C si véhicule courant/variante connue; D si prototype ou variante ambiguë</t>
        </is>
      </c>
    </row>
    <row r="117">
      <c r="A117" t="inlineStr">
        <is>
          <t>VEH-116</t>
        </is>
      </c>
      <c r="B117" t="inlineStr">
        <is>
          <t>StuG III</t>
        </is>
      </c>
      <c r="C117" t="inlineStr">
        <is>
          <t>Chars lourds et chasseurs de chars</t>
        </is>
      </c>
      <c r="D117" t="n">
        <v>10</v>
      </c>
      <c r="E117" t="inlineStr">
        <is>
          <t>Masse à vide (kg), Longueur (m), Largeur (m), Hauteur (m), Cylindrée (L), Puissance (ch), Capacité carburant (L), Consommation historique (L/100 km), Vitesse max (km/h), Autonomie historique (km)</t>
        </is>
      </c>
      <c r="F117" t="inlineStr">
        <is>
          <t>Estimation gameplay à renseigner</t>
        </is>
      </c>
      <c r="G117" t="inlineStr">
        <is>
          <t>C si véhicule courant/variante connue; D si prototype ou variante ambiguë</t>
        </is>
      </c>
    </row>
    <row r="118">
      <c r="A118" t="inlineStr">
        <is>
          <t>VEH-117</t>
        </is>
      </c>
      <c r="B118" t="inlineStr">
        <is>
          <t>Jagdpanzer 38(t) Hetzer</t>
        </is>
      </c>
      <c r="C118" t="inlineStr">
        <is>
          <t>Chars lourds et chasseurs de chars</t>
        </is>
      </c>
      <c r="D118" t="n">
        <v>10</v>
      </c>
      <c r="E118" t="inlineStr">
        <is>
          <t>Masse à vide (kg), Longueur (m), Largeur (m), Hauteur (m), Cylindrée (L), Puissance (ch), Capacité carburant (L), Consommation historique (L/100 km), Vitesse max (km/h), Autonomie historique (km)</t>
        </is>
      </c>
      <c r="F118" t="inlineStr">
        <is>
          <t>Estimation gameplay à renseigner</t>
        </is>
      </c>
      <c r="G118" t="inlineStr">
        <is>
          <t>C si véhicule courant/variante connue; D si prototype ou variante ambiguë</t>
        </is>
      </c>
    </row>
    <row r="119">
      <c r="A119" t="inlineStr">
        <is>
          <t>VEH-118</t>
        </is>
      </c>
      <c r="B119" t="inlineStr">
        <is>
          <t>M10 Wolverine</t>
        </is>
      </c>
      <c r="C119" t="inlineStr">
        <is>
          <t>Chars lourds et chasseurs de chars</t>
        </is>
      </c>
      <c r="D119" t="n">
        <v>10</v>
      </c>
      <c r="E119" t="inlineStr">
        <is>
          <t>Masse à vide (kg), Longueur (m), Largeur (m), Hauteur (m), Cylindrée (L), Puissance (ch), Capacité carburant (L), Consommation historique (L/100 km), Vitesse max (km/h), Autonomie historique (km)</t>
        </is>
      </c>
      <c r="F119" t="inlineStr">
        <is>
          <t>Estimation gameplay à renseigner</t>
        </is>
      </c>
      <c r="G119" t="inlineStr">
        <is>
          <t>C si véhicule courant/variante connue; D si prototype ou variante ambiguë</t>
        </is>
      </c>
    </row>
    <row r="120">
      <c r="A120" t="inlineStr">
        <is>
          <t>VEH-119</t>
        </is>
      </c>
      <c r="B120" t="inlineStr">
        <is>
          <t>M18 Hellcat</t>
        </is>
      </c>
      <c r="C120" t="inlineStr">
        <is>
          <t>Chars lourds et chasseurs de chars</t>
        </is>
      </c>
      <c r="D120" t="n">
        <v>10</v>
      </c>
      <c r="E120" t="inlineStr">
        <is>
          <t>Masse à vide (kg), Longueur (m), Largeur (m), Hauteur (m), Cylindrée (L), Puissance (ch), Capacité carburant (L), Consommation historique (L/100 km), Vitesse max (km/h), Autonomie historique (km)</t>
        </is>
      </c>
      <c r="F120" t="inlineStr">
        <is>
          <t>Estimation gameplay à renseigner</t>
        </is>
      </c>
      <c r="G120" t="inlineStr">
        <is>
          <t>C si véhicule courant/variante connue; D si prototype ou variante ambiguë</t>
        </is>
      </c>
    </row>
    <row r="121">
      <c r="A121" t="inlineStr">
        <is>
          <t>VEH-120</t>
        </is>
      </c>
      <c r="B121" t="inlineStr">
        <is>
          <t>M36 Jackson</t>
        </is>
      </c>
      <c r="C121" t="inlineStr">
        <is>
          <t>Chars lourds et chasseurs de chars</t>
        </is>
      </c>
      <c r="D121" t="n">
        <v>10</v>
      </c>
      <c r="E121" t="inlineStr">
        <is>
          <t>Masse à vide (kg), Longueur (m), Largeur (m), Hauteur (m), Cylindrée (L), Puissance (ch), Capacité carburant (L), Consommation historique (L/100 km), Vitesse max (km/h), Autonomie historique (km)</t>
        </is>
      </c>
      <c r="F121" t="inlineStr">
        <is>
          <t>Estimation gameplay à renseigner</t>
        </is>
      </c>
      <c r="G121" t="inlineStr">
        <is>
          <t>C si véhicule courant/variante connue; D si prototype ou variante ambiguë</t>
        </is>
      </c>
    </row>
    <row r="122">
      <c r="A122" t="inlineStr">
        <is>
          <t>VEH-121</t>
        </is>
      </c>
      <c r="B122" t="inlineStr">
        <is>
          <t>SU-76</t>
        </is>
      </c>
      <c r="C122" t="inlineStr">
        <is>
          <t>Chars lourds et chasseurs de chars</t>
        </is>
      </c>
      <c r="D122" t="n">
        <v>10</v>
      </c>
      <c r="E122" t="inlineStr">
        <is>
          <t>Masse à vide (kg), Longueur (m), Largeur (m), Hauteur (m), Cylindrée (L), Puissance (ch), Capacité carburant (L), Consommation historique (L/100 km), Vitesse max (km/h), Autonomie historique (km)</t>
        </is>
      </c>
      <c r="F122" t="inlineStr">
        <is>
          <t>Estimation gameplay à renseigner</t>
        </is>
      </c>
      <c r="G122" t="inlineStr">
        <is>
          <t>C si véhicule courant/variante connue; D si prototype ou variante ambiguë</t>
        </is>
      </c>
    </row>
    <row r="123">
      <c r="A123" t="inlineStr">
        <is>
          <t>VEH-122</t>
        </is>
      </c>
      <c r="B123" t="inlineStr">
        <is>
          <t>SU-85</t>
        </is>
      </c>
      <c r="C123" t="inlineStr">
        <is>
          <t>Chars lourds et chasseurs de chars</t>
        </is>
      </c>
      <c r="D123" t="n">
        <v>10</v>
      </c>
      <c r="E123" t="inlineStr">
        <is>
          <t>Masse à vide (kg), Longueur (m), Largeur (m), Hauteur (m), Cylindrée (L), Puissance (ch), Capacité carburant (L), Consommation historique (L/100 km), Vitesse max (km/h), Autonomie historique (km)</t>
        </is>
      </c>
      <c r="F123" t="inlineStr">
        <is>
          <t>Estimation gameplay à renseigner</t>
        </is>
      </c>
      <c r="G123" t="inlineStr">
        <is>
          <t>C si véhicule courant/variante connue; D si prototype ou variante ambiguë</t>
        </is>
      </c>
    </row>
    <row r="124">
      <c r="A124" t="inlineStr">
        <is>
          <t>VEH-123</t>
        </is>
      </c>
      <c r="B124" t="inlineStr">
        <is>
          <t>IS-2</t>
        </is>
      </c>
      <c r="C124" t="inlineStr">
        <is>
          <t>Chars lourds et chasseurs de chars</t>
        </is>
      </c>
      <c r="D124" t="n">
        <v>10</v>
      </c>
      <c r="E124" t="inlineStr">
        <is>
          <t>Masse à vide (kg), Longueur (m), Largeur (m), Hauteur (m), Cylindrée (L), Puissance (ch), Capacité carburant (L), Consommation historique (L/100 km), Vitesse max (km/h), Autonomie historique (km)</t>
        </is>
      </c>
      <c r="F124" t="inlineStr">
        <is>
          <t>Estimation gameplay à renseigner</t>
        </is>
      </c>
      <c r="G124" t="inlineStr">
        <is>
          <t>C si véhicule courant/variante connue; D si prototype ou variante ambiguë</t>
        </is>
      </c>
    </row>
    <row r="125">
      <c r="A125" t="inlineStr">
        <is>
          <t>VEH-124</t>
        </is>
      </c>
      <c r="B125" t="inlineStr">
        <is>
          <t>DUKW</t>
        </is>
      </c>
      <c r="C125" t="inlineStr">
        <is>
          <t>Amphibies et véhicules spécialisés</t>
        </is>
      </c>
      <c r="D125" t="n">
        <v>1</v>
      </c>
      <c r="E125" t="inlineStr">
        <is>
          <t>Consommation historique (L/100 km)</t>
        </is>
      </c>
      <c r="F125" t="inlineStr">
        <is>
          <t>Estimation gameplay à renseigner</t>
        </is>
      </c>
      <c r="G125" t="inlineStr">
        <is>
          <t>C si véhicule courant/variante connue; D si prototype ou variante ambiguë</t>
        </is>
      </c>
    </row>
    <row r="126">
      <c r="A126" t="inlineStr">
        <is>
          <t>VEH-125</t>
        </is>
      </c>
      <c r="B126" t="inlineStr">
        <is>
          <t>LVT-2 / LVT-4</t>
        </is>
      </c>
      <c r="C126" t="inlineStr">
        <is>
          <t>Amphibies et véhicules spécialisés</t>
        </is>
      </c>
      <c r="D126" t="n">
        <v>10</v>
      </c>
      <c r="E126" t="inlineStr">
        <is>
          <t>Masse à vide (kg), Longueur (m), Largeur (m), Hauteur (m), Cylindrée (L), Puissance (ch), Capacité carburant (L), Consommation historique (L/100 km), Vitesse max (km/h), Autonomie historique (km)</t>
        </is>
      </c>
      <c r="F126" t="inlineStr">
        <is>
          <t>Estimation gameplay à renseigner</t>
        </is>
      </c>
      <c r="G126" t="inlineStr">
        <is>
          <t>C si véhicule courant/variante connue; D si prototype ou variante ambiguë</t>
        </is>
      </c>
    </row>
    <row r="127">
      <c r="A127" t="inlineStr">
        <is>
          <t>VEH-126</t>
        </is>
      </c>
      <c r="B127" t="inlineStr">
        <is>
          <t>Studebaker M29 Weasel</t>
        </is>
      </c>
      <c r="C127" t="inlineStr">
        <is>
          <t>Amphibies et véhicules spécialisés</t>
        </is>
      </c>
      <c r="D127" t="n">
        <v>10</v>
      </c>
      <c r="E127" t="inlineStr">
        <is>
          <t>Masse à vide (kg), Longueur (m), Largeur (m), Hauteur (m), Cylindrée (L), Puissance (ch), Capacité carburant (L), Consommation historique (L/100 km), Vitesse max (km/h), Autonomie historique (km)</t>
        </is>
      </c>
      <c r="F127" t="inlineStr">
        <is>
          <t>Estimation gameplay à renseigner</t>
        </is>
      </c>
      <c r="G127" t="inlineStr">
        <is>
          <t>C si véhicule courant/variante connue; D si prototype ou variante ambiguë</t>
        </is>
      </c>
    </row>
    <row r="128">
      <c r="A128" t="inlineStr">
        <is>
          <t>VEH-127</t>
        </is>
      </c>
      <c r="B128" t="inlineStr">
        <is>
          <t>Ford GPA Seep</t>
        </is>
      </c>
      <c r="C128" t="inlineStr">
        <is>
          <t>Amphibies et véhicules spécialisés</t>
        </is>
      </c>
      <c r="D128" t="n">
        <v>10</v>
      </c>
      <c r="E128" t="inlineStr">
        <is>
          <t>Masse à vide (kg), Longueur (m), Largeur (m), Hauteur (m), Cylindrée (L), Puissance (ch), Capacité carburant (L), Consommation historique (L/100 km), Vitesse max (km/h), Autonomie historique (km)</t>
        </is>
      </c>
      <c r="F128" t="inlineStr">
        <is>
          <t>Estimation gameplay à renseigner</t>
        </is>
      </c>
      <c r="G128" t="inlineStr">
        <is>
          <t>C si véhicule courant/variante connue; D si prototype ou variante ambiguë</t>
        </is>
      </c>
    </row>
    <row r="129">
      <c r="A129" t="inlineStr">
        <is>
          <t>VEH-128</t>
        </is>
      </c>
      <c r="B129" t="inlineStr">
        <is>
          <t>Schwimmwagen Type 166</t>
        </is>
      </c>
      <c r="C129" t="inlineStr">
        <is>
          <t>Amphibies et véhicules spécialisés</t>
        </is>
      </c>
      <c r="D129" t="n">
        <v>10</v>
      </c>
      <c r="E129" t="inlineStr">
        <is>
          <t>Masse à vide (kg), Longueur (m), Largeur (m), Hauteur (m), Cylindrée (L), Puissance (ch), Capacité carburant (L), Consommation historique (L/100 km), Vitesse max (km/h), Autonomie historique (km)</t>
        </is>
      </c>
      <c r="F129" t="inlineStr">
        <is>
          <t>Estimation gameplay à renseigner</t>
        </is>
      </c>
      <c r="G129" t="inlineStr">
        <is>
          <t>C si véhicule courant/variante connue; D si prototype ou variante ambiguë</t>
        </is>
      </c>
    </row>
    <row r="130">
      <c r="A130" t="inlineStr">
        <is>
          <t>VEH-129</t>
        </is>
      </c>
      <c r="B130" t="inlineStr">
        <is>
          <t>LVT britannique Buffalo</t>
        </is>
      </c>
      <c r="C130" t="inlineStr">
        <is>
          <t>Amphibies et véhicules spécialisés</t>
        </is>
      </c>
      <c r="D130" t="n">
        <v>10</v>
      </c>
      <c r="E130" t="inlineStr">
        <is>
          <t>Masse à vide (kg), Longueur (m), Largeur (m), Hauteur (m), Cylindrée (L), Puissance (ch), Capacité carburant (L), Consommation historique (L/100 km), Vitesse max (km/h), Autonomie historique (km)</t>
        </is>
      </c>
      <c r="F130" t="inlineStr">
        <is>
          <t>Estimation gameplay à renseigner</t>
        </is>
      </c>
      <c r="G130" t="inlineStr">
        <is>
          <t>C si véhicule courant/variante connue; D si prototype ou variante ambiguë</t>
        </is>
      </c>
    </row>
    <row r="131">
      <c r="A131" t="inlineStr">
        <is>
          <t>VEH-130</t>
        </is>
      </c>
      <c r="B131" t="inlineStr">
        <is>
          <t>Caterpillar D2</t>
        </is>
      </c>
      <c r="C131" t="inlineStr">
        <is>
          <t>Engins de chantier et agricoles</t>
        </is>
      </c>
      <c r="D131" t="n">
        <v>10</v>
      </c>
      <c r="E131" t="inlineStr">
        <is>
          <t>Masse à vide (kg), Longueur (m), Largeur (m), Hauteur (m), Cylindrée (L), Puissance (ch), Capacité carburant (L), Consommation historique (L/100 km), Vitesse max (km/h), Autonomie historique (km)</t>
        </is>
      </c>
      <c r="F131" t="inlineStr">
        <is>
          <t>Estimation gameplay à renseigner</t>
        </is>
      </c>
      <c r="G131" t="inlineStr">
        <is>
          <t>C si véhicule courant/variante connue; D si prototype ou variante ambiguë</t>
        </is>
      </c>
    </row>
    <row r="132">
      <c r="A132" t="inlineStr">
        <is>
          <t>VEH-131</t>
        </is>
      </c>
      <c r="B132" t="inlineStr">
        <is>
          <t>Caterpillar D4</t>
        </is>
      </c>
      <c r="C132" t="inlineStr">
        <is>
          <t>Engins de chantier et agricoles</t>
        </is>
      </c>
      <c r="D132" t="n">
        <v>10</v>
      </c>
      <c r="E132" t="inlineStr">
        <is>
          <t>Masse à vide (kg), Longueur (m), Largeur (m), Hauteur (m), Cylindrée (L), Puissance (ch), Capacité carburant (L), Consommation historique (L/100 km), Vitesse max (km/h), Autonomie historique (km)</t>
        </is>
      </c>
      <c r="F132" t="inlineStr">
        <is>
          <t>Estimation gameplay à renseigner</t>
        </is>
      </c>
      <c r="G132" t="inlineStr">
        <is>
          <t>C si véhicule courant/variante connue; D si prototype ou variante ambiguë</t>
        </is>
      </c>
    </row>
    <row r="133">
      <c r="A133" t="inlineStr">
        <is>
          <t>VEH-132</t>
        </is>
      </c>
      <c r="B133" t="inlineStr">
        <is>
          <t>Caterpillar D7</t>
        </is>
      </c>
      <c r="C133" t="inlineStr">
        <is>
          <t>Engins de chantier et agricoles</t>
        </is>
      </c>
      <c r="D133" t="n">
        <v>10</v>
      </c>
      <c r="E133" t="inlineStr">
        <is>
          <t>Masse à vide (kg), Longueur (m), Largeur (m), Hauteur (m), Cylindrée (L), Puissance (ch), Capacité carburant (L), Consommation historique (L/100 km), Vitesse max (km/h), Autonomie historique (km)</t>
        </is>
      </c>
      <c r="F133" t="inlineStr">
        <is>
          <t>Estimation gameplay à renseigner</t>
        </is>
      </c>
      <c r="G133" t="inlineStr">
        <is>
          <t>C si véhicule courant/variante connue; D si prototype ou variante ambiguë</t>
        </is>
      </c>
    </row>
    <row r="134">
      <c r="A134" t="inlineStr">
        <is>
          <t>VEH-133</t>
        </is>
      </c>
      <c r="B134" t="inlineStr">
        <is>
          <t>Cletrac HG / modèles d'époque</t>
        </is>
      </c>
      <c r="C134" t="inlineStr">
        <is>
          <t>Engins de chantier et agricoles</t>
        </is>
      </c>
      <c r="D134" t="n">
        <v>10</v>
      </c>
      <c r="E134" t="inlineStr">
        <is>
          <t>Masse à vide (kg), Longueur (m), Largeur (m), Hauteur (m), Cylindrée (L), Puissance (ch), Capacité carburant (L), Consommation historique (L/100 km), Vitesse max (km/h), Autonomie historique (km)</t>
        </is>
      </c>
      <c r="F134" t="inlineStr">
        <is>
          <t>Estimation gameplay à renseigner</t>
        </is>
      </c>
      <c r="G134" t="inlineStr">
        <is>
          <t>C si véhicule courant/variante connue; D si prototype ou variante ambiguë</t>
        </is>
      </c>
    </row>
    <row r="135">
      <c r="A135" t="inlineStr">
        <is>
          <t>VEH-134</t>
        </is>
      </c>
      <c r="B135" t="inlineStr">
        <is>
          <t>Farmall H</t>
        </is>
      </c>
      <c r="C135" t="inlineStr">
        <is>
          <t>Engins de chantier et agricoles</t>
        </is>
      </c>
      <c r="D135" t="n">
        <v>10</v>
      </c>
      <c r="E135" t="inlineStr">
        <is>
          <t>Masse à vide (kg), Longueur (m), Largeur (m), Hauteur (m), Cylindrée (L), Puissance (ch), Capacité carburant (L), Consommation historique (L/100 km), Vitesse max (km/h), Autonomie historique (km)</t>
        </is>
      </c>
      <c r="F135" t="inlineStr">
        <is>
          <t>Estimation gameplay à renseigner</t>
        </is>
      </c>
      <c r="G135" t="inlineStr">
        <is>
          <t>C si véhicule courant/variante connue; D si prototype ou variante ambiguë</t>
        </is>
      </c>
    </row>
    <row r="136">
      <c r="A136" t="inlineStr">
        <is>
          <t>VEH-135</t>
        </is>
      </c>
      <c r="B136" t="inlineStr">
        <is>
          <t>Fordson N</t>
        </is>
      </c>
      <c r="C136" t="inlineStr">
        <is>
          <t>Engins de chantier et agricoles</t>
        </is>
      </c>
      <c r="D136" t="n">
        <v>10</v>
      </c>
      <c r="E136" t="inlineStr">
        <is>
          <t>Masse à vide (kg), Longueur (m), Largeur (m), Hauteur (m), Cylindrée (L), Puissance (ch), Capacité carburant (L), Consommation historique (L/100 km), Vitesse max (km/h), Autonomie historique (km)</t>
        </is>
      </c>
      <c r="F136" t="inlineStr">
        <is>
          <t>Estimation gameplay à renseigner</t>
        </is>
      </c>
      <c r="G136" t="inlineStr">
        <is>
          <t>C si véhicule courant/variante connue; D si prototype ou variante ambiguë</t>
        </is>
      </c>
    </row>
    <row r="137">
      <c r="A137" t="inlineStr">
        <is>
          <t>VEH-136</t>
        </is>
      </c>
      <c r="B137" t="inlineStr">
        <is>
          <t>Lanz Bulldog</t>
        </is>
      </c>
      <c r="C137" t="inlineStr">
        <is>
          <t>Engins de chantier et agricoles</t>
        </is>
      </c>
      <c r="D137" t="n">
        <v>10</v>
      </c>
      <c r="E137" t="inlineStr">
        <is>
          <t>Masse à vide (kg), Longueur (m), Largeur (m), Hauteur (m), Cylindrée (L), Puissance (ch), Capacité carburant (L), Consommation historique (L/100 km), Vitesse max (km/h), Autonomie historique (km)</t>
        </is>
      </c>
      <c r="F137" t="inlineStr">
        <is>
          <t>Estimation gameplay à renseigner</t>
        </is>
      </c>
      <c r="G137" t="inlineStr">
        <is>
          <t>C si véhicule courant/variante connue; D si prototype ou variante ambiguë</t>
        </is>
      </c>
    </row>
    <row r="138">
      <c r="A138" t="inlineStr">
        <is>
          <t>VEH-137</t>
        </is>
      </c>
      <c r="B138" t="inlineStr">
        <is>
          <t>Pavesi P4 / Pavesi Tolotti</t>
        </is>
      </c>
      <c r="C138" t="inlineStr">
        <is>
          <t>Engins de chantier et agricoles</t>
        </is>
      </c>
      <c r="D138" t="n">
        <v>10</v>
      </c>
      <c r="E138" t="inlineStr">
        <is>
          <t>Masse à vide (kg), Longueur (m), Largeur (m), Hauteur (m), Cylindrée (L), Puissance (ch), Capacité carburant (L), Consommation historique (L/100 km), Vitesse max (km/h), Autonomie historique (km)</t>
        </is>
      </c>
      <c r="F138" t="inlineStr">
        <is>
          <t>Estimation gameplay à renseigner</t>
        </is>
      </c>
      <c r="G138" t="inlineStr">
        <is>
          <t>C si véhicule courant/variante connue; D si prototype ou variante ambiguë</t>
        </is>
      </c>
    </row>
    <row r="139">
      <c r="A139" t="inlineStr">
        <is>
          <t>VEH-138</t>
        </is>
      </c>
      <c r="B139" t="inlineStr">
        <is>
          <t>Bergepanther</t>
        </is>
      </c>
      <c r="C139" t="inlineStr">
        <is>
          <t>Engins de chantier et agricoles</t>
        </is>
      </c>
      <c r="D139" t="n">
        <v>10</v>
      </c>
      <c r="E139" t="inlineStr">
        <is>
          <t>Masse à vide (kg), Longueur (m), Largeur (m), Hauteur (m), Cylindrée (L), Puissance (ch), Capacité carburant (L), Consommation historique (L/100 km), Vitesse max (km/h), Autonomie historique (km)</t>
        </is>
      </c>
      <c r="F139" t="inlineStr">
        <is>
          <t>Estimation gameplay à renseigner</t>
        </is>
      </c>
      <c r="G139" t="inlineStr">
        <is>
          <t>C si véhicule courant/variante connue; D si prototype ou variante ambiguë</t>
        </is>
      </c>
    </row>
    <row r="140">
      <c r="A140" t="inlineStr">
        <is>
          <t>VEH-139</t>
        </is>
      </c>
      <c r="B140" t="inlineStr">
        <is>
          <t>Churchill ARV</t>
        </is>
      </c>
      <c r="C140" t="inlineStr">
        <is>
          <t>Engins de chantier et agricoles</t>
        </is>
      </c>
      <c r="D140" t="n">
        <v>10</v>
      </c>
      <c r="E140" t="inlineStr">
        <is>
          <t>Masse à vide (kg), Longueur (m), Largeur (m), Hauteur (m), Cylindrée (L), Puissance (ch), Capacité carburant (L), Consommation historique (L/100 km), Vitesse max (km/h), Autonomie historique (km)</t>
        </is>
      </c>
      <c r="F140" t="inlineStr">
        <is>
          <t>Estimation gameplay à renseigner</t>
        </is>
      </c>
      <c r="G140" t="inlineStr">
        <is>
          <t>C si véhicule courant/variante connue; D si prototype ou variante ambiguë</t>
        </is>
      </c>
    </row>
    <row r="141">
      <c r="A141" t="inlineStr">
        <is>
          <t>VEH-140</t>
        </is>
      </c>
      <c r="B141" t="inlineStr">
        <is>
          <t>M31 Tank Recovery Vehicle</t>
        </is>
      </c>
      <c r="C141" t="inlineStr">
        <is>
          <t>Engins de chantier et agricoles</t>
        </is>
      </c>
      <c r="D141" t="n">
        <v>10</v>
      </c>
      <c r="E141" t="inlineStr">
        <is>
          <t>Masse à vide (kg), Longueur (m), Largeur (m), Hauteur (m), Cylindrée (L), Puissance (ch), Capacité carburant (L), Consommation historique (L/100 km), Vitesse max (km/h), Autonomie historique (km)</t>
        </is>
      </c>
      <c r="F141" t="inlineStr">
        <is>
          <t>Estimation gameplay à renseigner</t>
        </is>
      </c>
      <c r="G141" t="inlineStr">
        <is>
          <t>C si véhicule courant/variante connue; D si prototype ou variante ambiguë</t>
        </is>
      </c>
    </row>
    <row r="142">
      <c r="A142" t="inlineStr">
        <is>
          <t>VEH-141</t>
        </is>
      </c>
      <c r="B142" t="inlineStr">
        <is>
          <t>Renault FT</t>
        </is>
      </c>
      <c r="C142" t="inlineStr">
        <is>
          <t>Chars légers et chars anciens</t>
        </is>
      </c>
      <c r="D142" t="n">
        <v>10</v>
      </c>
      <c r="E142" t="inlineStr">
        <is>
          <t>Masse à vide (kg), Longueur (m), Largeur (m), Hauteur (m), Cylindrée (L), Puissance (ch), Capacité carburant (L), Consommation historique (L/100 km), Vitesse max (km/h), Autonomie historique (km)</t>
        </is>
      </c>
      <c r="F142" t="inlineStr">
        <is>
          <t>Estimation gameplay à renseigner</t>
        </is>
      </c>
      <c r="G142" t="inlineStr">
        <is>
          <t>C si véhicule courant/variante connue; D si prototype ou variante ambiguë</t>
        </is>
      </c>
    </row>
    <row r="143">
      <c r="A143" t="inlineStr">
        <is>
          <t>VEH-142</t>
        </is>
      </c>
      <c r="B143" t="inlineStr">
        <is>
          <t>Renault NC27 / NC1</t>
        </is>
      </c>
      <c r="C143" t="inlineStr">
        <is>
          <t>Chars légers et chars anciens</t>
        </is>
      </c>
      <c r="D143" t="n">
        <v>10</v>
      </c>
      <c r="E143" t="inlineStr">
        <is>
          <t>Masse à vide (kg), Longueur (m), Largeur (m), Hauteur (m), Cylindrée (L), Puissance (ch), Capacité carburant (L), Consommation historique (L/100 km), Vitesse max (km/h), Autonomie historique (km)</t>
        </is>
      </c>
      <c r="F143" t="inlineStr">
        <is>
          <t>Estimation gameplay à renseigner</t>
        </is>
      </c>
      <c r="G143" t="inlineStr">
        <is>
          <t>C si véhicule courant/variante connue; D si prototype ou variante ambiguë</t>
        </is>
      </c>
    </row>
    <row r="144">
      <c r="A144" t="inlineStr">
        <is>
          <t>VEH-143</t>
        </is>
      </c>
      <c r="B144" t="inlineStr">
        <is>
          <t>Renault D1</t>
        </is>
      </c>
      <c r="C144" t="inlineStr">
        <is>
          <t>Chars légers et chars anciens</t>
        </is>
      </c>
      <c r="D144" t="n">
        <v>10</v>
      </c>
      <c r="E144" t="inlineStr">
        <is>
          <t>Masse à vide (kg), Longueur (m), Largeur (m), Hauteur (m), Cylindrée (L), Puissance (ch), Capacité carburant (L), Consommation historique (L/100 km), Vitesse max (km/h), Autonomie historique (km)</t>
        </is>
      </c>
      <c r="F144" t="inlineStr">
        <is>
          <t>Estimation gameplay à renseigner</t>
        </is>
      </c>
      <c r="G144" t="inlineStr">
        <is>
          <t>C si véhicule courant/variante connue; D si prototype ou variante ambiguë</t>
        </is>
      </c>
    </row>
    <row r="145">
      <c r="A145" t="inlineStr">
        <is>
          <t>VEH-144</t>
        </is>
      </c>
      <c r="B145" t="inlineStr">
        <is>
          <t>Renault D2</t>
        </is>
      </c>
      <c r="C145" t="inlineStr">
        <is>
          <t>Chars moyens</t>
        </is>
      </c>
      <c r="D145" t="n">
        <v>10</v>
      </c>
      <c r="E145" t="inlineStr">
        <is>
          <t>Masse à vide (kg), Longueur (m), Largeur (m), Hauteur (m), Cylindrée (L), Puissance (ch), Capacité carburant (L), Consommation historique (L/100 km), Vitesse max (km/h), Autonomie historique (km)</t>
        </is>
      </c>
      <c r="F145" t="inlineStr">
        <is>
          <t>Estimation gameplay à renseigner</t>
        </is>
      </c>
      <c r="G145" t="inlineStr">
        <is>
          <t>C si véhicule courant/variante connue; D si prototype ou variante ambiguë</t>
        </is>
      </c>
    </row>
    <row r="146">
      <c r="A146" t="inlineStr">
        <is>
          <t>VEH-145</t>
        </is>
      </c>
      <c r="B146" t="inlineStr">
        <is>
          <t>Char 2C</t>
        </is>
      </c>
      <c r="C146" t="inlineStr">
        <is>
          <t>Chars lourds et prototypes</t>
        </is>
      </c>
      <c r="D146" t="n">
        <v>10</v>
      </c>
      <c r="E146" t="inlineStr">
        <is>
          <t>Masse à vide (kg), Longueur (m), Largeur (m), Hauteur (m), Cylindrée (L), Puissance (ch), Capacité carburant (L), Consommation historique (L/100 km), Vitesse max (km/h), Autonomie historique (km)</t>
        </is>
      </c>
      <c r="F146" t="inlineStr">
        <is>
          <t>Estimation gameplay à renseigner</t>
        </is>
      </c>
      <c r="G146" t="inlineStr">
        <is>
          <t>C si véhicule courant/variante connue; D si prototype ou variante ambiguë</t>
        </is>
      </c>
    </row>
    <row r="147">
      <c r="A147" t="inlineStr">
        <is>
          <t>VEH-146</t>
        </is>
      </c>
      <c r="B147" t="inlineStr">
        <is>
          <t>AMR 33</t>
        </is>
      </c>
      <c r="C147" t="inlineStr">
        <is>
          <t>Reconnaissance et chars légers</t>
        </is>
      </c>
      <c r="D147" t="n">
        <v>10</v>
      </c>
      <c r="E147" t="inlineStr">
        <is>
          <t>Masse à vide (kg), Longueur (m), Largeur (m), Hauteur (m), Cylindrée (L), Puissance (ch), Capacité carburant (L), Consommation historique (L/100 km), Vitesse max (km/h), Autonomie historique (km)</t>
        </is>
      </c>
      <c r="F147" t="inlineStr">
        <is>
          <t>Estimation gameplay à renseigner</t>
        </is>
      </c>
      <c r="G147" t="inlineStr">
        <is>
          <t>C si véhicule courant/variante connue; D si prototype ou variante ambiguë</t>
        </is>
      </c>
    </row>
    <row r="148">
      <c r="A148" t="inlineStr">
        <is>
          <t>VEH-147</t>
        </is>
      </c>
      <c r="B148" t="inlineStr">
        <is>
          <t>AMR 35</t>
        </is>
      </c>
      <c r="C148" t="inlineStr">
        <is>
          <t>Reconnaissance et chars légers</t>
        </is>
      </c>
      <c r="D148" t="n">
        <v>10</v>
      </c>
      <c r="E148" t="inlineStr">
        <is>
          <t>Masse à vide (kg), Longueur (m), Largeur (m), Hauteur (m), Cylindrée (L), Puissance (ch), Capacité carburant (L), Consommation historique (L/100 km), Vitesse max (km/h), Autonomie historique (km)</t>
        </is>
      </c>
      <c r="F148" t="inlineStr">
        <is>
          <t>Estimation gameplay à renseigner</t>
        </is>
      </c>
      <c r="G148" t="inlineStr">
        <is>
          <t>C si véhicule courant/variante connue; D si prototype ou variante ambiguë</t>
        </is>
      </c>
    </row>
    <row r="149">
      <c r="A149" t="inlineStr">
        <is>
          <t>VEH-148</t>
        </is>
      </c>
      <c r="B149" t="inlineStr">
        <is>
          <t>AMC 34 / Renault YR</t>
        </is>
      </c>
      <c r="C149" t="inlineStr">
        <is>
          <t>Chars de cavalerie et prototypes</t>
        </is>
      </c>
      <c r="D149" t="n">
        <v>10</v>
      </c>
      <c r="E149" t="inlineStr">
        <is>
          <t>Masse à vide (kg), Longueur (m), Largeur (m), Hauteur (m), Cylindrée (L), Puissance (ch), Capacité carburant (L), Consommation historique (L/100 km), Vitesse max (km/h), Autonomie historique (km)</t>
        </is>
      </c>
      <c r="F149" t="inlineStr">
        <is>
          <t>Estimation gameplay à renseigner</t>
        </is>
      </c>
      <c r="G149" t="inlineStr">
        <is>
          <t>C si véhicule courant/variante connue; D si prototype ou variante ambiguë</t>
        </is>
      </c>
    </row>
    <row r="150">
      <c r="A150" t="inlineStr">
        <is>
          <t>VEH-149</t>
        </is>
      </c>
      <c r="B150" t="inlineStr">
        <is>
          <t>AMC 35 / ACG-1</t>
        </is>
      </c>
      <c r="C150" t="inlineStr">
        <is>
          <t>Chars de cavalerie et prototypes</t>
        </is>
      </c>
      <c r="D150" t="n">
        <v>10</v>
      </c>
      <c r="E150" t="inlineStr">
        <is>
          <t>Masse à vide (kg), Longueur (m), Largeur (m), Hauteur (m), Cylindrée (L), Puissance (ch), Capacité carburant (L), Consommation historique (L/100 km), Vitesse max (km/h), Autonomie historique (km)</t>
        </is>
      </c>
      <c r="F150" t="inlineStr">
        <is>
          <t>Estimation gameplay à renseigner</t>
        </is>
      </c>
      <c r="G150" t="inlineStr">
        <is>
          <t>C si véhicule courant/variante connue; D si prototype ou variante ambiguë</t>
        </is>
      </c>
    </row>
    <row r="151">
      <c r="A151" t="inlineStr">
        <is>
          <t>VEH-150</t>
        </is>
      </c>
      <c r="B151" t="inlineStr">
        <is>
          <t>FCM 36</t>
        </is>
      </c>
      <c r="C151" t="inlineStr">
        <is>
          <t>Chars légers et chars anciens</t>
        </is>
      </c>
      <c r="D151" t="n">
        <v>10</v>
      </c>
      <c r="E151" t="inlineStr">
        <is>
          <t>Masse à vide (kg), Longueur (m), Largeur (m), Hauteur (m), Cylindrée (L), Puissance (ch), Capacité carburant (L), Consommation historique (L/100 km), Vitesse max (km/h), Autonomie historique (km)</t>
        </is>
      </c>
      <c r="F151" t="inlineStr">
        <is>
          <t>Estimation gameplay à renseigner</t>
        </is>
      </c>
      <c r="G151" t="inlineStr">
        <is>
          <t>C si véhicule courant/variante connue; D si prototype ou variante ambiguë</t>
        </is>
      </c>
    </row>
    <row r="152">
      <c r="A152" t="inlineStr">
        <is>
          <t>VEH-151</t>
        </is>
      </c>
      <c r="B152" t="inlineStr">
        <is>
          <t>Renault R40</t>
        </is>
      </c>
      <c r="C152" t="inlineStr">
        <is>
          <t>Chars légers et chars anciens</t>
        </is>
      </c>
      <c r="D152" t="n">
        <v>10</v>
      </c>
      <c r="E152" t="inlineStr">
        <is>
          <t>Masse à vide (kg), Longueur (m), Largeur (m), Hauteur (m), Cylindrée (L), Puissance (ch), Capacité carburant (L), Consommation historique (L/100 km), Vitesse max (km/h), Autonomie historique (km)</t>
        </is>
      </c>
      <c r="F152" t="inlineStr">
        <is>
          <t>Estimation gameplay à renseigner</t>
        </is>
      </c>
      <c r="G152" t="inlineStr">
        <is>
          <t>C si véhicule courant/variante connue; D si prototype ou variante ambiguë</t>
        </is>
      </c>
    </row>
    <row r="153">
      <c r="A153" t="inlineStr">
        <is>
          <t>VEH-152</t>
        </is>
      </c>
      <c r="B153" t="inlineStr">
        <is>
          <t>Laffly W15 TCC</t>
        </is>
      </c>
      <c r="C153" t="inlineStr">
        <is>
          <t>Chasseurs de chars et canons automoteurs</t>
        </is>
      </c>
      <c r="D153" t="n">
        <v>10</v>
      </c>
      <c r="E153" t="inlineStr">
        <is>
          <t>Masse à vide (kg), Longueur (m), Largeur (m), Hauteur (m), Cylindrée (L), Puissance (ch), Capacité carburant (L), Consommation historique (L/100 km), Vitesse max (km/h), Autonomie historique (km)</t>
        </is>
      </c>
      <c r="F153" t="inlineStr">
        <is>
          <t>Estimation gameplay à renseigner</t>
        </is>
      </c>
      <c r="G153" t="inlineStr">
        <is>
          <t>C si véhicule courant/variante connue; D si prototype ou variante ambiguë</t>
        </is>
      </c>
    </row>
    <row r="154">
      <c r="A154" t="inlineStr">
        <is>
          <t>VEH-153</t>
        </is>
      </c>
      <c r="B154" t="inlineStr">
        <is>
          <t>ARL V39</t>
        </is>
      </c>
      <c r="C154" t="inlineStr">
        <is>
          <t>Chasseurs de chars et canons automoteurs</t>
        </is>
      </c>
      <c r="D154" t="n">
        <v>10</v>
      </c>
      <c r="E154" t="inlineStr">
        <is>
          <t>Masse à vide (kg), Longueur (m), Largeur (m), Hauteur (m), Cylindrée (L), Puissance (ch), Capacité carburant (L), Consommation historique (L/100 km), Vitesse max (km/h), Autonomie historique (km)</t>
        </is>
      </c>
      <c r="F154" t="inlineStr">
        <is>
          <t>Estimation gameplay à renseigner</t>
        </is>
      </c>
      <c r="G154" t="inlineStr">
        <is>
          <t>C si véhicule courant/variante connue; D si prototype ou variante ambiguë</t>
        </is>
      </c>
    </row>
    <row r="155">
      <c r="A155" t="inlineStr">
        <is>
          <t>VEH-154</t>
        </is>
      </c>
      <c r="B155" t="inlineStr">
        <is>
          <t>FCM F1</t>
        </is>
      </c>
      <c r="C155" t="inlineStr">
        <is>
          <t>Chars lourds et prototypes</t>
        </is>
      </c>
      <c r="D155" t="n">
        <v>10</v>
      </c>
      <c r="E155" t="inlineStr">
        <is>
          <t>Masse à vide (kg), Longueur (m), Largeur (m), Hauteur (m), Cylindrée (L), Puissance (ch), Capacité carburant (L), Consommation historique (L/100 km), Vitesse max (km/h), Autonomie historique (km)</t>
        </is>
      </c>
      <c r="F155" t="inlineStr">
        <is>
          <t>Estimation gameplay à renseigner</t>
        </is>
      </c>
      <c r="G155" t="inlineStr">
        <is>
          <t>C si véhicule courant/variante connue; D si prototype ou variante ambiguë</t>
        </is>
      </c>
    </row>
    <row r="156">
      <c r="A156" t="inlineStr">
        <is>
          <t>VEH-155</t>
        </is>
      </c>
      <c r="B156" t="inlineStr">
        <is>
          <t>Panzer I Ausf. A</t>
        </is>
      </c>
      <c r="C156" t="inlineStr">
        <is>
          <t>Chars légers et chars anciens</t>
        </is>
      </c>
      <c r="D156" t="n">
        <v>10</v>
      </c>
      <c r="E156" t="inlineStr">
        <is>
          <t>Masse à vide (kg), Longueur (m), Largeur (m), Hauteur (m), Cylindrée (L), Puissance (ch), Capacité carburant (L), Consommation historique (L/100 km), Vitesse max (km/h), Autonomie historique (km)</t>
        </is>
      </c>
      <c r="F156" t="inlineStr">
        <is>
          <t>Estimation gameplay à renseigner</t>
        </is>
      </c>
      <c r="G156" t="inlineStr">
        <is>
          <t>C si véhicule courant/variante connue; D si prototype ou variante ambiguë</t>
        </is>
      </c>
    </row>
    <row r="157">
      <c r="A157" t="inlineStr">
        <is>
          <t>VEH-156</t>
        </is>
      </c>
      <c r="B157" t="inlineStr">
        <is>
          <t>Panzer I Ausf. B</t>
        </is>
      </c>
      <c r="C157" t="inlineStr">
        <is>
          <t>Chars légers et chars anciens</t>
        </is>
      </c>
      <c r="D157" t="n">
        <v>10</v>
      </c>
      <c r="E157" t="inlineStr">
        <is>
          <t>Masse à vide (kg), Longueur (m), Largeur (m), Hauteur (m), Cylindrée (L), Puissance (ch), Capacité carburant (L), Consommation historique (L/100 km), Vitesse max (km/h), Autonomie historique (km)</t>
        </is>
      </c>
      <c r="F157" t="inlineStr">
        <is>
          <t>Estimation gameplay à renseigner</t>
        </is>
      </c>
      <c r="G157" t="inlineStr">
        <is>
          <t>C si véhicule courant/variante connue; D si prototype ou variante ambiguë</t>
        </is>
      </c>
    </row>
    <row r="158">
      <c r="A158" t="inlineStr">
        <is>
          <t>VEH-157</t>
        </is>
      </c>
      <c r="B158" t="inlineStr">
        <is>
          <t>Panzer II Ausf. A–C</t>
        </is>
      </c>
      <c r="C158" t="inlineStr">
        <is>
          <t>Chars légers et chars anciens</t>
        </is>
      </c>
      <c r="D158" t="n">
        <v>10</v>
      </c>
      <c r="E158" t="inlineStr">
        <is>
          <t>Masse à vide (kg), Longueur (m), Largeur (m), Hauteur (m), Cylindrée (L), Puissance (ch), Capacité carburant (L), Consommation historique (L/100 km), Vitesse max (km/h), Autonomie historique (km)</t>
        </is>
      </c>
      <c r="F158" t="inlineStr">
        <is>
          <t>Estimation gameplay à renseigner</t>
        </is>
      </c>
      <c r="G158" t="inlineStr">
        <is>
          <t>C si véhicule courant/variante connue; D si prototype ou variante ambiguë</t>
        </is>
      </c>
    </row>
    <row r="159">
      <c r="A159" t="inlineStr">
        <is>
          <t>VEH-158</t>
        </is>
      </c>
      <c r="B159" t="inlineStr">
        <is>
          <t>Panzer II Ausf. F</t>
        </is>
      </c>
      <c r="C159" t="inlineStr">
        <is>
          <t>Chars légers et chars anciens</t>
        </is>
      </c>
      <c r="D159" t="n">
        <v>10</v>
      </c>
      <c r="E159" t="inlineStr">
        <is>
          <t>Masse à vide (kg), Longueur (m), Largeur (m), Hauteur (m), Cylindrée (L), Puissance (ch), Capacité carburant (L), Consommation historique (L/100 km), Vitesse max (km/h), Autonomie historique (km)</t>
        </is>
      </c>
      <c r="F159" t="inlineStr">
        <is>
          <t>Estimation gameplay à renseigner</t>
        </is>
      </c>
      <c r="G159" t="inlineStr">
        <is>
          <t>C si véhicule courant/variante connue; D si prototype ou variante ambiguë</t>
        </is>
      </c>
    </row>
    <row r="160">
      <c r="A160" t="inlineStr">
        <is>
          <t>VEH-159</t>
        </is>
      </c>
      <c r="B160" t="inlineStr">
        <is>
          <t>Panzer II L Luchs</t>
        </is>
      </c>
      <c r="C160" t="inlineStr">
        <is>
          <t>Reconnaissance et chars légers</t>
        </is>
      </c>
      <c r="D160" t="n">
        <v>10</v>
      </c>
      <c r="E160" t="inlineStr">
        <is>
          <t>Masse à vide (kg), Longueur (m), Largeur (m), Hauteur (m), Cylindrée (L), Puissance (ch), Capacité carburant (L), Consommation historique (L/100 km), Vitesse max (km/h), Autonomie historique (km)</t>
        </is>
      </c>
      <c r="F160" t="inlineStr">
        <is>
          <t>Estimation gameplay à renseigner</t>
        </is>
      </c>
      <c r="G160" t="inlineStr">
        <is>
          <t>C si véhicule courant/variante connue; D si prototype ou variante ambiguë</t>
        </is>
      </c>
    </row>
    <row r="161">
      <c r="A161" t="inlineStr">
        <is>
          <t>VEH-160</t>
        </is>
      </c>
      <c r="B161" t="inlineStr">
        <is>
          <t>Neubaufahrzeug</t>
        </is>
      </c>
      <c r="C161" t="inlineStr">
        <is>
          <t>Chars lourds et prototypes</t>
        </is>
      </c>
      <c r="D161" t="n">
        <v>10</v>
      </c>
      <c r="E161" t="inlineStr">
        <is>
          <t>Masse à vide (kg), Longueur (m), Largeur (m), Hauteur (m), Cylindrée (L), Puissance (ch), Capacité carburant (L), Consommation historique (L/100 km), Vitesse max (km/h), Autonomie historique (km)</t>
        </is>
      </c>
      <c r="F161" t="inlineStr">
        <is>
          <t>Estimation gameplay à renseigner</t>
        </is>
      </c>
      <c r="G161" t="inlineStr">
        <is>
          <t>C si véhicule courant/variante connue; D si prototype ou variante ambiguë</t>
        </is>
      </c>
    </row>
    <row r="162">
      <c r="A162" t="inlineStr">
        <is>
          <t>VEH-161</t>
        </is>
      </c>
      <c r="B162" t="inlineStr">
        <is>
          <t>Panzer III Ausf. E–G</t>
        </is>
      </c>
      <c r="C162" t="inlineStr">
        <is>
          <t>Chars moyens</t>
        </is>
      </c>
      <c r="D162" t="n">
        <v>10</v>
      </c>
      <c r="E162" t="inlineStr">
        <is>
          <t>Masse à vide (kg), Longueur (m), Largeur (m), Hauteur (m), Cylindrée (L), Puissance (ch), Capacité carburant (L), Consommation historique (L/100 km), Vitesse max (km/h), Autonomie historique (km)</t>
        </is>
      </c>
      <c r="F162" t="inlineStr">
        <is>
          <t>Estimation gameplay à renseigner</t>
        </is>
      </c>
      <c r="G162" t="inlineStr">
        <is>
          <t>C si véhicule courant/variante connue; D si prototype ou variante ambiguë</t>
        </is>
      </c>
    </row>
    <row r="163">
      <c r="A163" t="inlineStr">
        <is>
          <t>VEH-162</t>
        </is>
      </c>
      <c r="B163" t="inlineStr">
        <is>
          <t>Panzer III Ausf. J–N</t>
        </is>
      </c>
      <c r="C163" t="inlineStr">
        <is>
          <t>Chars moyens</t>
        </is>
      </c>
      <c r="D163" t="n">
        <v>10</v>
      </c>
      <c r="E163" t="inlineStr">
        <is>
          <t>Masse à vide (kg), Longueur (m), Largeur (m), Hauteur (m), Cylindrée (L), Puissance (ch), Capacité carburant (L), Consommation historique (L/100 km), Vitesse max (km/h), Autonomie historique (km)</t>
        </is>
      </c>
      <c r="F163" t="inlineStr">
        <is>
          <t>Estimation gameplay à renseigner</t>
        </is>
      </c>
      <c r="G163" t="inlineStr">
        <is>
          <t>C si véhicule courant/variante connue; D si prototype ou variante ambiguë</t>
        </is>
      </c>
    </row>
    <row r="164">
      <c r="A164" t="inlineStr">
        <is>
          <t>VEH-163</t>
        </is>
      </c>
      <c r="B164" t="inlineStr">
        <is>
          <t>Panzer IV Ausf. A–F1</t>
        </is>
      </c>
      <c r="C164" t="inlineStr">
        <is>
          <t>Chars moyens</t>
        </is>
      </c>
      <c r="D164" t="n">
        <v>10</v>
      </c>
      <c r="E164" t="inlineStr">
        <is>
          <t>Masse à vide (kg), Longueur (m), Largeur (m), Hauteur (m), Cylindrée (L), Puissance (ch), Capacité carburant (L), Consommation historique (L/100 km), Vitesse max (km/h), Autonomie historique (km)</t>
        </is>
      </c>
      <c r="F164" t="inlineStr">
        <is>
          <t>Estimation gameplay à renseigner</t>
        </is>
      </c>
      <c r="G164" t="inlineStr">
        <is>
          <t>C si véhicule courant/variante connue; D si prototype ou variante ambiguë</t>
        </is>
      </c>
    </row>
    <row r="165">
      <c r="A165" t="inlineStr">
        <is>
          <t>VEH-164</t>
        </is>
      </c>
      <c r="B165" t="inlineStr">
        <is>
          <t>Panzer IV Ausf. F2–J</t>
        </is>
      </c>
      <c r="C165" t="inlineStr">
        <is>
          <t>Chars moyens</t>
        </is>
      </c>
      <c r="D165" t="n">
        <v>10</v>
      </c>
      <c r="E165" t="inlineStr">
        <is>
          <t>Masse à vide (kg), Longueur (m), Largeur (m), Hauteur (m), Cylindrée (L), Puissance (ch), Capacité carburant (L), Consommation historique (L/100 km), Vitesse max (km/h), Autonomie historique (km)</t>
        </is>
      </c>
      <c r="F165" t="inlineStr">
        <is>
          <t>Estimation gameplay à renseigner</t>
        </is>
      </c>
      <c r="G165" t="inlineStr">
        <is>
          <t>C si véhicule courant/variante connue; D si prototype ou variante ambiguë</t>
        </is>
      </c>
    </row>
    <row r="166">
      <c r="A166" t="inlineStr">
        <is>
          <t>VEH-165</t>
        </is>
      </c>
      <c r="B166" t="inlineStr">
        <is>
          <t>Panther Ausf. D/A/G</t>
        </is>
      </c>
      <c r="C166" t="inlineStr">
        <is>
          <t>Chars moyens</t>
        </is>
      </c>
      <c r="D166" t="n">
        <v>10</v>
      </c>
      <c r="E166" t="inlineStr">
        <is>
          <t>Masse à vide (kg), Longueur (m), Largeur (m), Hauteur (m), Cylindrée (L), Puissance (ch), Capacité carburant (L), Consommation historique (L/100 km), Vitesse max (km/h), Autonomie historique (km)</t>
        </is>
      </c>
      <c r="F166" t="inlineStr">
        <is>
          <t>Estimation gameplay à renseigner</t>
        </is>
      </c>
      <c r="G166" t="inlineStr">
        <is>
          <t>C si véhicule courant/variante connue; D si prototype ou variante ambiguë</t>
        </is>
      </c>
    </row>
    <row r="167">
      <c r="A167" t="inlineStr">
        <is>
          <t>VEH-166</t>
        </is>
      </c>
      <c r="B167" t="inlineStr">
        <is>
          <t>Maus</t>
        </is>
      </c>
      <c r="C167" t="inlineStr">
        <is>
          <t>Chars lourds et prototypes</t>
        </is>
      </c>
      <c r="D167" t="n">
        <v>10</v>
      </c>
      <c r="E167" t="inlineStr">
        <is>
          <t>Masse à vide (kg), Longueur (m), Largeur (m), Hauteur (m), Cylindrée (L), Puissance (ch), Capacité carburant (L), Consommation historique (L/100 km), Vitesse max (km/h), Autonomie historique (km)</t>
        </is>
      </c>
      <c r="F167" t="inlineStr">
        <is>
          <t>Estimation gameplay à renseigner</t>
        </is>
      </c>
      <c r="G167" t="inlineStr">
        <is>
          <t>C si véhicule courant/variante connue; D si prototype ou variante ambiguë</t>
        </is>
      </c>
    </row>
    <row r="168">
      <c r="A168" t="inlineStr">
        <is>
          <t>VEH-167</t>
        </is>
      </c>
      <c r="B168" t="inlineStr">
        <is>
          <t>E-100</t>
        </is>
      </c>
      <c r="C168" t="inlineStr">
        <is>
          <t>Chars lourds et prototypes</t>
        </is>
      </c>
      <c r="D168" t="n">
        <v>10</v>
      </c>
      <c r="E168" t="inlineStr">
        <is>
          <t>Masse à vide (kg), Longueur (m), Largeur (m), Hauteur (m), Cylindrée (L), Puissance (ch), Capacité carburant (L), Consommation historique (L/100 km), Vitesse max (km/h), Autonomie historique (km)</t>
        </is>
      </c>
      <c r="F168" t="inlineStr">
        <is>
          <t>Estimation gameplay à renseigner</t>
        </is>
      </c>
      <c r="G168" t="inlineStr">
        <is>
          <t>C si véhicule courant/variante connue; D si prototype ou variante ambiguë</t>
        </is>
      </c>
    </row>
    <row r="169">
      <c r="A169" t="inlineStr">
        <is>
          <t>VEH-168</t>
        </is>
      </c>
      <c r="B169" t="inlineStr">
        <is>
          <t>Jagdpanzer IV</t>
        </is>
      </c>
      <c r="C169" t="inlineStr">
        <is>
          <t>Chasseurs de chars et canons automoteurs</t>
        </is>
      </c>
      <c r="D169" t="n">
        <v>10</v>
      </c>
      <c r="E169" t="inlineStr">
        <is>
          <t>Masse à vide (kg), Longueur (m), Largeur (m), Hauteur (m), Cylindrée (L), Puissance (ch), Capacité carburant (L), Consommation historique (L/100 km), Vitesse max (km/h), Autonomie historique (km)</t>
        </is>
      </c>
      <c r="F169" t="inlineStr">
        <is>
          <t>Estimation gameplay à renseigner</t>
        </is>
      </c>
      <c r="G169" t="inlineStr">
        <is>
          <t>C si véhicule courant/variante connue; D si prototype ou variante ambiguë</t>
        </is>
      </c>
    </row>
    <row r="170">
      <c r="A170" t="inlineStr">
        <is>
          <t>VEH-169</t>
        </is>
      </c>
      <c r="B170" t="inlineStr">
        <is>
          <t>Elefant / Ferdinand</t>
        </is>
      </c>
      <c r="C170" t="inlineStr">
        <is>
          <t>Chasseurs de chars et canons automoteurs</t>
        </is>
      </c>
      <c r="D170" t="n">
        <v>10</v>
      </c>
      <c r="E170" t="inlineStr">
        <is>
          <t>Masse à vide (kg), Longueur (m), Largeur (m), Hauteur (m), Cylindrée (L), Puissance (ch), Capacité carburant (L), Consommation historique (L/100 km), Vitesse max (km/h), Autonomie historique (km)</t>
        </is>
      </c>
      <c r="F170" t="inlineStr">
        <is>
          <t>Estimation gameplay à renseigner</t>
        </is>
      </c>
      <c r="G170" t="inlineStr">
        <is>
          <t>C si véhicule courant/variante connue; D si prototype ou variante ambiguë</t>
        </is>
      </c>
    </row>
    <row r="171">
      <c r="A171" t="inlineStr">
        <is>
          <t>VEH-170</t>
        </is>
      </c>
      <c r="B171" t="inlineStr">
        <is>
          <t>Sturmtiger</t>
        </is>
      </c>
      <c r="C171" t="inlineStr">
        <is>
          <t>Chasseurs de chars et canons automoteurs</t>
        </is>
      </c>
      <c r="D171" t="n">
        <v>10</v>
      </c>
      <c r="E171" t="inlineStr">
        <is>
          <t>Masse à vide (kg), Longueur (m), Largeur (m), Hauteur (m), Cylindrée (L), Puissance (ch), Capacité carburant (L), Consommation historique (L/100 km), Vitesse max (km/h), Autonomie historique (km)</t>
        </is>
      </c>
      <c r="F171" t="inlineStr">
        <is>
          <t>Estimation gameplay à renseigner</t>
        </is>
      </c>
      <c r="G171" t="inlineStr">
        <is>
          <t>C si véhicule courant/variante connue; D si prototype ou variante ambiguë</t>
        </is>
      </c>
    </row>
    <row r="172">
      <c r="A172" t="inlineStr">
        <is>
          <t>VEH-171</t>
        </is>
      </c>
      <c r="B172" t="inlineStr">
        <is>
          <t>Brummbär / Sturmpanzer IV</t>
        </is>
      </c>
      <c r="C172" t="inlineStr">
        <is>
          <t>Chasseurs de chars et canons automoteurs</t>
        </is>
      </c>
      <c r="D172" t="n">
        <v>10</v>
      </c>
      <c r="E172" t="inlineStr">
        <is>
          <t>Masse à vide (kg), Longueur (m), Largeur (m), Hauteur (m), Cylindrée (L), Puissance (ch), Capacité carburant (L), Consommation historique (L/100 km), Vitesse max (km/h), Autonomie historique (km)</t>
        </is>
      </c>
      <c r="F172" t="inlineStr">
        <is>
          <t>Estimation gameplay à renseigner</t>
        </is>
      </c>
      <c r="G172" t="inlineStr">
        <is>
          <t>C si véhicule courant/variante connue; D si prototype ou variante ambiguë</t>
        </is>
      </c>
    </row>
    <row r="173">
      <c r="A173" t="inlineStr">
        <is>
          <t>VEH-172</t>
        </is>
      </c>
      <c r="B173" t="inlineStr">
        <is>
          <t>Wespe</t>
        </is>
      </c>
      <c r="C173" t="inlineStr">
        <is>
          <t>Chasseurs de chars et canons automoteurs</t>
        </is>
      </c>
      <c r="D173" t="n">
        <v>10</v>
      </c>
      <c r="E173" t="inlineStr">
        <is>
          <t>Masse à vide (kg), Longueur (m), Largeur (m), Hauteur (m), Cylindrée (L), Puissance (ch), Capacité carburant (L), Consommation historique (L/100 km), Vitesse max (km/h), Autonomie historique (km)</t>
        </is>
      </c>
      <c r="F173" t="inlineStr">
        <is>
          <t>Estimation gameplay à renseigner</t>
        </is>
      </c>
      <c r="G173" t="inlineStr">
        <is>
          <t>C si véhicule courant/variante connue; D si prototype ou variante ambiguë</t>
        </is>
      </c>
    </row>
    <row r="174">
      <c r="A174" t="inlineStr">
        <is>
          <t>VEH-173</t>
        </is>
      </c>
      <c r="B174" t="inlineStr">
        <is>
          <t>Hummel</t>
        </is>
      </c>
      <c r="C174" t="inlineStr">
        <is>
          <t>Chasseurs de chars et canons automoteurs</t>
        </is>
      </c>
      <c r="D174" t="n">
        <v>10</v>
      </c>
      <c r="E174" t="inlineStr">
        <is>
          <t>Masse à vide (kg), Longueur (m), Largeur (m), Hauteur (m), Cylindrée (L), Puissance (ch), Capacité carburant (L), Consommation historique (L/100 km), Vitesse max (km/h), Autonomie historique (km)</t>
        </is>
      </c>
      <c r="F174" t="inlineStr">
        <is>
          <t>Estimation gameplay à renseigner</t>
        </is>
      </c>
      <c r="G174" t="inlineStr">
        <is>
          <t>C si véhicule courant/variante connue; D si prototype ou variante ambiguë</t>
        </is>
      </c>
    </row>
    <row r="175">
      <c r="A175" t="inlineStr">
        <is>
          <t>VEH-174</t>
        </is>
      </c>
      <c r="B175" t="inlineStr">
        <is>
          <t>Marder II</t>
        </is>
      </c>
      <c r="C175" t="inlineStr">
        <is>
          <t>Chasseurs de chars et canons automoteurs</t>
        </is>
      </c>
      <c r="D175" t="n">
        <v>10</v>
      </c>
      <c r="E175" t="inlineStr">
        <is>
          <t>Masse à vide (kg), Longueur (m), Largeur (m), Hauteur (m), Cylindrée (L), Puissance (ch), Capacité carburant (L), Consommation historique (L/100 km), Vitesse max (km/h), Autonomie historique (km)</t>
        </is>
      </c>
      <c r="F175" t="inlineStr">
        <is>
          <t>Estimation gameplay à renseigner</t>
        </is>
      </c>
      <c r="G175" t="inlineStr">
        <is>
          <t>C si véhicule courant/variante connue; D si prototype ou variante ambiguë</t>
        </is>
      </c>
    </row>
    <row r="176">
      <c r="A176" t="inlineStr">
        <is>
          <t>VEH-175</t>
        </is>
      </c>
      <c r="B176" t="inlineStr">
        <is>
          <t>Marder III</t>
        </is>
      </c>
      <c r="C176" t="inlineStr">
        <is>
          <t>Chasseurs de chars et canons automoteurs</t>
        </is>
      </c>
      <c r="D176" t="n">
        <v>10</v>
      </c>
      <c r="E176" t="inlineStr">
        <is>
          <t>Masse à vide (kg), Longueur (m), Largeur (m), Hauteur (m), Cylindrée (L), Puissance (ch), Capacité carburant (L), Consommation historique (L/100 km), Vitesse max (km/h), Autonomie historique (km)</t>
        </is>
      </c>
      <c r="F176" t="inlineStr">
        <is>
          <t>Estimation gameplay à renseigner</t>
        </is>
      </c>
      <c r="G176" t="inlineStr">
        <is>
          <t>C si véhicule courant/variante connue; D si prototype ou variante ambiguë</t>
        </is>
      </c>
    </row>
    <row r="177">
      <c r="A177" t="inlineStr">
        <is>
          <t>VEH-176</t>
        </is>
      </c>
      <c r="B177" t="inlineStr">
        <is>
          <t>Nashorn / Hornisse</t>
        </is>
      </c>
      <c r="C177" t="inlineStr">
        <is>
          <t>Chasseurs de chars et canons automoteurs</t>
        </is>
      </c>
      <c r="D177" t="n">
        <v>10</v>
      </c>
      <c r="E177" t="inlineStr">
        <is>
          <t>Masse à vide (kg), Longueur (m), Largeur (m), Hauteur (m), Cylindrée (L), Puissance (ch), Capacité carburant (L), Consommation historique (L/100 km), Vitesse max (km/h), Autonomie historique (km)</t>
        </is>
      </c>
      <c r="F177" t="inlineStr">
        <is>
          <t>Estimation gameplay à renseigner</t>
        </is>
      </c>
      <c r="G177" t="inlineStr">
        <is>
          <t>C si véhicule courant/variante connue; D si prototype ou variante ambiguë</t>
        </is>
      </c>
    </row>
    <row r="178">
      <c r="A178" t="inlineStr">
        <is>
          <t>VEH-177</t>
        </is>
      </c>
      <c r="B178" t="inlineStr">
        <is>
          <t>Sturmpanzer I Bison</t>
        </is>
      </c>
      <c r="C178" t="inlineStr">
        <is>
          <t>Chasseurs de chars et canons automoteurs</t>
        </is>
      </c>
      <c r="D178" t="n">
        <v>10</v>
      </c>
      <c r="E178" t="inlineStr">
        <is>
          <t>Masse à vide (kg), Longueur (m), Largeur (m), Hauteur (m), Cylindrée (L), Puissance (ch), Capacité carburant (L), Consommation historique (L/100 km), Vitesse max (km/h), Autonomie historique (km)</t>
        </is>
      </c>
      <c r="F178" t="inlineStr">
        <is>
          <t>Estimation gameplay à renseigner</t>
        </is>
      </c>
      <c r="G178" t="inlineStr">
        <is>
          <t>C si véhicule courant/variante connue; D si prototype ou variante ambiguë</t>
        </is>
      </c>
    </row>
    <row r="179">
      <c r="A179" t="inlineStr">
        <is>
          <t>VEH-178</t>
        </is>
      </c>
      <c r="B179" t="inlineStr">
        <is>
          <t>A11 Matilda I</t>
        </is>
      </c>
      <c r="C179" t="inlineStr">
        <is>
          <t>Chars légers et chars anciens</t>
        </is>
      </c>
      <c r="D179" t="n">
        <v>10</v>
      </c>
      <c r="E179" t="inlineStr">
        <is>
          <t>Masse à vide (kg), Longueur (m), Largeur (m), Hauteur (m), Cylindrée (L), Puissance (ch), Capacité carburant (L), Consommation historique (L/100 km), Vitesse max (km/h), Autonomie historique (km)</t>
        </is>
      </c>
      <c r="F179" t="inlineStr">
        <is>
          <t>Estimation gameplay à renseigner</t>
        </is>
      </c>
      <c r="G179" t="inlineStr">
        <is>
          <t>C si véhicule courant/variante connue; D si prototype ou variante ambiguë</t>
        </is>
      </c>
    </row>
    <row r="180">
      <c r="A180" t="inlineStr">
        <is>
          <t>VEH-179</t>
        </is>
      </c>
      <c r="B180" t="inlineStr">
        <is>
          <t>A12 Matilda II</t>
        </is>
      </c>
      <c r="C180" t="inlineStr">
        <is>
          <t>Chars d'infanterie</t>
        </is>
      </c>
      <c r="D180" t="n">
        <v>10</v>
      </c>
      <c r="E180" t="inlineStr">
        <is>
          <t>Masse à vide (kg), Longueur (m), Largeur (m), Hauteur (m), Cylindrée (L), Puissance (ch), Capacité carburant (L), Consommation historique (L/100 km), Vitesse max (km/h), Autonomie historique (km)</t>
        </is>
      </c>
      <c r="F180" t="inlineStr">
        <is>
          <t>Estimation gameplay à renseigner</t>
        </is>
      </c>
      <c r="G180" t="inlineStr">
        <is>
          <t>C si véhicule courant/variante connue; D si prototype ou variante ambiguë</t>
        </is>
      </c>
    </row>
    <row r="181">
      <c r="A181" t="inlineStr">
        <is>
          <t>VEH-180</t>
        </is>
      </c>
      <c r="B181" t="inlineStr">
        <is>
          <t>A9 Cruiser Mk I</t>
        </is>
      </c>
      <c r="C181" t="inlineStr">
        <is>
          <t>Chars de croisière</t>
        </is>
      </c>
      <c r="D181" t="n">
        <v>10</v>
      </c>
      <c r="E181" t="inlineStr">
        <is>
          <t>Masse à vide (kg), Longueur (m), Largeur (m), Hauteur (m), Cylindrée (L), Puissance (ch), Capacité carburant (L), Consommation historique (L/100 km), Vitesse max (km/h), Autonomie historique (km)</t>
        </is>
      </c>
      <c r="F181" t="inlineStr">
        <is>
          <t>Estimation gameplay à renseigner</t>
        </is>
      </c>
      <c r="G181" t="inlineStr">
        <is>
          <t>C si véhicule courant/variante connue; D si prototype ou variante ambiguë</t>
        </is>
      </c>
    </row>
    <row r="182">
      <c r="A182" t="inlineStr">
        <is>
          <t>VEH-181</t>
        </is>
      </c>
      <c r="B182" t="inlineStr">
        <is>
          <t>A10 Cruiser Mk II</t>
        </is>
      </c>
      <c r="C182" t="inlineStr">
        <is>
          <t>Chars de croisière</t>
        </is>
      </c>
      <c r="D182" t="n">
        <v>10</v>
      </c>
      <c r="E182" t="inlineStr">
        <is>
          <t>Masse à vide (kg), Longueur (m), Largeur (m), Hauteur (m), Cylindrée (L), Puissance (ch), Capacité carburant (L), Consommation historique (L/100 km), Vitesse max (km/h), Autonomie historique (km)</t>
        </is>
      </c>
      <c r="F182" t="inlineStr">
        <is>
          <t>Estimation gameplay à renseigner</t>
        </is>
      </c>
      <c r="G182" t="inlineStr">
        <is>
          <t>C si véhicule courant/variante connue; D si prototype ou variante ambiguë</t>
        </is>
      </c>
    </row>
    <row r="183">
      <c r="A183" t="inlineStr">
        <is>
          <t>VEH-182</t>
        </is>
      </c>
      <c r="B183" t="inlineStr">
        <is>
          <t>A13 Cruiser Mk III</t>
        </is>
      </c>
      <c r="C183" t="inlineStr">
        <is>
          <t>Chars de croisière</t>
        </is>
      </c>
      <c r="D183" t="n">
        <v>10</v>
      </c>
      <c r="E183" t="inlineStr">
        <is>
          <t>Masse à vide (kg), Longueur (m), Largeur (m), Hauteur (m), Cylindrée (L), Puissance (ch), Capacité carburant (L), Consommation historique (L/100 km), Vitesse max (km/h), Autonomie historique (km)</t>
        </is>
      </c>
      <c r="F183" t="inlineStr">
        <is>
          <t>Estimation gameplay à renseigner</t>
        </is>
      </c>
      <c r="G183" t="inlineStr">
        <is>
          <t>C si véhicule courant/variante connue; D si prototype ou variante ambiguë</t>
        </is>
      </c>
    </row>
    <row r="184">
      <c r="A184" t="inlineStr">
        <is>
          <t>VEH-183</t>
        </is>
      </c>
      <c r="B184" t="inlineStr">
        <is>
          <t>A13 Cruiser Mk IV</t>
        </is>
      </c>
      <c r="C184" t="inlineStr">
        <is>
          <t>Chars de croisière</t>
        </is>
      </c>
      <c r="D184" t="n">
        <v>10</v>
      </c>
      <c r="E184" t="inlineStr">
        <is>
          <t>Masse à vide (kg), Longueur (m), Largeur (m), Hauteur (m), Cylindrée (L), Puissance (ch), Capacité carburant (L), Consommation historique (L/100 km), Vitesse max (km/h), Autonomie historique (km)</t>
        </is>
      </c>
      <c r="F184" t="inlineStr">
        <is>
          <t>Estimation gameplay à renseigner</t>
        </is>
      </c>
      <c r="G184" t="inlineStr">
        <is>
          <t>C si véhicule courant/variante connue; D si prototype ou variante ambiguë</t>
        </is>
      </c>
    </row>
    <row r="185">
      <c r="A185" t="inlineStr">
        <is>
          <t>VEH-184</t>
        </is>
      </c>
      <c r="B185" t="inlineStr">
        <is>
          <t>Covenanter A13 Mk III</t>
        </is>
      </c>
      <c r="C185" t="inlineStr">
        <is>
          <t>Chars de croisière</t>
        </is>
      </c>
      <c r="D185" t="n">
        <v>10</v>
      </c>
      <c r="E185" t="inlineStr">
        <is>
          <t>Masse à vide (kg), Longueur (m), Largeur (m), Hauteur (m), Cylindrée (L), Puissance (ch), Capacité carburant (L), Consommation historique (L/100 km), Vitesse max (km/h), Autonomie historique (km)</t>
        </is>
      </c>
      <c r="F185" t="inlineStr">
        <is>
          <t>Estimation gameplay à renseigner</t>
        </is>
      </c>
      <c r="G185" t="inlineStr">
        <is>
          <t>C si véhicule courant/variante connue; D si prototype ou variante ambiguë</t>
        </is>
      </c>
    </row>
    <row r="186">
      <c r="A186" t="inlineStr">
        <is>
          <t>VEH-185</t>
        </is>
      </c>
      <c r="B186" t="inlineStr">
        <is>
          <t>Crusader I/II</t>
        </is>
      </c>
      <c r="C186" t="inlineStr">
        <is>
          <t>Chars de croisière</t>
        </is>
      </c>
      <c r="D186" t="n">
        <v>10</v>
      </c>
      <c r="E186" t="inlineStr">
        <is>
          <t>Masse à vide (kg), Longueur (m), Largeur (m), Hauteur (m), Cylindrée (L), Puissance (ch), Capacité carburant (L), Consommation historique (L/100 km), Vitesse max (km/h), Autonomie historique (km)</t>
        </is>
      </c>
      <c r="F186" t="inlineStr">
        <is>
          <t>Estimation gameplay à renseigner</t>
        </is>
      </c>
      <c r="G186" t="inlineStr">
        <is>
          <t>C si véhicule courant/variante connue; D si prototype ou variante ambiguë</t>
        </is>
      </c>
    </row>
    <row r="187">
      <c r="A187" t="inlineStr">
        <is>
          <t>VEH-186</t>
        </is>
      </c>
      <c r="B187" t="inlineStr">
        <is>
          <t>Crusader III</t>
        </is>
      </c>
      <c r="C187" t="inlineStr">
        <is>
          <t>Chars de croisière</t>
        </is>
      </c>
      <c r="D187" t="n">
        <v>10</v>
      </c>
      <c r="E187" t="inlineStr">
        <is>
          <t>Masse à vide (kg), Longueur (m), Largeur (m), Hauteur (m), Cylindrée (L), Puissance (ch), Capacité carburant (L), Consommation historique (L/100 km), Vitesse max (km/h), Autonomie historique (km)</t>
        </is>
      </c>
      <c r="F187" t="inlineStr">
        <is>
          <t>Estimation gameplay à renseigner</t>
        </is>
      </c>
      <c r="G187" t="inlineStr">
        <is>
          <t>C si véhicule courant/variante connue; D si prototype ou variante ambiguë</t>
        </is>
      </c>
    </row>
    <row r="188">
      <c r="A188" t="inlineStr">
        <is>
          <t>VEH-187</t>
        </is>
      </c>
      <c r="B188" t="inlineStr">
        <is>
          <t>Churchill Mk I–III</t>
        </is>
      </c>
      <c r="C188" t="inlineStr">
        <is>
          <t>Chars d'infanterie</t>
        </is>
      </c>
      <c r="D188" t="n">
        <v>10</v>
      </c>
      <c r="E188" t="inlineStr">
        <is>
          <t>Masse à vide (kg), Longueur (m), Largeur (m), Hauteur (m), Cylindrée (L), Puissance (ch), Capacité carburant (L), Consommation historique (L/100 km), Vitesse max (km/h), Autonomie historique (km)</t>
        </is>
      </c>
      <c r="F188" t="inlineStr">
        <is>
          <t>Estimation gameplay à renseigner</t>
        </is>
      </c>
      <c r="G188" t="inlineStr">
        <is>
          <t>C si véhicule courant/variante connue; D si prototype ou variante ambiguë</t>
        </is>
      </c>
    </row>
    <row r="189">
      <c r="A189" t="inlineStr">
        <is>
          <t>VEH-188</t>
        </is>
      </c>
      <c r="B189" t="inlineStr">
        <is>
          <t>Churchill Mk IV–VII</t>
        </is>
      </c>
      <c r="C189" t="inlineStr">
        <is>
          <t>Chars d'infanterie</t>
        </is>
      </c>
      <c r="D189" t="n">
        <v>10</v>
      </c>
      <c r="E189" t="inlineStr">
        <is>
          <t>Masse à vide (kg), Longueur (m), Largeur (m), Hauteur (m), Cylindrée (L), Puissance (ch), Capacité carburant (L), Consommation historique (L/100 km), Vitesse max (km/h), Autonomie historique (km)</t>
        </is>
      </c>
      <c r="F189" t="inlineStr">
        <is>
          <t>Estimation gameplay à renseigner</t>
        </is>
      </c>
      <c r="G189" t="inlineStr">
        <is>
          <t>C si véhicule courant/variante connue; D si prototype ou variante ambiguë</t>
        </is>
      </c>
    </row>
    <row r="190">
      <c r="A190" t="inlineStr">
        <is>
          <t>VEH-189</t>
        </is>
      </c>
      <c r="B190" t="inlineStr">
        <is>
          <t>Cromwell IV</t>
        </is>
      </c>
      <c r="C190" t="inlineStr">
        <is>
          <t>Chars de croisière</t>
        </is>
      </c>
      <c r="D190" t="n">
        <v>10</v>
      </c>
      <c r="E190" t="inlineStr">
        <is>
          <t>Masse à vide (kg), Longueur (m), Largeur (m), Hauteur (m), Cylindrée (L), Puissance (ch), Capacité carburant (L), Consommation historique (L/100 km), Vitesse max (km/h), Autonomie historique (km)</t>
        </is>
      </c>
      <c r="F190" t="inlineStr">
        <is>
          <t>Estimation gameplay à renseigner</t>
        </is>
      </c>
      <c r="G190" t="inlineStr">
        <is>
          <t>C si véhicule courant/variante connue; D si prototype ou variante ambiguë</t>
        </is>
      </c>
    </row>
    <row r="191">
      <c r="A191" t="inlineStr">
        <is>
          <t>VEH-190</t>
        </is>
      </c>
      <c r="B191" t="inlineStr">
        <is>
          <t>Centaur IV</t>
        </is>
      </c>
      <c r="C191" t="inlineStr">
        <is>
          <t>Chars de croisière</t>
        </is>
      </c>
      <c r="D191" t="n">
        <v>10</v>
      </c>
      <c r="E191" t="inlineStr">
        <is>
          <t>Masse à vide (kg), Longueur (m), Largeur (m), Hauteur (m), Cylindrée (L), Puissance (ch), Capacité carburant (L), Consommation historique (L/100 km), Vitesse max (km/h), Autonomie historique (km)</t>
        </is>
      </c>
      <c r="F191" t="inlineStr">
        <is>
          <t>Estimation gameplay à renseigner</t>
        </is>
      </c>
      <c r="G191" t="inlineStr">
        <is>
          <t>C si véhicule courant/variante connue; D si prototype ou variante ambiguë</t>
        </is>
      </c>
    </row>
    <row r="192">
      <c r="A192" t="inlineStr">
        <is>
          <t>VEH-191</t>
        </is>
      </c>
      <c r="B192" t="inlineStr">
        <is>
          <t>Comet A34</t>
        </is>
      </c>
      <c r="C192" t="inlineStr">
        <is>
          <t>Chars de croisière</t>
        </is>
      </c>
      <c r="D192" t="n">
        <v>10</v>
      </c>
      <c r="E192" t="inlineStr">
        <is>
          <t>Masse à vide (kg), Longueur (m), Largeur (m), Hauteur (m), Cylindrée (L), Puissance (ch), Capacité carburant (L), Consommation historique (L/100 km), Vitesse max (km/h), Autonomie historique (km)</t>
        </is>
      </c>
      <c r="F192" t="inlineStr">
        <is>
          <t>Estimation gameplay à renseigner</t>
        </is>
      </c>
      <c r="G192" t="inlineStr">
        <is>
          <t>C si véhicule courant/variante connue; D si prototype ou variante ambiguë</t>
        </is>
      </c>
    </row>
    <row r="193">
      <c r="A193" t="inlineStr">
        <is>
          <t>VEH-192</t>
        </is>
      </c>
      <c r="B193" t="inlineStr">
        <is>
          <t>Tetrarch</t>
        </is>
      </c>
      <c r="C193" t="inlineStr">
        <is>
          <t>Chars légers et chars anciens</t>
        </is>
      </c>
      <c r="D193" t="n">
        <v>10</v>
      </c>
      <c r="E193" t="inlineStr">
        <is>
          <t>Masse à vide (kg), Longueur (m), Largeur (m), Hauteur (m), Cylindrée (L), Puissance (ch), Capacité carburant (L), Consommation historique (L/100 km), Vitesse max (km/h), Autonomie historique (km)</t>
        </is>
      </c>
      <c r="F193" t="inlineStr">
        <is>
          <t>Estimation gameplay à renseigner</t>
        </is>
      </c>
      <c r="G193" t="inlineStr">
        <is>
          <t>C si véhicule courant/variante connue; D si prototype ou variante ambiguë</t>
        </is>
      </c>
    </row>
    <row r="194">
      <c r="A194" t="inlineStr">
        <is>
          <t>VEH-193</t>
        </is>
      </c>
      <c r="B194" t="inlineStr">
        <is>
          <t>Archer</t>
        </is>
      </c>
      <c r="C194" t="inlineStr">
        <is>
          <t>Chasseurs de chars et canons automoteurs</t>
        </is>
      </c>
      <c r="D194" t="n">
        <v>10</v>
      </c>
      <c r="E194" t="inlineStr">
        <is>
          <t>Masse à vide (kg), Longueur (m), Largeur (m), Hauteur (m), Cylindrée (L), Puissance (ch), Capacité carburant (L), Consommation historique (L/100 km), Vitesse max (km/h), Autonomie historique (km)</t>
        </is>
      </c>
      <c r="F194" t="inlineStr">
        <is>
          <t>Estimation gameplay à renseigner</t>
        </is>
      </c>
      <c r="G194" t="inlineStr">
        <is>
          <t>C si véhicule courant/variante connue; D si prototype ou variante ambiguë</t>
        </is>
      </c>
    </row>
    <row r="195">
      <c r="A195" t="inlineStr">
        <is>
          <t>VEH-194</t>
        </is>
      </c>
      <c r="B195" t="inlineStr">
        <is>
          <t>Bishop</t>
        </is>
      </c>
      <c r="C195" t="inlineStr">
        <is>
          <t>Chasseurs de chars et canons automoteurs</t>
        </is>
      </c>
      <c r="D195" t="n">
        <v>10</v>
      </c>
      <c r="E195" t="inlineStr">
        <is>
          <t>Masse à vide (kg), Longueur (m), Largeur (m), Hauteur (m), Cylindrée (L), Puissance (ch), Capacité carburant (L), Consommation historique (L/100 km), Vitesse max (km/h), Autonomie historique (km)</t>
        </is>
      </c>
      <c r="F195" t="inlineStr">
        <is>
          <t>Estimation gameplay à renseigner</t>
        </is>
      </c>
      <c r="G195" t="inlineStr">
        <is>
          <t>C si véhicule courant/variante connue; D si prototype ou variante ambiguë</t>
        </is>
      </c>
    </row>
    <row r="196">
      <c r="A196" t="inlineStr">
        <is>
          <t>VEH-195</t>
        </is>
      </c>
      <c r="B196" t="inlineStr">
        <is>
          <t>Sexton</t>
        </is>
      </c>
      <c r="C196" t="inlineStr">
        <is>
          <t>Chasseurs de chars et canons automoteurs</t>
        </is>
      </c>
      <c r="D196" t="n">
        <v>10</v>
      </c>
      <c r="E196" t="inlineStr">
        <is>
          <t>Masse à vide (kg), Longueur (m), Largeur (m), Hauteur (m), Cylindrée (L), Puissance (ch), Capacité carburant (L), Consommation historique (L/100 km), Vitesse max (km/h), Autonomie historique (km)</t>
        </is>
      </c>
      <c r="F196" t="inlineStr">
        <is>
          <t>Estimation gameplay à renseigner</t>
        </is>
      </c>
      <c r="G196" t="inlineStr">
        <is>
          <t>C si véhicule courant/variante connue; D si prototype ou variante ambiguë</t>
        </is>
      </c>
    </row>
    <row r="197">
      <c r="A197" t="inlineStr">
        <is>
          <t>VEH-196</t>
        </is>
      </c>
      <c r="B197" t="inlineStr">
        <is>
          <t>M2 Light Tank</t>
        </is>
      </c>
      <c r="C197" t="inlineStr">
        <is>
          <t>Chars légers et chars anciens</t>
        </is>
      </c>
      <c r="D197" t="n">
        <v>10</v>
      </c>
      <c r="E197" t="inlineStr">
        <is>
          <t>Masse à vide (kg), Longueur (m), Largeur (m), Hauteur (m), Cylindrée (L), Puissance (ch), Capacité carburant (L), Consommation historique (L/100 km), Vitesse max (km/h), Autonomie historique (km)</t>
        </is>
      </c>
      <c r="F197" t="inlineStr">
        <is>
          <t>Estimation gameplay à renseigner</t>
        </is>
      </c>
      <c r="G197" t="inlineStr">
        <is>
          <t>C si véhicule courant/variante connue; D si prototype ou variante ambiguë</t>
        </is>
      </c>
    </row>
    <row r="198">
      <c r="A198" t="inlineStr">
        <is>
          <t>VEH-197</t>
        </is>
      </c>
      <c r="B198" t="inlineStr">
        <is>
          <t>M2 Medium Tank</t>
        </is>
      </c>
      <c r="C198" t="inlineStr">
        <is>
          <t>Chars moyens</t>
        </is>
      </c>
      <c r="D198" t="n">
        <v>10</v>
      </c>
      <c r="E198" t="inlineStr">
        <is>
          <t>Masse à vide (kg), Longueur (m), Largeur (m), Hauteur (m), Cylindrée (L), Puissance (ch), Capacité carburant (L), Consommation historique (L/100 km), Vitesse max (km/h), Autonomie historique (km)</t>
        </is>
      </c>
      <c r="F198" t="inlineStr">
        <is>
          <t>Estimation gameplay à renseigner</t>
        </is>
      </c>
      <c r="G198" t="inlineStr">
        <is>
          <t>C si véhicule courant/variante connue; D si prototype ou variante ambiguë</t>
        </is>
      </c>
    </row>
    <row r="199">
      <c r="A199" t="inlineStr">
        <is>
          <t>VEH-198</t>
        </is>
      </c>
      <c r="B199" t="inlineStr">
        <is>
          <t>M4 Sherman M4/M4A1</t>
        </is>
      </c>
      <c r="C199" t="inlineStr">
        <is>
          <t>Chars moyens</t>
        </is>
      </c>
      <c r="D199" t="n">
        <v>3</v>
      </c>
      <c r="E199" t="inlineStr">
        <is>
          <t>Capacité carburant (L), Consommation historique (L/100 km), Autonomie historique (km)</t>
        </is>
      </c>
      <c r="F199" t="inlineStr">
        <is>
          <t>Estimation gameplay à renseigner</t>
        </is>
      </c>
      <c r="G199" t="inlineStr">
        <is>
          <t>C si véhicule courant/variante connue; D si prototype ou variante ambiguë</t>
        </is>
      </c>
    </row>
    <row r="200">
      <c r="A200" t="inlineStr">
        <is>
          <t>VEH-199</t>
        </is>
      </c>
      <c r="B200" t="inlineStr">
        <is>
          <t>M4 Sherman M4A2</t>
        </is>
      </c>
      <c r="C200" t="inlineStr">
        <is>
          <t>Chars moyens</t>
        </is>
      </c>
      <c r="D200" t="n">
        <v>1</v>
      </c>
      <c r="E200" t="inlineStr">
        <is>
          <t>Consommation historique (L/100 km)</t>
        </is>
      </c>
      <c r="F200" t="inlineStr">
        <is>
          <t>Estimation gameplay à renseigner</t>
        </is>
      </c>
      <c r="G200" t="inlineStr">
        <is>
          <t>C si véhicule courant/variante connue; D si prototype ou variante ambiguë</t>
        </is>
      </c>
    </row>
    <row r="201">
      <c r="A201" t="inlineStr">
        <is>
          <t>VEH-200</t>
        </is>
      </c>
      <c r="B201" t="inlineStr">
        <is>
          <t>M4 Sherman M4A3</t>
        </is>
      </c>
      <c r="C201" t="inlineStr">
        <is>
          <t>Chars moyens</t>
        </is>
      </c>
      <c r="D201" t="n">
        <v>3</v>
      </c>
      <c r="E201" t="inlineStr">
        <is>
          <t>Capacité carburant (L), Consommation historique (L/100 km), Autonomie historique (km)</t>
        </is>
      </c>
      <c r="F201" t="inlineStr">
        <is>
          <t>Estimation gameplay à renseigner</t>
        </is>
      </c>
      <c r="G201" t="inlineStr">
        <is>
          <t>C si véhicule courant/variante connue; D si prototype ou variante ambiguë</t>
        </is>
      </c>
    </row>
    <row r="202">
      <c r="A202" t="inlineStr">
        <is>
          <t>VEH-201</t>
        </is>
      </c>
      <c r="B202" t="inlineStr">
        <is>
          <t>M4 Sherman M4A4</t>
        </is>
      </c>
      <c r="C202" t="inlineStr">
        <is>
          <t>Chars moyens</t>
        </is>
      </c>
      <c r="D202" t="n">
        <v>1</v>
      </c>
      <c r="E202" t="inlineStr">
        <is>
          <t>Consommation historique (L/100 km)</t>
        </is>
      </c>
      <c r="F202" t="inlineStr">
        <is>
          <t>Estimation gameplay à renseigner</t>
        </is>
      </c>
      <c r="G202" t="inlineStr">
        <is>
          <t>C si véhicule courant/variante connue; D si prototype ou variante ambiguë</t>
        </is>
      </c>
    </row>
    <row r="203">
      <c r="A203" t="inlineStr">
        <is>
          <t>VEH-202</t>
        </is>
      </c>
      <c r="B203" t="inlineStr">
        <is>
          <t>M6 Heavy Tank</t>
        </is>
      </c>
      <c r="C203" t="inlineStr">
        <is>
          <t>Chars lourds et prototypes</t>
        </is>
      </c>
      <c r="D203" t="n">
        <v>10</v>
      </c>
      <c r="E203" t="inlineStr">
        <is>
          <t>Masse à vide (kg), Longueur (m), Largeur (m), Hauteur (m), Cylindrée (L), Puissance (ch), Capacité carburant (L), Consommation historique (L/100 km), Vitesse max (km/h), Autonomie historique (km)</t>
        </is>
      </c>
      <c r="F203" t="inlineStr">
        <is>
          <t>Estimation gameplay à renseigner</t>
        </is>
      </c>
      <c r="G203" t="inlineStr">
        <is>
          <t>C si véhicule courant/variante connue; D si prototype ou variante ambiguë</t>
        </is>
      </c>
    </row>
    <row r="204">
      <c r="A204" t="inlineStr">
        <is>
          <t>VEH-203</t>
        </is>
      </c>
      <c r="B204" t="inlineStr">
        <is>
          <t>M26 Pershing</t>
        </is>
      </c>
      <c r="C204" t="inlineStr">
        <is>
          <t>Chars lourds et prototypes</t>
        </is>
      </c>
      <c r="D204" t="n">
        <v>10</v>
      </c>
      <c r="E204" t="inlineStr">
        <is>
          <t>Masse à vide (kg), Longueur (m), Largeur (m), Hauteur (m), Cylindrée (L), Puissance (ch), Capacité carburant (L), Consommation historique (L/100 km), Vitesse max (km/h), Autonomie historique (km)</t>
        </is>
      </c>
      <c r="F204" t="inlineStr">
        <is>
          <t>Estimation gameplay à renseigner</t>
        </is>
      </c>
      <c r="G204" t="inlineStr">
        <is>
          <t>C si véhicule courant/variante connue; D si prototype ou variante ambiguë</t>
        </is>
      </c>
    </row>
    <row r="205">
      <c r="A205" t="inlineStr">
        <is>
          <t>VEH-204</t>
        </is>
      </c>
      <c r="B205" t="inlineStr">
        <is>
          <t>M7 Priest</t>
        </is>
      </c>
      <c r="C205" t="inlineStr">
        <is>
          <t>Chasseurs de chars et canons automoteurs</t>
        </is>
      </c>
      <c r="D205" t="n">
        <v>10</v>
      </c>
      <c r="E205" t="inlineStr">
        <is>
          <t>Masse à vide (kg), Longueur (m), Largeur (m), Hauteur (m), Cylindrée (L), Puissance (ch), Capacité carburant (L), Consommation historique (L/100 km), Vitesse max (km/h), Autonomie historique (km)</t>
        </is>
      </c>
      <c r="F205" t="inlineStr">
        <is>
          <t>Estimation gameplay à renseigner</t>
        </is>
      </c>
      <c r="G205" t="inlineStr">
        <is>
          <t>C si véhicule courant/variante connue; D si prototype ou variante ambiguë</t>
        </is>
      </c>
    </row>
    <row r="206">
      <c r="A206" t="inlineStr">
        <is>
          <t>VEH-205</t>
        </is>
      </c>
      <c r="B206" t="inlineStr">
        <is>
          <t>M8 Scott</t>
        </is>
      </c>
      <c r="C206" t="inlineStr">
        <is>
          <t>Chasseurs de chars et canons automoteurs</t>
        </is>
      </c>
      <c r="D206" t="n">
        <v>10</v>
      </c>
      <c r="E206" t="inlineStr">
        <is>
          <t>Masse à vide (kg), Longueur (m), Largeur (m), Hauteur (m), Cylindrée (L), Puissance (ch), Capacité carburant (L), Consommation historique (L/100 km), Vitesse max (km/h), Autonomie historique (km)</t>
        </is>
      </c>
      <c r="F206" t="inlineStr">
        <is>
          <t>Estimation gameplay à renseigner</t>
        </is>
      </c>
      <c r="G206" t="inlineStr">
        <is>
          <t>C si véhicule courant/variante connue; D si prototype ou variante ambiguë</t>
        </is>
      </c>
    </row>
    <row r="207">
      <c r="A207" t="inlineStr">
        <is>
          <t>VEH-206</t>
        </is>
      </c>
      <c r="B207" t="inlineStr">
        <is>
          <t>T28 / T95 Super Heavy Tank</t>
        </is>
      </c>
      <c r="C207" t="inlineStr">
        <is>
          <t>Chars lourds et prototypes</t>
        </is>
      </c>
      <c r="D207" t="n">
        <v>10</v>
      </c>
      <c r="E207" t="inlineStr">
        <is>
          <t>Masse à vide (kg), Longueur (m), Largeur (m), Hauteur (m), Cylindrée (L), Puissance (ch), Capacité carburant (L), Consommation historique (L/100 km), Vitesse max (km/h), Autonomie historique (km)</t>
        </is>
      </c>
      <c r="F207" t="inlineStr">
        <is>
          <t>Estimation gameplay à renseigner</t>
        </is>
      </c>
      <c r="G207" t="inlineStr">
        <is>
          <t>C si véhicule courant/variante connue; D si prototype ou variante ambiguë</t>
        </is>
      </c>
    </row>
    <row r="208">
      <c r="A208" t="inlineStr">
        <is>
          <t>VEH-207</t>
        </is>
      </c>
      <c r="B208" t="inlineStr">
        <is>
          <t>BT-2</t>
        </is>
      </c>
      <c r="C208" t="inlineStr">
        <is>
          <t>Chars légers et chars anciens</t>
        </is>
      </c>
      <c r="D208" t="n">
        <v>10</v>
      </c>
      <c r="E208" t="inlineStr">
        <is>
          <t>Masse à vide (kg), Longueur (m), Largeur (m), Hauteur (m), Cylindrée (L), Puissance (ch), Capacité carburant (L), Consommation historique (L/100 km), Vitesse max (km/h), Autonomie historique (km)</t>
        </is>
      </c>
      <c r="F208" t="inlineStr">
        <is>
          <t>Estimation gameplay à renseigner</t>
        </is>
      </c>
      <c r="G208" t="inlineStr">
        <is>
          <t>C si véhicule courant/variante connue; D si prototype ou variante ambiguë</t>
        </is>
      </c>
    </row>
    <row r="209">
      <c r="A209" t="inlineStr">
        <is>
          <t>VEH-208</t>
        </is>
      </c>
      <c r="B209" t="inlineStr">
        <is>
          <t>BT-5</t>
        </is>
      </c>
      <c r="C209" t="inlineStr">
        <is>
          <t>Chars légers et chars anciens</t>
        </is>
      </c>
      <c r="D209" t="n">
        <v>10</v>
      </c>
      <c r="E209" t="inlineStr">
        <is>
          <t>Masse à vide (kg), Longueur (m), Largeur (m), Hauteur (m), Cylindrée (L), Puissance (ch), Capacité carburant (L), Consommation historique (L/100 km), Vitesse max (km/h), Autonomie historique (km)</t>
        </is>
      </c>
      <c r="F209" t="inlineStr">
        <is>
          <t>Estimation gameplay à renseigner</t>
        </is>
      </c>
      <c r="G209" t="inlineStr">
        <is>
          <t>C si véhicule courant/variante connue; D si prototype ou variante ambiguë</t>
        </is>
      </c>
    </row>
    <row r="210">
      <c r="A210" t="inlineStr">
        <is>
          <t>VEH-209</t>
        </is>
      </c>
      <c r="B210" t="inlineStr">
        <is>
          <t>BT-7</t>
        </is>
      </c>
      <c r="C210" t="inlineStr">
        <is>
          <t>Chars légers et chars anciens</t>
        </is>
      </c>
      <c r="D210" t="n">
        <v>10</v>
      </c>
      <c r="E210" t="inlineStr">
        <is>
          <t>Masse à vide (kg), Longueur (m), Largeur (m), Hauteur (m), Cylindrée (L), Puissance (ch), Capacité carburant (L), Consommation historique (L/100 km), Vitesse max (km/h), Autonomie historique (km)</t>
        </is>
      </c>
      <c r="F210" t="inlineStr">
        <is>
          <t>Estimation gameplay à renseigner</t>
        </is>
      </c>
      <c r="G210" t="inlineStr">
        <is>
          <t>C si véhicule courant/variante connue; D si prototype ou variante ambiguë</t>
        </is>
      </c>
    </row>
    <row r="211">
      <c r="A211" t="inlineStr">
        <is>
          <t>VEH-210</t>
        </is>
      </c>
      <c r="B211" t="inlineStr">
        <is>
          <t>T-28</t>
        </is>
      </c>
      <c r="C211" t="inlineStr">
        <is>
          <t>Chars moyens</t>
        </is>
      </c>
      <c r="D211" t="n">
        <v>10</v>
      </c>
      <c r="E211" t="inlineStr">
        <is>
          <t>Masse à vide (kg), Longueur (m), Largeur (m), Hauteur (m), Cylindrée (L), Puissance (ch), Capacité carburant (L), Consommation historique (L/100 km), Vitesse max (km/h), Autonomie historique (km)</t>
        </is>
      </c>
      <c r="F211" t="inlineStr">
        <is>
          <t>Estimation gameplay à renseigner</t>
        </is>
      </c>
      <c r="G211" t="inlineStr">
        <is>
          <t>C si véhicule courant/variante connue; D si prototype ou variante ambiguë</t>
        </is>
      </c>
    </row>
    <row r="212">
      <c r="A212" t="inlineStr">
        <is>
          <t>VEH-211</t>
        </is>
      </c>
      <c r="B212" t="inlineStr">
        <is>
          <t>T-35</t>
        </is>
      </c>
      <c r="C212" t="inlineStr">
        <is>
          <t>Chars lourds et prototypes</t>
        </is>
      </c>
      <c r="D212" t="n">
        <v>10</v>
      </c>
      <c r="E212" t="inlineStr">
        <is>
          <t>Masse à vide (kg), Longueur (m), Largeur (m), Hauteur (m), Cylindrée (L), Puissance (ch), Capacité carburant (L), Consommation historique (L/100 km), Vitesse max (km/h), Autonomie historique (km)</t>
        </is>
      </c>
      <c r="F212" t="inlineStr">
        <is>
          <t>Estimation gameplay à renseigner</t>
        </is>
      </c>
      <c r="G212" t="inlineStr">
        <is>
          <t>C si véhicule courant/variante connue; D si prototype ou variante ambiguë</t>
        </is>
      </c>
    </row>
    <row r="213">
      <c r="A213" t="inlineStr">
        <is>
          <t>VEH-212</t>
        </is>
      </c>
      <c r="B213" t="inlineStr">
        <is>
          <t>T-37A</t>
        </is>
      </c>
      <c r="C213" t="inlineStr">
        <is>
          <t>Chars amphibies et spécialisés</t>
        </is>
      </c>
      <c r="D213" t="n">
        <v>10</v>
      </c>
      <c r="E213" t="inlineStr">
        <is>
          <t>Masse à vide (kg), Longueur (m), Largeur (m), Hauteur (m), Cylindrée (L), Puissance (ch), Capacité carburant (L), Consommation historique (L/100 km), Vitesse max (km/h), Autonomie historique (km)</t>
        </is>
      </c>
      <c r="F213" t="inlineStr">
        <is>
          <t>Estimation gameplay à renseigner</t>
        </is>
      </c>
      <c r="G213" t="inlineStr">
        <is>
          <t>C si véhicule courant/variante connue; D si prototype ou variante ambiguë</t>
        </is>
      </c>
    </row>
    <row r="214">
      <c r="A214" t="inlineStr">
        <is>
          <t>VEH-213</t>
        </is>
      </c>
      <c r="B214" t="inlineStr">
        <is>
          <t>T-38</t>
        </is>
      </c>
      <c r="C214" t="inlineStr">
        <is>
          <t>Chars amphibies et spécialisés</t>
        </is>
      </c>
      <c r="D214" t="n">
        <v>10</v>
      </c>
      <c r="E214" t="inlineStr">
        <is>
          <t>Masse à vide (kg), Longueur (m), Largeur (m), Hauteur (m), Cylindrée (L), Puissance (ch), Capacité carburant (L), Consommation historique (L/100 km), Vitesse max (km/h), Autonomie historique (km)</t>
        </is>
      </c>
      <c r="F214" t="inlineStr">
        <is>
          <t>Estimation gameplay à renseigner</t>
        </is>
      </c>
      <c r="G214" t="inlineStr">
        <is>
          <t>C si véhicule courant/variante connue; D si prototype ou variante ambiguë</t>
        </is>
      </c>
    </row>
    <row r="215">
      <c r="A215" t="inlineStr">
        <is>
          <t>VEH-214</t>
        </is>
      </c>
      <c r="B215" t="inlineStr">
        <is>
          <t>T-40</t>
        </is>
      </c>
      <c r="C215" t="inlineStr">
        <is>
          <t>Chars amphibies et spécialisés</t>
        </is>
      </c>
      <c r="D215" t="n">
        <v>10</v>
      </c>
      <c r="E215" t="inlineStr">
        <is>
          <t>Masse à vide (kg), Longueur (m), Largeur (m), Hauteur (m), Cylindrée (L), Puissance (ch), Capacité carburant (L), Consommation historique (L/100 km), Vitesse max (km/h), Autonomie historique (km)</t>
        </is>
      </c>
      <c r="F215" t="inlineStr">
        <is>
          <t>Estimation gameplay à renseigner</t>
        </is>
      </c>
      <c r="G215" t="inlineStr">
        <is>
          <t>C si véhicule courant/variante connue; D si prototype ou variante ambiguë</t>
        </is>
      </c>
    </row>
    <row r="216">
      <c r="A216" t="inlineStr">
        <is>
          <t>VEH-215</t>
        </is>
      </c>
      <c r="B216" t="inlineStr">
        <is>
          <t>T-50</t>
        </is>
      </c>
      <c r="C216" t="inlineStr">
        <is>
          <t>Chars légers et chars anciens</t>
        </is>
      </c>
      <c r="D216" t="n">
        <v>10</v>
      </c>
      <c r="E216" t="inlineStr">
        <is>
          <t>Masse à vide (kg), Longueur (m), Largeur (m), Hauteur (m), Cylindrée (L), Puissance (ch), Capacité carburant (L), Consommation historique (L/100 km), Vitesse max (km/h), Autonomie historique (km)</t>
        </is>
      </c>
      <c r="F216" t="inlineStr">
        <is>
          <t>Estimation gameplay à renseigner</t>
        </is>
      </c>
      <c r="G216" t="inlineStr">
        <is>
          <t>C si véhicule courant/variante connue; D si prototype ou variante ambiguë</t>
        </is>
      </c>
    </row>
    <row r="217">
      <c r="A217" t="inlineStr">
        <is>
          <t>VEH-216</t>
        </is>
      </c>
      <c r="B217" t="inlineStr">
        <is>
          <t>T-80 light tank</t>
        </is>
      </c>
      <c r="C217" t="inlineStr">
        <is>
          <t>Chars légers et chars anciens</t>
        </is>
      </c>
      <c r="D217" t="n">
        <v>10</v>
      </c>
      <c r="E217" t="inlineStr">
        <is>
          <t>Masse à vide (kg), Longueur (m), Largeur (m), Hauteur (m), Cylindrée (L), Puissance (ch), Capacité carburant (L), Consommation historique (L/100 km), Vitesse max (km/h), Autonomie historique (km)</t>
        </is>
      </c>
      <c r="F217" t="inlineStr">
        <is>
          <t>Estimation gameplay à renseigner</t>
        </is>
      </c>
      <c r="G217" t="inlineStr">
        <is>
          <t>C si véhicule courant/variante connue; D si prototype ou variante ambiguë</t>
        </is>
      </c>
    </row>
    <row r="218">
      <c r="A218" t="inlineStr">
        <is>
          <t>VEH-217</t>
        </is>
      </c>
      <c r="B218" t="inlineStr">
        <is>
          <t>T-34/76</t>
        </is>
      </c>
      <c r="C218" t="inlineStr">
        <is>
          <t>Chars moyens</t>
        </is>
      </c>
      <c r="D218" t="n">
        <v>10</v>
      </c>
      <c r="E218" t="inlineStr">
        <is>
          <t>Masse à vide (kg), Longueur (m), Largeur (m), Hauteur (m), Cylindrée (L), Puissance (ch), Capacité carburant (L), Consommation historique (L/100 km), Vitesse max (km/h), Autonomie historique (km)</t>
        </is>
      </c>
      <c r="F218" t="inlineStr">
        <is>
          <t>Estimation gameplay à renseigner</t>
        </is>
      </c>
      <c r="G218" t="inlineStr">
        <is>
          <t>C si véhicule courant/variante connue; D si prototype ou variante ambiguë</t>
        </is>
      </c>
    </row>
    <row r="219">
      <c r="A219" t="inlineStr">
        <is>
          <t>VEH-218</t>
        </is>
      </c>
      <c r="B219" t="inlineStr">
        <is>
          <t>T-34/85</t>
        </is>
      </c>
      <c r="C219" t="inlineStr">
        <is>
          <t>Chars moyens</t>
        </is>
      </c>
      <c r="D219" t="n">
        <v>10</v>
      </c>
      <c r="E219" t="inlineStr">
        <is>
          <t>Masse à vide (kg), Longueur (m), Largeur (m), Hauteur (m), Cylindrée (L), Puissance (ch), Capacité carburant (L), Consommation historique (L/100 km), Vitesse max (km/h), Autonomie historique (km)</t>
        </is>
      </c>
      <c r="F219" t="inlineStr">
        <is>
          <t>Estimation gameplay à renseigner</t>
        </is>
      </c>
      <c r="G219" t="inlineStr">
        <is>
          <t>C si véhicule courant/variante connue; D si prototype ou variante ambiguë</t>
        </is>
      </c>
    </row>
    <row r="220">
      <c r="A220" t="inlineStr">
        <is>
          <t>VEH-219</t>
        </is>
      </c>
      <c r="B220" t="inlineStr">
        <is>
          <t>KV-1</t>
        </is>
      </c>
      <c r="C220" t="inlineStr">
        <is>
          <t>Chars lourds et prototypes</t>
        </is>
      </c>
      <c r="D220" t="n">
        <v>10</v>
      </c>
      <c r="E220" t="inlineStr">
        <is>
          <t>Masse à vide (kg), Longueur (m), Largeur (m), Hauteur (m), Cylindrée (L), Puissance (ch), Capacité carburant (L), Consommation historique (L/100 km), Vitesse max (km/h), Autonomie historique (km)</t>
        </is>
      </c>
      <c r="F220" t="inlineStr">
        <is>
          <t>Estimation gameplay à renseigner</t>
        </is>
      </c>
      <c r="G220" t="inlineStr">
        <is>
          <t>C si véhicule courant/variante connue; D si prototype ou variante ambiguë</t>
        </is>
      </c>
    </row>
    <row r="221">
      <c r="A221" t="inlineStr">
        <is>
          <t>VEH-220</t>
        </is>
      </c>
      <c r="B221" t="inlineStr">
        <is>
          <t>KV-2</t>
        </is>
      </c>
      <c r="C221" t="inlineStr">
        <is>
          <t>Chars lourds et prototypes</t>
        </is>
      </c>
      <c r="D221" t="n">
        <v>10</v>
      </c>
      <c r="E221" t="inlineStr">
        <is>
          <t>Masse à vide (kg), Longueur (m), Largeur (m), Hauteur (m), Cylindrée (L), Puissance (ch), Capacité carburant (L), Consommation historique (L/100 km), Vitesse max (km/h), Autonomie historique (km)</t>
        </is>
      </c>
      <c r="F221" t="inlineStr">
        <is>
          <t>Estimation gameplay à renseigner</t>
        </is>
      </c>
      <c r="G221" t="inlineStr">
        <is>
          <t>C si véhicule courant/variante connue; D si prototype ou variante ambiguë</t>
        </is>
      </c>
    </row>
    <row r="222">
      <c r="A222" t="inlineStr">
        <is>
          <t>VEH-221</t>
        </is>
      </c>
      <c r="B222" t="inlineStr">
        <is>
          <t>KV-1S</t>
        </is>
      </c>
      <c r="C222" t="inlineStr">
        <is>
          <t>Chars lourds et prototypes</t>
        </is>
      </c>
      <c r="D222" t="n">
        <v>10</v>
      </c>
      <c r="E222" t="inlineStr">
        <is>
          <t>Masse à vide (kg), Longueur (m), Largeur (m), Hauteur (m), Cylindrée (L), Puissance (ch), Capacité carburant (L), Consommation historique (L/100 km), Vitesse max (km/h), Autonomie historique (km)</t>
        </is>
      </c>
      <c r="F222" t="inlineStr">
        <is>
          <t>Estimation gameplay à renseigner</t>
        </is>
      </c>
      <c r="G222" t="inlineStr">
        <is>
          <t>C si véhicule courant/variante connue; D si prototype ou variante ambiguë</t>
        </is>
      </c>
    </row>
    <row r="223">
      <c r="A223" t="inlineStr">
        <is>
          <t>VEH-222</t>
        </is>
      </c>
      <c r="B223" t="inlineStr">
        <is>
          <t>KV-85</t>
        </is>
      </c>
      <c r="C223" t="inlineStr">
        <is>
          <t>Chars lourds et prototypes</t>
        </is>
      </c>
      <c r="D223" t="n">
        <v>10</v>
      </c>
      <c r="E223" t="inlineStr">
        <is>
          <t>Masse à vide (kg), Longueur (m), Largeur (m), Hauteur (m), Cylindrée (L), Puissance (ch), Capacité carburant (L), Consommation historique (L/100 km), Vitesse max (km/h), Autonomie historique (km)</t>
        </is>
      </c>
      <c r="F223" t="inlineStr">
        <is>
          <t>Estimation gameplay à renseigner</t>
        </is>
      </c>
      <c r="G223" t="inlineStr">
        <is>
          <t>C si véhicule courant/variante connue; D si prototype ou variante ambiguë</t>
        </is>
      </c>
    </row>
    <row r="224">
      <c r="A224" t="inlineStr">
        <is>
          <t>VEH-223</t>
        </is>
      </c>
      <c r="B224" t="inlineStr">
        <is>
          <t>IS-1</t>
        </is>
      </c>
      <c r="C224" t="inlineStr">
        <is>
          <t>Chars lourds et prototypes</t>
        </is>
      </c>
      <c r="D224" t="n">
        <v>10</v>
      </c>
      <c r="E224" t="inlineStr">
        <is>
          <t>Masse à vide (kg), Longueur (m), Largeur (m), Hauteur (m), Cylindrée (L), Puissance (ch), Capacité carburant (L), Consommation historique (L/100 km), Vitesse max (km/h), Autonomie historique (km)</t>
        </is>
      </c>
      <c r="F224" t="inlineStr">
        <is>
          <t>Estimation gameplay à renseigner</t>
        </is>
      </c>
      <c r="G224" t="inlineStr">
        <is>
          <t>C si véhicule courant/variante connue; D si prototype ou variante ambiguë</t>
        </is>
      </c>
    </row>
    <row r="225">
      <c r="A225" t="inlineStr">
        <is>
          <t>VEH-224</t>
        </is>
      </c>
      <c r="B225" t="inlineStr">
        <is>
          <t>SU-100</t>
        </is>
      </c>
      <c r="C225" t="inlineStr">
        <is>
          <t>Chasseurs de chars et canons automoteurs</t>
        </is>
      </c>
      <c r="D225" t="n">
        <v>10</v>
      </c>
      <c r="E225" t="inlineStr">
        <is>
          <t>Masse à vide (kg), Longueur (m), Largeur (m), Hauteur (m), Cylindrée (L), Puissance (ch), Capacité carburant (L), Consommation historique (L/100 km), Vitesse max (km/h), Autonomie historique (km)</t>
        </is>
      </c>
      <c r="F225" t="inlineStr">
        <is>
          <t>Estimation gameplay à renseigner</t>
        </is>
      </c>
      <c r="G225" t="inlineStr">
        <is>
          <t>C si véhicule courant/variante connue; D si prototype ou variante ambiguë</t>
        </is>
      </c>
    </row>
    <row r="226">
      <c r="A226" t="inlineStr">
        <is>
          <t>VEH-225</t>
        </is>
      </c>
      <c r="B226" t="inlineStr">
        <is>
          <t>SU-122</t>
        </is>
      </c>
      <c r="C226" t="inlineStr">
        <is>
          <t>Chasseurs de chars et canons automoteurs</t>
        </is>
      </c>
      <c r="D226" t="n">
        <v>10</v>
      </c>
      <c r="E226" t="inlineStr">
        <is>
          <t>Masse à vide (kg), Longueur (m), Largeur (m), Hauteur (m), Cylindrée (L), Puissance (ch), Capacité carburant (L), Consommation historique (L/100 km), Vitesse max (km/h), Autonomie historique (km)</t>
        </is>
      </c>
      <c r="F226" t="inlineStr">
        <is>
          <t>Estimation gameplay à renseigner</t>
        </is>
      </c>
      <c r="G226" t="inlineStr">
        <is>
          <t>C si véhicule courant/variante connue; D si prototype ou variante ambiguë</t>
        </is>
      </c>
    </row>
    <row r="227">
      <c r="A227" t="inlineStr">
        <is>
          <t>VEH-226</t>
        </is>
      </c>
      <c r="B227" t="inlineStr">
        <is>
          <t>SU-152</t>
        </is>
      </c>
      <c r="C227" t="inlineStr">
        <is>
          <t>Chasseurs de chars et canons automoteurs</t>
        </is>
      </c>
      <c r="D227" t="n">
        <v>10</v>
      </c>
      <c r="E227" t="inlineStr">
        <is>
          <t>Masse à vide (kg), Longueur (m), Largeur (m), Hauteur (m), Cylindrée (L), Puissance (ch), Capacité carburant (L), Consommation historique (L/100 km), Vitesse max (km/h), Autonomie historique (km)</t>
        </is>
      </c>
      <c r="F227" t="inlineStr">
        <is>
          <t>Estimation gameplay à renseigner</t>
        </is>
      </c>
      <c r="G227" t="inlineStr">
        <is>
          <t>C si véhicule courant/variante connue; D si prototype ou variante ambiguë</t>
        </is>
      </c>
    </row>
    <row r="228">
      <c r="A228" t="inlineStr">
        <is>
          <t>VEH-227</t>
        </is>
      </c>
      <c r="B228" t="inlineStr">
        <is>
          <t>ISU-122</t>
        </is>
      </c>
      <c r="C228" t="inlineStr">
        <is>
          <t>Chasseurs de chars et canons automoteurs</t>
        </is>
      </c>
      <c r="D228" t="n">
        <v>10</v>
      </c>
      <c r="E228" t="inlineStr">
        <is>
          <t>Masse à vide (kg), Longueur (m), Largeur (m), Hauteur (m), Cylindrée (L), Puissance (ch), Capacité carburant (L), Consommation historique (L/100 km), Vitesse max (km/h), Autonomie historique (km)</t>
        </is>
      </c>
      <c r="F228" t="inlineStr">
        <is>
          <t>Estimation gameplay à renseigner</t>
        </is>
      </c>
      <c r="G228" t="inlineStr">
        <is>
          <t>C si véhicule courant/variante connue; D si prototype ou variante ambiguë</t>
        </is>
      </c>
    </row>
    <row r="229">
      <c r="A229" t="inlineStr">
        <is>
          <t>VEH-228</t>
        </is>
      </c>
      <c r="B229" t="inlineStr">
        <is>
          <t>ISU-152</t>
        </is>
      </c>
      <c r="C229" t="inlineStr">
        <is>
          <t>Chasseurs de chars et canons automoteurs</t>
        </is>
      </c>
      <c r="D229" t="n">
        <v>10</v>
      </c>
      <c r="E229" t="inlineStr">
        <is>
          <t>Masse à vide (kg), Longueur (m), Largeur (m), Hauteur (m), Cylindrée (L), Puissance (ch), Capacité carburant (L), Consommation historique (L/100 km), Vitesse max (km/h), Autonomie historique (km)</t>
        </is>
      </c>
      <c r="F229" t="inlineStr">
        <is>
          <t>Estimation gameplay à renseigner</t>
        </is>
      </c>
      <c r="G229" t="inlineStr">
        <is>
          <t>C si véhicule courant/variante connue; D si prototype ou variante ambiguë</t>
        </is>
      </c>
    </row>
    <row r="230">
      <c r="A230" t="inlineStr">
        <is>
          <t>VEH-229</t>
        </is>
      </c>
      <c r="B230" t="inlineStr">
        <is>
          <t>Type 89 I-Go</t>
        </is>
      </c>
      <c r="C230" t="inlineStr">
        <is>
          <t>Chars légers et chars anciens</t>
        </is>
      </c>
      <c r="D230" t="n">
        <v>10</v>
      </c>
      <c r="E230" t="inlineStr">
        <is>
          <t>Masse à vide (kg), Longueur (m), Largeur (m), Hauteur (m), Cylindrée (L), Puissance (ch), Capacité carburant (L), Consommation historique (L/100 km), Vitesse max (km/h), Autonomie historique (km)</t>
        </is>
      </c>
      <c r="F230" t="inlineStr">
        <is>
          <t>Estimation gameplay à renseigner</t>
        </is>
      </c>
      <c r="G230" t="inlineStr">
        <is>
          <t>C si véhicule courant/variante connue; D si prototype ou variante ambiguë</t>
        </is>
      </c>
    </row>
    <row r="231">
      <c r="A231" t="inlineStr">
        <is>
          <t>VEH-230</t>
        </is>
      </c>
      <c r="B231" t="inlineStr">
        <is>
          <t>Type 92 Jyu-Sokosha</t>
        </is>
      </c>
      <c r="C231" t="inlineStr">
        <is>
          <t>Chars légers et chars anciens</t>
        </is>
      </c>
      <c r="D231" t="n">
        <v>10</v>
      </c>
      <c r="E231" t="inlineStr">
        <is>
          <t>Masse à vide (kg), Longueur (m), Largeur (m), Hauteur (m), Cylindrée (L), Puissance (ch), Capacité carburant (L), Consommation historique (L/100 km), Vitesse max (km/h), Autonomie historique (km)</t>
        </is>
      </c>
      <c r="F231" t="inlineStr">
        <is>
          <t>Estimation gameplay à renseigner</t>
        </is>
      </c>
      <c r="G231" t="inlineStr">
        <is>
          <t>C si véhicule courant/variante connue; D si prototype ou variante ambiguë</t>
        </is>
      </c>
    </row>
    <row r="232">
      <c r="A232" t="inlineStr">
        <is>
          <t>VEH-231</t>
        </is>
      </c>
      <c r="B232" t="inlineStr">
        <is>
          <t>Type 94 tankette</t>
        </is>
      </c>
      <c r="C232" t="inlineStr">
        <is>
          <t>Chars légers et chars anciens</t>
        </is>
      </c>
      <c r="D232" t="n">
        <v>10</v>
      </c>
      <c r="E232" t="inlineStr">
        <is>
          <t>Masse à vide (kg), Longueur (m), Largeur (m), Hauteur (m), Cylindrée (L), Puissance (ch), Capacité carburant (L), Consommation historique (L/100 km), Vitesse max (km/h), Autonomie historique (km)</t>
        </is>
      </c>
      <c r="F232" t="inlineStr">
        <is>
          <t>Estimation gameplay à renseigner</t>
        </is>
      </c>
      <c r="G232" t="inlineStr">
        <is>
          <t>C si véhicule courant/variante connue; D si prototype ou variante ambiguë</t>
        </is>
      </c>
    </row>
    <row r="233">
      <c r="A233" t="inlineStr">
        <is>
          <t>VEH-232</t>
        </is>
      </c>
      <c r="B233" t="inlineStr">
        <is>
          <t>Type 95 Ha-Go</t>
        </is>
      </c>
      <c r="C233" t="inlineStr">
        <is>
          <t>Chars légers et chars anciens</t>
        </is>
      </c>
      <c r="D233" t="n">
        <v>10</v>
      </c>
      <c r="E233" t="inlineStr">
        <is>
          <t>Masse à vide (kg), Longueur (m), Largeur (m), Hauteur (m), Cylindrée (L), Puissance (ch), Capacité carburant (L), Consommation historique (L/100 km), Vitesse max (km/h), Autonomie historique (km)</t>
        </is>
      </c>
      <c r="F233" t="inlineStr">
        <is>
          <t>Estimation gameplay à renseigner</t>
        </is>
      </c>
      <c r="G233" t="inlineStr">
        <is>
          <t>C si véhicule courant/variante connue; D si prototype ou variante ambiguë</t>
        </is>
      </c>
    </row>
    <row r="234">
      <c r="A234" t="inlineStr">
        <is>
          <t>VEH-233</t>
        </is>
      </c>
      <c r="B234" t="inlineStr">
        <is>
          <t>Type 97 Shinhoto Chi-Ha</t>
        </is>
      </c>
      <c r="C234" t="inlineStr">
        <is>
          <t>Chars moyens</t>
        </is>
      </c>
      <c r="D234" t="n">
        <v>10</v>
      </c>
      <c r="E234" t="inlineStr">
        <is>
          <t>Masse à vide (kg), Longueur (m), Largeur (m), Hauteur (m), Cylindrée (L), Puissance (ch), Capacité carburant (L), Consommation historique (L/100 km), Vitesse max (km/h), Autonomie historique (km)</t>
        </is>
      </c>
      <c r="F234" t="inlineStr">
        <is>
          <t>Estimation gameplay à renseigner</t>
        </is>
      </c>
      <c r="G234" t="inlineStr">
        <is>
          <t>C si véhicule courant/variante connue; D si prototype ou variante ambiguë</t>
        </is>
      </c>
    </row>
    <row r="235">
      <c r="A235" t="inlineStr">
        <is>
          <t>VEH-234</t>
        </is>
      </c>
      <c r="B235" t="inlineStr">
        <is>
          <t>Type 1 Chi-He</t>
        </is>
      </c>
      <c r="C235" t="inlineStr">
        <is>
          <t>Chars moyens</t>
        </is>
      </c>
      <c r="D235" t="n">
        <v>10</v>
      </c>
      <c r="E235" t="inlineStr">
        <is>
          <t>Masse à vide (kg), Longueur (m), Largeur (m), Hauteur (m), Cylindrée (L), Puissance (ch), Capacité carburant (L), Consommation historique (L/100 km), Vitesse max (km/h), Autonomie historique (km)</t>
        </is>
      </c>
      <c r="F235" t="inlineStr">
        <is>
          <t>Estimation gameplay à renseigner</t>
        </is>
      </c>
      <c r="G235" t="inlineStr">
        <is>
          <t>C si véhicule courant/variante connue; D si prototype ou variante ambiguë</t>
        </is>
      </c>
    </row>
    <row r="236">
      <c r="A236" t="inlineStr">
        <is>
          <t>VEH-235</t>
        </is>
      </c>
      <c r="B236" t="inlineStr">
        <is>
          <t>Type 2 Ho-I</t>
        </is>
      </c>
      <c r="C236" t="inlineStr">
        <is>
          <t>Chasseurs de chars et canons automoteurs</t>
        </is>
      </c>
      <c r="D236" t="n">
        <v>10</v>
      </c>
      <c r="E236" t="inlineStr">
        <is>
          <t>Masse à vide (kg), Longueur (m), Largeur (m), Hauteur (m), Cylindrée (L), Puissance (ch), Capacité carburant (L), Consommation historique (L/100 km), Vitesse max (km/h), Autonomie historique (km)</t>
        </is>
      </c>
      <c r="F236" t="inlineStr">
        <is>
          <t>Estimation gameplay à renseigner</t>
        </is>
      </c>
      <c r="G236" t="inlineStr">
        <is>
          <t>C si véhicule courant/variante connue; D si prototype ou variante ambiguë</t>
        </is>
      </c>
    </row>
    <row r="237">
      <c r="A237" t="inlineStr">
        <is>
          <t>VEH-236</t>
        </is>
      </c>
      <c r="B237" t="inlineStr">
        <is>
          <t>Type 3 Chi-Nu</t>
        </is>
      </c>
      <c r="C237" t="inlineStr">
        <is>
          <t>Chars moyens</t>
        </is>
      </c>
      <c r="D237" t="n">
        <v>10</v>
      </c>
      <c r="E237" t="inlineStr">
        <is>
          <t>Masse à vide (kg), Longueur (m), Largeur (m), Hauteur (m), Cylindrée (L), Puissance (ch), Capacité carburant (L), Consommation historique (L/100 km), Vitesse max (km/h), Autonomie historique (km)</t>
        </is>
      </c>
      <c r="F237" t="inlineStr">
        <is>
          <t>Estimation gameplay à renseigner</t>
        </is>
      </c>
      <c r="G237" t="inlineStr">
        <is>
          <t>C si véhicule courant/variante connue; D si prototype ou variante ambiguë</t>
        </is>
      </c>
    </row>
    <row r="238">
      <c r="A238" t="inlineStr">
        <is>
          <t>VEH-237</t>
        </is>
      </c>
      <c r="B238" t="inlineStr">
        <is>
          <t>Type 4 Chi-To</t>
        </is>
      </c>
      <c r="C238" t="inlineStr">
        <is>
          <t>Chars moyens</t>
        </is>
      </c>
      <c r="D238" t="n">
        <v>10</v>
      </c>
      <c r="E238" t="inlineStr">
        <is>
          <t>Masse à vide (kg), Longueur (m), Largeur (m), Hauteur (m), Cylindrée (L), Puissance (ch), Capacité carburant (L), Consommation historique (L/100 km), Vitesse max (km/h), Autonomie historique (km)</t>
        </is>
      </c>
      <c r="F238" t="inlineStr">
        <is>
          <t>Estimation gameplay à renseigner</t>
        </is>
      </c>
      <c r="G238" t="inlineStr">
        <is>
          <t>C si véhicule courant/variante connue; D si prototype ou variante ambiguë</t>
        </is>
      </c>
    </row>
    <row r="239">
      <c r="A239" t="inlineStr">
        <is>
          <t>VEH-238</t>
        </is>
      </c>
      <c r="B239" t="inlineStr">
        <is>
          <t>Type 5 Chi-Ri</t>
        </is>
      </c>
      <c r="C239" t="inlineStr">
        <is>
          <t>Chars lourds et prototypes</t>
        </is>
      </c>
      <c r="D239" t="n">
        <v>10</v>
      </c>
      <c r="E239" t="inlineStr">
        <is>
          <t>Masse à vide (kg), Longueur (m), Largeur (m), Hauteur (m), Cylindrée (L), Puissance (ch), Capacité carburant (L), Consommation historique (L/100 km), Vitesse max (km/h), Autonomie historique (km)</t>
        </is>
      </c>
      <c r="F239" t="inlineStr">
        <is>
          <t>Estimation gameplay à renseigner</t>
        </is>
      </c>
      <c r="G239" t="inlineStr">
        <is>
          <t>C si véhicule courant/variante connue; D si prototype ou variante ambiguë</t>
        </is>
      </c>
    </row>
    <row r="240">
      <c r="A240" t="inlineStr">
        <is>
          <t>VEH-239</t>
        </is>
      </c>
      <c r="B240" t="inlineStr">
        <is>
          <t>Type 2 Ka-Mi</t>
        </is>
      </c>
      <c r="C240" t="inlineStr">
        <is>
          <t>Chars amphibies et spécialisés</t>
        </is>
      </c>
      <c r="D240" t="n">
        <v>10</v>
      </c>
      <c r="E240" t="inlineStr">
        <is>
          <t>Masse à vide (kg), Longueur (m), Largeur (m), Hauteur (m), Cylindrée (L), Puissance (ch), Capacité carburant (L), Consommation historique (L/100 km), Vitesse max (km/h), Autonomie historique (km)</t>
        </is>
      </c>
      <c r="F240" t="inlineStr">
        <is>
          <t>Estimation gameplay à renseigner</t>
        </is>
      </c>
      <c r="G240" t="inlineStr">
        <is>
          <t>C si véhicule courant/variante connue; D si prototype ou variante ambiguë</t>
        </is>
      </c>
    </row>
    <row r="241">
      <c r="A241" t="inlineStr">
        <is>
          <t>VEH-240</t>
        </is>
      </c>
      <c r="B241" t="inlineStr">
        <is>
          <t>Type 3 Ka-Chi</t>
        </is>
      </c>
      <c r="C241" t="inlineStr">
        <is>
          <t>Chars amphibies et spécialisés</t>
        </is>
      </c>
      <c r="D241" t="n">
        <v>10</v>
      </c>
      <c r="E241" t="inlineStr">
        <is>
          <t>Masse à vide (kg), Longueur (m), Largeur (m), Hauteur (m), Cylindrée (L), Puissance (ch), Capacité carburant (L), Consommation historique (L/100 km), Vitesse max (km/h), Autonomie historique (km)</t>
        </is>
      </c>
      <c r="F241" t="inlineStr">
        <is>
          <t>Estimation gameplay à renseigner</t>
        </is>
      </c>
      <c r="G241" t="inlineStr">
        <is>
          <t>C si véhicule courant/variante connue; D si prototype ou variante ambiguë</t>
        </is>
      </c>
    </row>
    <row r="242">
      <c r="A242" t="inlineStr">
        <is>
          <t>VEH-241</t>
        </is>
      </c>
      <c r="B242" t="inlineStr">
        <is>
          <t>Ho-Ni I</t>
        </is>
      </c>
      <c r="C242" t="inlineStr">
        <is>
          <t>Chasseurs de chars et canons automoteurs</t>
        </is>
      </c>
      <c r="D242" t="n">
        <v>10</v>
      </c>
      <c r="E242" t="inlineStr">
        <is>
          <t>Masse à vide (kg), Longueur (m), Largeur (m), Hauteur (m), Cylindrée (L), Puissance (ch), Capacité carburant (L), Consommation historique (L/100 km), Vitesse max (km/h), Autonomie historique (km)</t>
        </is>
      </c>
      <c r="F242" t="inlineStr">
        <is>
          <t>Estimation gameplay à renseigner</t>
        </is>
      </c>
      <c r="G242" t="inlineStr">
        <is>
          <t>C si véhicule courant/variante connue; D si prototype ou variante ambiguë</t>
        </is>
      </c>
    </row>
    <row r="243">
      <c r="A243" t="inlineStr">
        <is>
          <t>VEH-242</t>
        </is>
      </c>
      <c r="B243" t="inlineStr">
        <is>
          <t>L3/33</t>
        </is>
      </c>
      <c r="C243" t="inlineStr">
        <is>
          <t>Chars légers et chars anciens</t>
        </is>
      </c>
      <c r="D243" t="n">
        <v>10</v>
      </c>
      <c r="E243" t="inlineStr">
        <is>
          <t>Masse à vide (kg), Longueur (m), Largeur (m), Hauteur (m), Cylindrée (L), Puissance (ch), Capacité carburant (L), Consommation historique (L/100 km), Vitesse max (km/h), Autonomie historique (km)</t>
        </is>
      </c>
      <c r="F243" t="inlineStr">
        <is>
          <t>Estimation gameplay à renseigner</t>
        </is>
      </c>
      <c r="G243" t="inlineStr">
        <is>
          <t>C si véhicule courant/variante connue; D si prototype ou variante ambiguë</t>
        </is>
      </c>
    </row>
    <row r="244">
      <c r="A244" t="inlineStr">
        <is>
          <t>VEH-243</t>
        </is>
      </c>
      <c r="B244" t="inlineStr">
        <is>
          <t>L3/35</t>
        </is>
      </c>
      <c r="C244" t="inlineStr">
        <is>
          <t>Chars légers et chars anciens</t>
        </is>
      </c>
      <c r="D244" t="n">
        <v>10</v>
      </c>
      <c r="E244" t="inlineStr">
        <is>
          <t>Masse à vide (kg), Longueur (m), Largeur (m), Hauteur (m), Cylindrée (L), Puissance (ch), Capacité carburant (L), Consommation historique (L/100 km), Vitesse max (km/h), Autonomie historique (km)</t>
        </is>
      </c>
      <c r="F244" t="inlineStr">
        <is>
          <t>Estimation gameplay à renseigner</t>
        </is>
      </c>
      <c r="G244" t="inlineStr">
        <is>
          <t>C si véhicule courant/variante connue; D si prototype ou variante ambiguë</t>
        </is>
      </c>
    </row>
    <row r="245">
      <c r="A245" t="inlineStr">
        <is>
          <t>VEH-244</t>
        </is>
      </c>
      <c r="B245" t="inlineStr">
        <is>
          <t>L6/40</t>
        </is>
      </c>
      <c r="C245" t="inlineStr">
        <is>
          <t>Chars légers et chars anciens</t>
        </is>
      </c>
      <c r="D245" t="n">
        <v>10</v>
      </c>
      <c r="E245" t="inlineStr">
        <is>
          <t>Masse à vide (kg), Longueur (m), Largeur (m), Hauteur (m), Cylindrée (L), Puissance (ch), Capacité carburant (L), Consommation historique (L/100 km), Vitesse max (km/h), Autonomie historique (km)</t>
        </is>
      </c>
      <c r="F245" t="inlineStr">
        <is>
          <t>Estimation gameplay à renseigner</t>
        </is>
      </c>
      <c r="G245" t="inlineStr">
        <is>
          <t>C si véhicule courant/variante connue; D si prototype ou variante ambiguë</t>
        </is>
      </c>
    </row>
    <row r="246">
      <c r="A246" t="inlineStr">
        <is>
          <t>VEH-245</t>
        </is>
      </c>
      <c r="B246" t="inlineStr">
        <is>
          <t>M11/39</t>
        </is>
      </c>
      <c r="C246" t="inlineStr">
        <is>
          <t>Chars moyens</t>
        </is>
      </c>
      <c r="D246" t="n">
        <v>10</v>
      </c>
      <c r="E246" t="inlineStr">
        <is>
          <t>Masse à vide (kg), Longueur (m), Largeur (m), Hauteur (m), Cylindrée (L), Puissance (ch), Capacité carburant (L), Consommation historique (L/100 km), Vitesse max (km/h), Autonomie historique (km)</t>
        </is>
      </c>
      <c r="F246" t="inlineStr">
        <is>
          <t>Estimation gameplay à renseigner</t>
        </is>
      </c>
      <c r="G246" t="inlineStr">
        <is>
          <t>C si véhicule courant/variante connue; D si prototype ou variante ambiguë</t>
        </is>
      </c>
    </row>
    <row r="247">
      <c r="A247" t="inlineStr">
        <is>
          <t>VEH-246</t>
        </is>
      </c>
      <c r="B247" t="inlineStr">
        <is>
          <t>M14/41</t>
        </is>
      </c>
      <c r="C247" t="inlineStr">
        <is>
          <t>Chars moyens</t>
        </is>
      </c>
      <c r="D247" t="n">
        <v>10</v>
      </c>
      <c r="E247" t="inlineStr">
        <is>
          <t>Masse à vide (kg), Longueur (m), Largeur (m), Hauteur (m), Cylindrée (L), Puissance (ch), Capacité carburant (L), Consommation historique (L/100 km), Vitesse max (km/h), Autonomie historique (km)</t>
        </is>
      </c>
      <c r="F247" t="inlineStr">
        <is>
          <t>Estimation gameplay à renseigner</t>
        </is>
      </c>
      <c r="G247" t="inlineStr">
        <is>
          <t>C si véhicule courant/variante connue; D si prototype ou variante ambiguë</t>
        </is>
      </c>
    </row>
    <row r="248">
      <c r="A248" t="inlineStr">
        <is>
          <t>VEH-247</t>
        </is>
      </c>
      <c r="B248" t="inlineStr">
        <is>
          <t>P26/40</t>
        </is>
      </c>
      <c r="C248" t="inlineStr">
        <is>
          <t>Chars lourds et prototypes</t>
        </is>
      </c>
      <c r="D248" t="n">
        <v>10</v>
      </c>
      <c r="E248" t="inlineStr">
        <is>
          <t>Masse à vide (kg), Longueur (m), Largeur (m), Hauteur (m), Cylindrée (L), Puissance (ch), Capacité carburant (L), Consommation historique (L/100 km), Vitesse max (km/h), Autonomie historique (km)</t>
        </is>
      </c>
      <c r="F248" t="inlineStr">
        <is>
          <t>Estimation gameplay à renseigner</t>
        </is>
      </c>
      <c r="G248" t="inlineStr">
        <is>
          <t>C si véhicule courant/variante connue; D si prototype ou variante ambiguë</t>
        </is>
      </c>
    </row>
    <row r="249">
      <c r="A249" t="inlineStr">
        <is>
          <t>VEH-248</t>
        </is>
      </c>
      <c r="B249" t="inlineStr">
        <is>
          <t>Semovente L40 da 47/32</t>
        </is>
      </c>
      <c r="C249" t="inlineStr">
        <is>
          <t>Chasseurs de chars et canons automoteurs</t>
        </is>
      </c>
      <c r="D249" t="n">
        <v>10</v>
      </c>
      <c r="E249" t="inlineStr">
        <is>
          <t>Masse à vide (kg), Longueur (m), Largeur (m), Hauteur (m), Cylindrée (L), Puissance (ch), Capacité carburant (L), Consommation historique (L/100 km), Vitesse max (km/h), Autonomie historique (km)</t>
        </is>
      </c>
      <c r="F249" t="inlineStr">
        <is>
          <t>Estimation gameplay à renseigner</t>
        </is>
      </c>
      <c r="G249" t="inlineStr">
        <is>
          <t>C si véhicule courant/variante connue; D si prototype ou variante ambiguë</t>
        </is>
      </c>
    </row>
    <row r="250">
      <c r="A250" t="inlineStr">
        <is>
          <t>VEH-249</t>
        </is>
      </c>
      <c r="B250" t="inlineStr">
        <is>
          <t>Semovente M40/M41 da 75/18</t>
        </is>
      </c>
      <c r="C250" t="inlineStr">
        <is>
          <t>Chasseurs de chars et canons automoteurs</t>
        </is>
      </c>
      <c r="D250" t="n">
        <v>10</v>
      </c>
      <c r="E250" t="inlineStr">
        <is>
          <t>Masse à vide (kg), Longueur (m), Largeur (m), Hauteur (m), Cylindrée (L), Puissance (ch), Capacité carburant (L), Consommation historique (L/100 km), Vitesse max (km/h), Autonomie historique (km)</t>
        </is>
      </c>
      <c r="F250" t="inlineStr">
        <is>
          <t>Estimation gameplay à renseigner</t>
        </is>
      </c>
      <c r="G250" t="inlineStr">
        <is>
          <t>C si véhicule courant/variante connue; D si prototype ou variante ambiguë</t>
        </is>
      </c>
    </row>
    <row r="251">
      <c r="A251" t="inlineStr">
        <is>
          <t>VEH-250</t>
        </is>
      </c>
      <c r="B251" t="inlineStr">
        <is>
          <t>Semovente M42 da 75/34</t>
        </is>
      </c>
      <c r="C251" t="inlineStr">
        <is>
          <t>Chasseurs de chars et canons automoteurs</t>
        </is>
      </c>
      <c r="D251" t="n">
        <v>10</v>
      </c>
      <c r="E251" t="inlineStr">
        <is>
          <t>Masse à vide (kg), Longueur (m), Largeur (m), Hauteur (m), Cylindrée (L), Puissance (ch), Capacité carburant (L), Consommation historique (L/100 km), Vitesse max (km/h), Autonomie historique (km)</t>
        </is>
      </c>
      <c r="F251" t="inlineStr">
        <is>
          <t>Estimation gameplay à renseigner</t>
        </is>
      </c>
      <c r="G251" t="inlineStr">
        <is>
          <t>C si véhicule courant/variante connue; D si prototype ou variante ambiguë</t>
        </is>
      </c>
    </row>
    <row r="252">
      <c r="A252" t="inlineStr">
        <is>
          <t>VEH-251</t>
        </is>
      </c>
      <c r="B252" t="inlineStr">
        <is>
          <t>Semovente M43 da 105/25</t>
        </is>
      </c>
      <c r="C252" t="inlineStr">
        <is>
          <t>Chasseurs de chars et canons automoteurs</t>
        </is>
      </c>
      <c r="D252" t="n">
        <v>10</v>
      </c>
      <c r="E252" t="inlineStr">
        <is>
          <t>Masse à vide (kg), Longueur (m), Largeur (m), Hauteur (m), Cylindrée (L), Puissance (ch), Capacité carburant (L), Consommation historique (L/100 km), Vitesse max (km/h), Autonomie historique (km)</t>
        </is>
      </c>
      <c r="F252" t="inlineStr">
        <is>
          <t>Estimation gameplay à renseigner</t>
        </is>
      </c>
      <c r="G252" t="inlineStr">
        <is>
          <t>C si véhicule courant/variante connue; D si prototype ou variante ambiguë</t>
        </is>
      </c>
    </row>
    <row r="253">
      <c r="A253" t="inlineStr">
        <is>
          <t>VEH-252</t>
        </is>
      </c>
      <c r="B253" t="inlineStr">
        <is>
          <t>TK-3</t>
        </is>
      </c>
      <c r="C253" t="inlineStr">
        <is>
          <t>Chars légers et chars anciens</t>
        </is>
      </c>
      <c r="D253" t="n">
        <v>10</v>
      </c>
      <c r="E253" t="inlineStr">
        <is>
          <t>Masse à vide (kg), Longueur (m), Largeur (m), Hauteur (m), Cylindrée (L), Puissance (ch), Capacité carburant (L), Consommation historique (L/100 km), Vitesse max (km/h), Autonomie historique (km)</t>
        </is>
      </c>
      <c r="F253" t="inlineStr">
        <is>
          <t>Estimation gameplay à renseigner</t>
        </is>
      </c>
      <c r="G253" t="inlineStr">
        <is>
          <t>C si véhicule courant/variante connue; D si prototype ou variante ambiguë</t>
        </is>
      </c>
    </row>
    <row r="254">
      <c r="A254" t="inlineStr">
        <is>
          <t>VEH-253</t>
        </is>
      </c>
      <c r="B254" t="inlineStr">
        <is>
          <t>TKS</t>
        </is>
      </c>
      <c r="C254" t="inlineStr">
        <is>
          <t>Chars légers et chars anciens</t>
        </is>
      </c>
      <c r="D254" t="n">
        <v>10</v>
      </c>
      <c r="E254" t="inlineStr">
        <is>
          <t>Masse à vide (kg), Longueur (m), Largeur (m), Hauteur (m), Cylindrée (L), Puissance (ch), Capacité carburant (L), Consommation historique (L/100 km), Vitesse max (km/h), Autonomie historique (km)</t>
        </is>
      </c>
      <c r="F254" t="inlineStr">
        <is>
          <t>Estimation gameplay à renseigner</t>
        </is>
      </c>
      <c r="G254" t="inlineStr">
        <is>
          <t>C si véhicule courant/variante connue; D si prototype ou variante ambiguë</t>
        </is>
      </c>
    </row>
    <row r="255">
      <c r="A255" t="inlineStr">
        <is>
          <t>VEH-254</t>
        </is>
      </c>
      <c r="B255" t="inlineStr">
        <is>
          <t>7TP</t>
        </is>
      </c>
      <c r="C255" t="inlineStr">
        <is>
          <t>Chars légers et chars anciens</t>
        </is>
      </c>
      <c r="D255" t="n">
        <v>10</v>
      </c>
      <c r="E255" t="inlineStr">
        <is>
          <t>Masse à vide (kg), Longueur (m), Largeur (m), Hauteur (m), Cylindrée (L), Puissance (ch), Capacité carburant (L), Consommation historique (L/100 km), Vitesse max (km/h), Autonomie historique (km)</t>
        </is>
      </c>
      <c r="F255" t="inlineStr">
        <is>
          <t>Estimation gameplay à renseigner</t>
        </is>
      </c>
      <c r="G255" t="inlineStr">
        <is>
          <t>C si véhicule courant/variante connue; D si prototype ou variante ambiguë</t>
        </is>
      </c>
    </row>
    <row r="256">
      <c r="A256" t="inlineStr">
        <is>
          <t>VEH-255</t>
        </is>
      </c>
      <c r="B256" t="inlineStr">
        <is>
          <t>10TP</t>
        </is>
      </c>
      <c r="C256" t="inlineStr">
        <is>
          <t>Chars de cavalerie et prototypes</t>
        </is>
      </c>
      <c r="D256" t="n">
        <v>10</v>
      </c>
      <c r="E256" t="inlineStr">
        <is>
          <t>Masse à vide (kg), Longueur (m), Largeur (m), Hauteur (m), Cylindrée (L), Puissance (ch), Capacité carburant (L), Consommation historique (L/100 km), Vitesse max (km/h), Autonomie historique (km)</t>
        </is>
      </c>
      <c r="F256" t="inlineStr">
        <is>
          <t>Estimation gameplay à renseigner</t>
        </is>
      </c>
      <c r="G256" t="inlineStr">
        <is>
          <t>C si véhicule courant/variante connue; D si prototype ou variante ambiguë</t>
        </is>
      </c>
    </row>
    <row r="257">
      <c r="A257" t="inlineStr">
        <is>
          <t>VEH-256</t>
        </is>
      </c>
      <c r="B257" t="inlineStr">
        <is>
          <t>14TP</t>
        </is>
      </c>
      <c r="C257" t="inlineStr">
        <is>
          <t>Chars de cavalerie et prototypes</t>
        </is>
      </c>
      <c r="D257" t="n">
        <v>10</v>
      </c>
      <c r="E257" t="inlineStr">
        <is>
          <t>Masse à vide (kg), Longueur (m), Largeur (m), Hauteur (m), Cylindrée (L), Puissance (ch), Capacité carburant (L), Consommation historique (L/100 km), Vitesse max (km/h), Autonomie historique (km)</t>
        </is>
      </c>
      <c r="F257" t="inlineStr">
        <is>
          <t>Estimation gameplay à renseigner</t>
        </is>
      </c>
      <c r="G257" t="inlineStr">
        <is>
          <t>C si véhicule courant/variante connue; D si prototype ou variante ambiguë</t>
        </is>
      </c>
    </row>
    <row r="258">
      <c r="A258" t="inlineStr">
        <is>
          <t>VEH-257</t>
        </is>
      </c>
      <c r="B258" t="inlineStr">
        <is>
          <t>LT vz. 34</t>
        </is>
      </c>
      <c r="C258" t="inlineStr">
        <is>
          <t>Chars légers et chars anciens</t>
        </is>
      </c>
      <c r="D258" t="n">
        <v>10</v>
      </c>
      <c r="E258" t="inlineStr">
        <is>
          <t>Masse à vide (kg), Longueur (m), Largeur (m), Hauteur (m), Cylindrée (L), Puissance (ch), Capacité carburant (L), Consommation historique (L/100 km), Vitesse max (km/h), Autonomie historique (km)</t>
        </is>
      </c>
      <c r="F258" t="inlineStr">
        <is>
          <t>Estimation gameplay à renseigner</t>
        </is>
      </c>
      <c r="G258" t="inlineStr">
        <is>
          <t>C si véhicule courant/variante connue; D si prototype ou variante ambiguë</t>
        </is>
      </c>
    </row>
    <row r="259">
      <c r="A259" t="inlineStr">
        <is>
          <t>VEH-258</t>
        </is>
      </c>
      <c r="B259" t="inlineStr">
        <is>
          <t>LT vz. 35 / Panzer 35(t)</t>
        </is>
      </c>
      <c r="C259" t="inlineStr">
        <is>
          <t>Chars légers et chars anciens</t>
        </is>
      </c>
      <c r="D259" t="n">
        <v>10</v>
      </c>
      <c r="E259" t="inlineStr">
        <is>
          <t>Masse à vide (kg), Longueur (m), Largeur (m), Hauteur (m), Cylindrée (L), Puissance (ch), Capacité carburant (L), Consommation historique (L/100 km), Vitesse max (km/h), Autonomie historique (km)</t>
        </is>
      </c>
      <c r="F259" t="inlineStr">
        <is>
          <t>Estimation gameplay à renseigner</t>
        </is>
      </c>
      <c r="G259" t="inlineStr">
        <is>
          <t>C si véhicule courant/variante connue; D si prototype ou variante ambiguë</t>
        </is>
      </c>
    </row>
    <row r="260">
      <c r="A260" t="inlineStr">
        <is>
          <t>VEH-259</t>
        </is>
      </c>
      <c r="B260" t="inlineStr">
        <is>
          <t>LT vz. 38 / Panzer 38(t)</t>
        </is>
      </c>
      <c r="C260" t="inlineStr">
        <is>
          <t>Chars légers et chars anciens</t>
        </is>
      </c>
      <c r="D260" t="n">
        <v>10</v>
      </c>
      <c r="E260" t="inlineStr">
        <is>
          <t>Masse à vide (kg), Longueur (m), Largeur (m), Hauteur (m), Cylindrée (L), Puissance (ch), Capacité carburant (L), Consommation historique (L/100 km), Vitesse max (km/h), Autonomie historique (km)</t>
        </is>
      </c>
      <c r="F260" t="inlineStr">
        <is>
          <t>Estimation gameplay à renseigner</t>
        </is>
      </c>
      <c r="G260" t="inlineStr">
        <is>
          <t>C si véhicule courant/variante connue; D si prototype ou variante ambiguë</t>
        </is>
      </c>
    </row>
    <row r="261">
      <c r="A261" t="inlineStr">
        <is>
          <t>VEH-260</t>
        </is>
      </c>
      <c r="B261" t="inlineStr">
        <is>
          <t>AH-IV</t>
        </is>
      </c>
      <c r="C261" t="inlineStr">
        <is>
          <t>Chars légers et chars anciens</t>
        </is>
      </c>
      <c r="D261" t="n">
        <v>10</v>
      </c>
      <c r="E261" t="inlineStr">
        <is>
          <t>Masse à vide (kg), Longueur (m), Largeur (m), Hauteur (m), Cylindrée (L), Puissance (ch), Capacité carburant (L), Consommation historique (L/100 km), Vitesse max (km/h), Autonomie historique (km)</t>
        </is>
      </c>
      <c r="F261" t="inlineStr">
        <is>
          <t>Estimation gameplay à renseigner</t>
        </is>
      </c>
      <c r="G261" t="inlineStr">
        <is>
          <t>C si véhicule courant/variante connue; D si prototype ou variante ambiguë</t>
        </is>
      </c>
    </row>
    <row r="262">
      <c r="A262" t="inlineStr">
        <is>
          <t>VEH-261</t>
        </is>
      </c>
      <c r="B262" t="inlineStr">
        <is>
          <t>Strv m/38 (L-60)</t>
        </is>
      </c>
      <c r="C262" t="inlineStr">
        <is>
          <t>Chars légers et chars anciens</t>
        </is>
      </c>
      <c r="D262" t="n">
        <v>10</v>
      </c>
      <c r="E262" t="inlineStr">
        <is>
          <t>Masse à vide (kg), Longueur (m), Largeur (m), Hauteur (m), Cylindrée (L), Puissance (ch), Capacité carburant (L), Consommation historique (L/100 km), Vitesse max (km/h), Autonomie historique (km)</t>
        </is>
      </c>
      <c r="F262" t="inlineStr">
        <is>
          <t>Estimation gameplay à renseigner</t>
        </is>
      </c>
      <c r="G262" t="inlineStr">
        <is>
          <t>C si véhicule courant/variante connue; D si prototype ou variante ambiguë</t>
        </is>
      </c>
    </row>
    <row r="263">
      <c r="A263" t="inlineStr">
        <is>
          <t>VEH-262</t>
        </is>
      </c>
      <c r="B263" t="inlineStr">
        <is>
          <t>Strv m/39</t>
        </is>
      </c>
      <c r="C263" t="inlineStr">
        <is>
          <t>Chars légers et chars anciens</t>
        </is>
      </c>
      <c r="D263" t="n">
        <v>10</v>
      </c>
      <c r="E263" t="inlineStr">
        <is>
          <t>Masse à vide (kg), Longueur (m), Largeur (m), Hauteur (m), Cylindrée (L), Puissance (ch), Capacité carburant (L), Consommation historique (L/100 km), Vitesse max (km/h), Autonomie historique (km)</t>
        </is>
      </c>
      <c r="F263" t="inlineStr">
        <is>
          <t>Estimation gameplay à renseigner</t>
        </is>
      </c>
      <c r="G263" t="inlineStr">
        <is>
          <t>C si véhicule courant/variante connue; D si prototype ou variante ambiguë</t>
        </is>
      </c>
    </row>
    <row r="264">
      <c r="A264" t="inlineStr">
        <is>
          <t>VEH-263</t>
        </is>
      </c>
      <c r="B264" t="inlineStr">
        <is>
          <t>Strv m/40</t>
        </is>
      </c>
      <c r="C264" t="inlineStr">
        <is>
          <t>Chars légers et chars anciens</t>
        </is>
      </c>
      <c r="D264" t="n">
        <v>10</v>
      </c>
      <c r="E264" t="inlineStr">
        <is>
          <t>Masse à vide (kg), Longueur (m), Largeur (m), Hauteur (m), Cylindrée (L), Puissance (ch), Capacité carburant (L), Consommation historique (L/100 km), Vitesse max (km/h), Autonomie historique (km)</t>
        </is>
      </c>
      <c r="F264" t="inlineStr">
        <is>
          <t>Estimation gameplay à renseigner</t>
        </is>
      </c>
      <c r="G264" t="inlineStr">
        <is>
          <t>C si véhicule courant/variante connue; D si prototype ou variante ambiguë</t>
        </is>
      </c>
    </row>
    <row r="265">
      <c r="A265" t="inlineStr">
        <is>
          <t>VEH-264</t>
        </is>
      </c>
      <c r="B265" t="inlineStr">
        <is>
          <t>Strv m/42</t>
        </is>
      </c>
      <c r="C265" t="inlineStr">
        <is>
          <t>Chars moyens</t>
        </is>
      </c>
      <c r="D265" t="n">
        <v>10</v>
      </c>
      <c r="E265" t="inlineStr">
        <is>
          <t>Masse à vide (kg), Longueur (m), Largeur (m), Hauteur (m), Cylindrée (L), Puissance (ch), Capacité carburant (L), Consommation historique (L/100 km), Vitesse max (km/h), Autonomie historique (km)</t>
        </is>
      </c>
      <c r="F265" t="inlineStr">
        <is>
          <t>Estimation gameplay à renseigner</t>
        </is>
      </c>
      <c r="G265" t="inlineStr">
        <is>
          <t>C si véhicule courant/variante connue; D si prototype ou variante ambiguë</t>
        </is>
      </c>
    </row>
    <row r="266">
      <c r="A266" t="inlineStr">
        <is>
          <t>VEH-265</t>
        </is>
      </c>
      <c r="B266" t="inlineStr">
        <is>
          <t>Toldi I / II / III</t>
        </is>
      </c>
      <c r="C266" t="inlineStr">
        <is>
          <t>Chars légers et chars anciens</t>
        </is>
      </c>
      <c r="D266" t="n">
        <v>10</v>
      </c>
      <c r="E266" t="inlineStr">
        <is>
          <t>Masse à vide (kg), Longueur (m), Largeur (m), Hauteur (m), Cylindrée (L), Puissance (ch), Capacité carburant (L), Consommation historique (L/100 km), Vitesse max (km/h), Autonomie historique (km)</t>
        </is>
      </c>
      <c r="F266" t="inlineStr">
        <is>
          <t>Estimation gameplay à renseigner</t>
        </is>
      </c>
      <c r="G266" t="inlineStr">
        <is>
          <t>C si véhicule courant/variante connue; D si prototype ou variante ambiguë</t>
        </is>
      </c>
    </row>
    <row r="267">
      <c r="A267" t="inlineStr">
        <is>
          <t>VEH-266</t>
        </is>
      </c>
      <c r="B267" t="inlineStr">
        <is>
          <t>Turan I / II</t>
        </is>
      </c>
      <c r="C267" t="inlineStr">
        <is>
          <t>Chars moyens</t>
        </is>
      </c>
      <c r="D267" t="n">
        <v>10</v>
      </c>
      <c r="E267" t="inlineStr">
        <is>
          <t>Masse à vide (kg), Longueur (m), Largeur (m), Hauteur (m), Cylindrée (L), Puissance (ch), Capacité carburant (L), Consommation historique (L/100 km), Vitesse max (km/h), Autonomie historique (km)</t>
        </is>
      </c>
      <c r="F267" t="inlineStr">
        <is>
          <t>Estimation gameplay à renseigner</t>
        </is>
      </c>
      <c r="G267" t="inlineStr">
        <is>
          <t>C si véhicule courant/variante connue; D si prototype ou variante ambiguë</t>
        </is>
      </c>
    </row>
    <row r="268">
      <c r="A268" t="inlineStr">
        <is>
          <t>VEH-267</t>
        </is>
      </c>
      <c r="B268" t="inlineStr">
        <is>
          <t>Zrínyi II</t>
        </is>
      </c>
      <c r="C268" t="inlineStr">
        <is>
          <t>Chasseurs de chars et canons automoteurs</t>
        </is>
      </c>
      <c r="D268" t="n">
        <v>10</v>
      </c>
      <c r="E268" t="inlineStr">
        <is>
          <t>Masse à vide (kg), Longueur (m), Largeur (m), Hauteur (m), Cylindrée (L), Puissance (ch), Capacité carburant (L), Consommation historique (L/100 km), Vitesse max (km/h), Autonomie historique (km)</t>
        </is>
      </c>
      <c r="F268" t="inlineStr">
        <is>
          <t>Estimation gameplay à renseigner</t>
        </is>
      </c>
      <c r="G268" t="inlineStr">
        <is>
          <t>C si véhicule courant/variante connue; D si prototype ou variante ambiguë</t>
        </is>
      </c>
    </row>
    <row r="269">
      <c r="A269" t="inlineStr">
        <is>
          <t>VEH-268</t>
        </is>
      </c>
      <c r="B269" t="inlineStr">
        <is>
          <t>Nimród</t>
        </is>
      </c>
      <c r="C269" t="inlineStr">
        <is>
          <t>Chasseurs de chars et canons automoteurs</t>
        </is>
      </c>
      <c r="D269" t="n">
        <v>10</v>
      </c>
      <c r="E269" t="inlineStr">
        <is>
          <t>Masse à vide (kg), Longueur (m), Largeur (m), Hauteur (m), Cylindrée (L), Puissance (ch), Capacité carburant (L), Consommation historique (L/100 km), Vitesse max (km/h), Autonomie historique (km)</t>
        </is>
      </c>
      <c r="F269" t="inlineStr">
        <is>
          <t>Estimation gameplay à renseigner</t>
        </is>
      </c>
      <c r="G269" t="inlineStr">
        <is>
          <t>C si véhicule courant/variante connue; D si prototype ou variante ambiguë</t>
        </is>
      </c>
    </row>
    <row r="270">
      <c r="A270" t="inlineStr">
        <is>
          <t>VEH-269</t>
        </is>
      </c>
      <c r="B270" t="inlineStr">
        <is>
          <t>TACAM R-2</t>
        </is>
      </c>
      <c r="C270" t="inlineStr">
        <is>
          <t>Chasseurs de chars et canons automoteurs</t>
        </is>
      </c>
      <c r="D270" t="n">
        <v>10</v>
      </c>
      <c r="E270" t="inlineStr">
        <is>
          <t>Masse à vide (kg), Longueur (m), Largeur (m), Hauteur (m), Cylindrée (L), Puissance (ch), Capacité carburant (L), Consommation historique (L/100 km), Vitesse max (km/h), Autonomie historique (km)</t>
        </is>
      </c>
      <c r="F270" t="inlineStr">
        <is>
          <t>Estimation gameplay à renseigner</t>
        </is>
      </c>
      <c r="G270" t="inlineStr">
        <is>
          <t>C si véhicule courant/variante connue; D si prototype ou variante ambiguë</t>
        </is>
      </c>
    </row>
    <row r="271">
      <c r="A271" t="inlineStr">
        <is>
          <t>VEH-270</t>
        </is>
      </c>
      <c r="B271" t="inlineStr">
        <is>
          <t>TACAM T-60</t>
        </is>
      </c>
      <c r="C271" t="inlineStr">
        <is>
          <t>Chasseurs de chars et canons automoteurs</t>
        </is>
      </c>
      <c r="D271" t="n">
        <v>10</v>
      </c>
      <c r="E271" t="inlineStr">
        <is>
          <t>Masse à vide (kg), Longueur (m), Largeur (m), Hauteur (m), Cylindrée (L), Puissance (ch), Capacité carburant (L), Consommation historique (L/100 km), Vitesse max (km/h), Autonomie historique (km)</t>
        </is>
      </c>
      <c r="F271" t="inlineStr">
        <is>
          <t>Estimation gameplay à renseigner</t>
        </is>
      </c>
      <c r="G271" t="inlineStr">
        <is>
          <t>C si véhicule courant/variante connue; D si prototype ou variante ambiguë</t>
        </is>
      </c>
    </row>
    <row r="272">
      <c r="A272" t="inlineStr">
        <is>
          <t>VEH-271</t>
        </is>
      </c>
      <c r="B272" t="inlineStr">
        <is>
          <t>Vanatorul de care R-35</t>
        </is>
      </c>
      <c r="C272" t="inlineStr">
        <is>
          <t>Chasseurs de chars et canons automoteurs</t>
        </is>
      </c>
      <c r="D272" t="n">
        <v>10</v>
      </c>
      <c r="E272" t="inlineStr">
        <is>
          <t>Masse à vide (kg), Longueur (m), Largeur (m), Hauteur (m), Cylindrée (L), Puissance (ch), Capacité carburant (L), Consommation historique (L/100 km), Vitesse max (km/h), Autonomie historique (km)</t>
        </is>
      </c>
      <c r="F272" t="inlineStr">
        <is>
          <t>Estimation gameplay à renseigner</t>
        </is>
      </c>
      <c r="G272" t="inlineStr">
        <is>
          <t>C si véhicule courant/variante connue; D si prototype ou variante ambiguë</t>
        </is>
      </c>
    </row>
    <row r="273">
      <c r="A273" t="inlineStr">
        <is>
          <t>VEH-272</t>
        </is>
      </c>
      <c r="B273" t="inlineStr">
        <is>
          <t>BT-42</t>
        </is>
      </c>
      <c r="C273" t="inlineStr">
        <is>
          <t>Chasseurs de chars et canons automoteurs</t>
        </is>
      </c>
      <c r="D273" t="n">
        <v>10</v>
      </c>
      <c r="E273" t="inlineStr">
        <is>
          <t>Masse à vide (kg), Longueur (m), Largeur (m), Hauteur (m), Cylindrée (L), Puissance (ch), Capacité carburant (L), Consommation historique (L/100 km), Vitesse max (km/h), Autonomie historique (km)</t>
        </is>
      </c>
      <c r="F273" t="inlineStr">
        <is>
          <t>Estimation gameplay à renseigner</t>
        </is>
      </c>
      <c r="G273" t="inlineStr">
        <is>
          <t>C si véhicule courant/variante connue; D si prototype ou variante ambiguë</t>
        </is>
      </c>
    </row>
    <row r="274">
      <c r="A274" t="inlineStr">
        <is>
          <t>VEH-273</t>
        </is>
      </c>
      <c r="B274" t="inlineStr">
        <is>
          <t>Vickers 6-Ton</t>
        </is>
      </c>
      <c r="C274" t="inlineStr">
        <is>
          <t>Chars légers et chars anciens</t>
        </is>
      </c>
      <c r="D274" t="n">
        <v>10</v>
      </c>
      <c r="E274" t="inlineStr">
        <is>
          <t>Masse à vide (kg), Longueur (m), Largeur (m), Hauteur (m), Cylindrée (L), Puissance (ch), Capacité carburant (L), Consommation historique (L/100 km), Vitesse max (km/h), Autonomie historique (km)</t>
        </is>
      </c>
      <c r="F274" t="inlineStr">
        <is>
          <t>Estimation gameplay à renseigner</t>
        </is>
      </c>
      <c r="G274" t="inlineStr">
        <is>
          <t>C si véhicule courant/variante connue; D si prototype ou variante ambiguë</t>
        </is>
      </c>
    </row>
    <row r="275">
      <c r="A275" t="inlineStr">
        <is>
          <t>VEH-274</t>
        </is>
      </c>
      <c r="B275" t="inlineStr">
        <is>
          <t>T-13 B1/B2</t>
        </is>
      </c>
      <c r="C275" t="inlineStr">
        <is>
          <t>Chasseurs de chars et canons automoteurs</t>
        </is>
      </c>
      <c r="D275" t="n">
        <v>10</v>
      </c>
      <c r="E275" t="inlineStr">
        <is>
          <t>Masse à vide (kg), Longueur (m), Largeur (m), Hauteur (m), Cylindrée (L), Puissance (ch), Capacité carburant (L), Consommation historique (L/100 km), Vitesse max (km/h), Autonomie historique (km)</t>
        </is>
      </c>
      <c r="F275" t="inlineStr">
        <is>
          <t>Estimation gameplay à renseigner</t>
        </is>
      </c>
      <c r="G275" t="inlineStr">
        <is>
          <t>C si véhicule courant/variante connue; D si prototype ou variante ambiguë</t>
        </is>
      </c>
    </row>
    <row r="276">
      <c r="A276" t="inlineStr">
        <is>
          <t>VEH-275</t>
        </is>
      </c>
      <c r="B276" t="inlineStr">
        <is>
          <t>T-15</t>
        </is>
      </c>
      <c r="C276" t="inlineStr">
        <is>
          <t>Chars légers et chars anciens</t>
        </is>
      </c>
      <c r="D276" t="n">
        <v>10</v>
      </c>
      <c r="E276" t="inlineStr">
        <is>
          <t>Masse à vide (kg), Longueur (m), Largeur (m), Hauteur (m), Cylindrée (L), Puissance (ch), Capacité carburant (L), Consommation historique (L/100 km), Vitesse max (km/h), Autonomie historique (km)</t>
        </is>
      </c>
      <c r="F276" t="inlineStr">
        <is>
          <t>Estimation gameplay à renseigner</t>
        </is>
      </c>
      <c r="G276" t="inlineStr">
        <is>
          <t>C si véhicule courant/variante connue; D si prototype ou variante ambiguë</t>
        </is>
      </c>
    </row>
  </sheetData>
  <autoFilter ref="A1:G276"/>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42" customWidth="1" min="3" max="3"/>
    <col width="27" customWidth="1" min="4" max="4"/>
    <col width="42" customWidth="1" min="5" max="5"/>
  </cols>
  <sheetData>
    <row r="1" ht="32" customHeight="1">
      <c r="A1" s="28" t="inlineStr">
        <is>
          <t>ID</t>
        </is>
      </c>
      <c r="B1" s="28" t="inlineStr">
        <is>
          <t>Domaine</t>
        </is>
      </c>
      <c r="C1" s="28" t="inlineStr">
        <is>
          <t>Décision</t>
        </is>
      </c>
      <c r="D1" s="28" t="inlineStr">
        <is>
          <t>Statut</t>
        </is>
      </c>
      <c r="E1" s="28" t="inlineStr">
        <is>
          <t>Précision</t>
        </is>
      </c>
    </row>
    <row r="2">
      <c r="A2" t="inlineStr">
        <is>
          <t>DEC-001</t>
        </is>
      </c>
      <c r="B2" t="inlineStr">
        <is>
          <t>Véhicules</t>
        </is>
      </c>
      <c r="C2" t="inlineStr">
        <is>
          <t>Compléter les champs utiles avec valeurs plausibles arrondies; éviter les cases vides qui bloquent le gameplay.</t>
        </is>
      </c>
      <c r="D2" t="inlineStr">
        <is>
          <t>Validé par l'utilisateur</t>
        </is>
      </c>
      <c r="E2" t="inlineStr">
        <is>
          <t>Les valeurs estimées doivent être marquées et ne pas être présentées comme données constructeur exactes.</t>
        </is>
      </c>
    </row>
    <row r="3">
      <c r="A3" t="inlineStr">
        <is>
          <t>DEC-002</t>
        </is>
      </c>
      <c r="B3" t="inlineStr">
        <is>
          <t>Captivité</t>
        </is>
      </c>
      <c r="C3" t="inlineStr">
        <is>
          <t>Capacité stricte, consommation d'eau/nourriture, surveillance, risque d'évasion, réputation et représailles.</t>
        </is>
      </c>
      <c r="D3" t="inlineStr">
        <is>
          <t>Proposition chiffrée v1.0</t>
        </is>
      </c>
      <c r="E3" t="inlineStr">
        <is>
          <t>Les valeurs sont des hypothèses de balance.</t>
        </is>
      </c>
    </row>
    <row r="4">
      <c r="A4" t="inlineStr">
        <is>
          <t>DEC-003</t>
        </is>
      </c>
      <c r="B4" t="inlineStr">
        <is>
          <t>Économie</t>
        </is>
      </c>
      <c r="C4" t="inlineStr">
        <is>
          <t>Stock de carburant unifié en litres; type moteur séparé comme propriété technique.</t>
        </is>
      </c>
      <c r="D4" t="inlineStr">
        <is>
          <t>Décision confirmée</t>
        </is>
      </c>
      <c r="E4" t="inlineStr">
        <is>
          <t>Pas de stocks essence/diesel séparés.</t>
        </is>
      </c>
    </row>
    <row r="5">
      <c r="A5" t="inlineStr">
        <is>
          <t>DEC-004</t>
        </is>
      </c>
      <c r="B5" t="inlineStr">
        <is>
          <t>Hors ligne</t>
        </is>
      </c>
      <c r="C5" t="inlineStr">
        <is>
          <t>Progression plafonnée à 12 h; bilan au retour; pas de perte irréversible silencieuse.</t>
        </is>
      </c>
      <c r="D5" t="inlineStr">
        <is>
          <t>Décision confirmée</t>
        </is>
      </c>
    </row>
    <row r="6">
      <c r="A6" t="inlineStr">
        <is>
          <t>DEC-005</t>
        </is>
      </c>
      <c r="B6" t="inlineStr">
        <is>
          <t>Prototype</t>
        </is>
      </c>
      <c r="C6" t="inlineStr">
        <is>
          <t>Aucun prototype tant que l'utilisateur ne le demande pas explicitement.</t>
        </is>
      </c>
      <c r="D6" t="inlineStr">
        <is>
          <t>Instruction explicite</t>
        </is>
      </c>
      <c r="E6" t="inlineStr">
        <is>
          <t>Conception et données seulement.</t>
        </is>
      </c>
    </row>
    <row r="7">
      <c r="A7" t="inlineStr">
        <is>
          <t>DEC-006</t>
        </is>
      </c>
      <c r="B7" t="inlineStr">
        <is>
          <t>Fortifications</t>
        </is>
      </c>
      <c r="C7" t="inlineStr">
        <is>
          <t>Deux grandes portes indépendantes, murs segmentés, affectation des soldats, armes fixes et véhicules extérieurs.</t>
        </is>
      </c>
      <c r="D7" t="inlineStr">
        <is>
          <t>Validé en conception</t>
        </is>
      </c>
      <c r="E7" t="inlineStr">
        <is>
          <t>Les véhicules en défense ne peuvent pas être en expédition simultanément.</t>
        </is>
      </c>
    </row>
  </sheetData>
  <autoFilter ref="A1:E7"/>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R276"/>
  <sheetViews>
    <sheetView workbookViewId="0">
      <pane ySplit="1" topLeftCell="A2" activePane="bottomLeft" state="frozen"/>
      <selection pane="bottomLeft" activeCell="A1" sqref="A1"/>
    </sheetView>
  </sheetViews>
  <sheetFormatPr baseColWidth="8" defaultRowHeight="15"/>
  <cols>
    <col width="13" customWidth="1" min="1" max="1"/>
    <col width="38" customWidth="1" min="2" max="2"/>
    <col width="38" customWidth="1" min="3" max="3"/>
    <col width="18" customWidth="1" min="4" max="4"/>
    <col width="20" customWidth="1" min="5" max="5"/>
    <col width="19" customWidth="1" min="6" max="6"/>
    <col width="19" customWidth="1" min="7" max="7"/>
    <col width="21" customWidth="1" min="8" max="8"/>
    <col width="22" customWidth="1" min="9" max="9"/>
    <col width="34" customWidth="1" min="10" max="10"/>
    <col width="20" customWidth="1" min="11" max="11"/>
    <col width="32" customWidth="1" min="12" max="12"/>
    <col width="22" customWidth="1" min="13" max="13"/>
    <col width="22" customWidth="1" min="14" max="14"/>
    <col width="17" customWidth="1" min="15" max="15"/>
    <col width="25" customWidth="1" min="16" max="16"/>
    <col width="32" customWidth="1" min="17" max="17"/>
    <col width="38" customWidth="1" min="18" max="18"/>
  </cols>
  <sheetData>
    <row r="1" ht="42" customHeight="1">
      <c r="A1" s="29" t="inlineStr">
        <is>
          <t>ID véhicule</t>
        </is>
      </c>
      <c r="B1" s="29" t="inlineStr">
        <is>
          <t>Modèle</t>
        </is>
      </c>
      <c r="C1" s="29" t="inlineStr">
        <is>
          <t>Catégorie</t>
        </is>
      </c>
      <c r="D1" s="29" t="inlineStr">
        <is>
          <t>Masse estimée kg</t>
        </is>
      </c>
      <c r="E1" s="29" t="inlineStr">
        <is>
          <t>Longueur estimée m</t>
        </is>
      </c>
      <c r="F1" s="29" t="inlineStr">
        <is>
          <t>Largeur estimée m</t>
        </is>
      </c>
      <c r="G1" s="29" t="inlineStr">
        <is>
          <t>Hauteur estimée m</t>
        </is>
      </c>
      <c r="H1" s="29" t="inlineStr">
        <is>
          <t>Cylindrée estimée L</t>
        </is>
      </c>
      <c r="I1" s="29" t="inlineStr">
        <is>
          <t>Puissance estimée ch</t>
        </is>
      </c>
      <c r="J1" s="29" t="inlineStr">
        <is>
          <t>Carburant probable</t>
        </is>
      </c>
      <c r="K1" s="29" t="inlineStr">
        <is>
          <t>Réservoir estimé L</t>
        </is>
      </c>
      <c r="L1" s="29" t="inlineStr">
        <is>
          <t>Consommation gameplay L/100 km</t>
        </is>
      </c>
      <c r="M1" s="29" t="inlineStr">
        <is>
          <t>Vitesse estimée km/h</t>
        </is>
      </c>
      <c r="N1" s="29" t="inlineStr">
        <is>
          <t>Autonomie estimée km</t>
        </is>
      </c>
      <c r="O1" s="29" t="inlineStr">
        <is>
          <t>Équipage estimé</t>
        </is>
      </c>
      <c r="P1" s="29" t="inlineStr">
        <is>
          <t>Charge utile estimée kg</t>
        </is>
      </c>
      <c r="Q1" s="29" t="inlineStr">
        <is>
          <t>Confiance</t>
        </is>
      </c>
      <c r="R1" s="29" t="inlineStr">
        <is>
          <t>Base de l'estimation / réserve</t>
        </is>
      </c>
    </row>
    <row r="2">
      <c r="A2" t="inlineStr">
        <is>
          <t>VEH-001</t>
        </is>
      </c>
      <c r="B2" t="inlineStr">
        <is>
          <t>Citroën Traction Avant</t>
        </is>
      </c>
      <c r="C2" t="inlineStr">
        <is>
          <t>Voitures civiles et utilitaires légers</t>
        </is>
      </c>
      <c r="D2" t="n">
        <v>1100</v>
      </c>
      <c r="E2" t="n">
        <v>4.45</v>
      </c>
      <c r="F2" t="n">
        <v>1.64</v>
      </c>
      <c r="G2" t="n">
        <v>1.52</v>
      </c>
      <c r="H2" t="n">
        <v>1.9</v>
      </c>
      <c r="I2" t="n">
        <v>46</v>
      </c>
      <c r="J2" t="inlineStr">
        <is>
          <t>Essence</t>
        </is>
      </c>
      <c r="K2" t="n">
        <v>50</v>
      </c>
      <c r="L2" t="n">
        <v>11</v>
      </c>
      <c r="M2" t="n">
        <v>115</v>
      </c>
      <c r="N2" t="n">
        <v>400</v>
      </c>
      <c r="O2" t="n">
        <v>5</v>
      </c>
      <c r="P2" t="n">
        <v>350</v>
      </c>
      <c r="Q2" t="inlineStr">
        <is>
          <t>B — modèle courant</t>
        </is>
      </c>
      <c r="R2" t="inlineStr">
        <is>
          <t>Valeurs arrondies d'un modèle connu; les variantes peuvent diverger.</t>
        </is>
      </c>
    </row>
    <row r="3">
      <c r="A3" s="30" t="inlineStr">
        <is>
          <t>VEH-002</t>
        </is>
      </c>
      <c r="B3" s="30" t="inlineStr">
        <is>
          <t>Citroën Type 23</t>
        </is>
      </c>
      <c r="C3" s="30" t="inlineStr">
        <is>
          <t>Camions légers et moyens</t>
        </is>
      </c>
      <c r="D3" s="30" t="n">
        <v>2800</v>
      </c>
      <c r="E3" s="30" t="n">
        <v>5.2</v>
      </c>
      <c r="F3" s="30" t="n">
        <v>2</v>
      </c>
      <c r="G3" s="30" t="n">
        <v>2.4</v>
      </c>
      <c r="H3" s="30" t="n">
        <v>3.5</v>
      </c>
      <c r="I3" s="30" t="n">
        <v>75</v>
      </c>
      <c r="J3" s="30" t="inlineStr">
        <is>
          <t>Essence ou diesel selon variante</t>
        </is>
      </c>
      <c r="K3" s="30" t="n">
        <v>80</v>
      </c>
      <c r="L3" s="30" t="n">
        <v>22</v>
      </c>
      <c r="M3" s="30" t="n">
        <v>75</v>
      </c>
      <c r="N3" s="30" t="n">
        <v>350</v>
      </c>
      <c r="O3" s="30" t="n">
        <v>2</v>
      </c>
      <c r="P3" s="30" t="n">
        <v>1500</v>
      </c>
      <c r="Q3" s="30" t="inlineStr">
        <is>
          <t>C/D — estimation par catégorie</t>
        </is>
      </c>
      <c r="R3" s="30" t="inlineStr">
        <is>
          <t>Archétype truck_light; estimation arrondie, marge indicative ±10–20 % ou davantage pour prototypes.</t>
        </is>
      </c>
    </row>
    <row r="4">
      <c r="A4" s="30" t="inlineStr">
        <is>
          <t>VEH-003</t>
        </is>
      </c>
      <c r="B4" s="30" t="inlineStr">
        <is>
          <t>Peugeot 202</t>
        </is>
      </c>
      <c r="C4" s="30" t="inlineStr">
        <is>
          <t>Voitures civiles et utilitaires légers</t>
        </is>
      </c>
      <c r="D4" s="30" t="n">
        <v>1300</v>
      </c>
      <c r="E4" s="30" t="n">
        <v>4.2</v>
      </c>
      <c r="F4" s="30" t="n">
        <v>1.6</v>
      </c>
      <c r="G4" s="30" t="n">
        <v>1.6</v>
      </c>
      <c r="H4" s="30" t="n">
        <v>1.8</v>
      </c>
      <c r="I4" s="30" t="n">
        <v>45</v>
      </c>
      <c r="J4" s="30" t="inlineStr">
        <is>
          <t>Essence</t>
        </is>
      </c>
      <c r="K4" s="30" t="n">
        <v>45</v>
      </c>
      <c r="L4" s="30" t="n">
        <v>12</v>
      </c>
      <c r="M4" s="30" t="n">
        <v>105</v>
      </c>
      <c r="N4" s="30" t="n">
        <v>350</v>
      </c>
      <c r="O4" s="30" t="n">
        <v>4</v>
      </c>
      <c r="P4" s="30" t="n">
        <v>350</v>
      </c>
      <c r="Q4" s="30" t="inlineStr">
        <is>
          <t>C/D — estimation par catégorie</t>
        </is>
      </c>
      <c r="R4" s="30" t="inlineStr">
        <is>
          <t>Archétype car; estimation arrondie, marge indicative ±10–20 % ou davantage pour prototypes.</t>
        </is>
      </c>
    </row>
    <row r="5">
      <c r="A5" s="30" t="inlineStr">
        <is>
          <t>VEH-004</t>
        </is>
      </c>
      <c r="B5" s="30" t="inlineStr">
        <is>
          <t>Peugeot 402</t>
        </is>
      </c>
      <c r="C5" s="30" t="inlineStr">
        <is>
          <t>Voitures civiles et utilitaires légers</t>
        </is>
      </c>
      <c r="D5" s="30" t="n">
        <v>1300</v>
      </c>
      <c r="E5" s="30" t="n">
        <v>4.2</v>
      </c>
      <c r="F5" s="30" t="n">
        <v>1.6</v>
      </c>
      <c r="G5" s="30" t="n">
        <v>1.6</v>
      </c>
      <c r="H5" s="30" t="n">
        <v>1.8</v>
      </c>
      <c r="I5" s="30" t="n">
        <v>45</v>
      </c>
      <c r="J5" s="30" t="inlineStr">
        <is>
          <t>Essence</t>
        </is>
      </c>
      <c r="K5" s="30" t="n">
        <v>45</v>
      </c>
      <c r="L5" s="30" t="n">
        <v>12</v>
      </c>
      <c r="M5" s="30" t="n">
        <v>105</v>
      </c>
      <c r="N5" s="30" t="n">
        <v>350</v>
      </c>
      <c r="O5" s="30" t="n">
        <v>4</v>
      </c>
      <c r="P5" s="30" t="n">
        <v>350</v>
      </c>
      <c r="Q5" s="30" t="inlineStr">
        <is>
          <t>C/D — estimation par catégorie</t>
        </is>
      </c>
      <c r="R5" s="30" t="inlineStr">
        <is>
          <t>Archétype car; estimation arrondie, marge indicative ±10–20 % ou davantage pour prototypes.</t>
        </is>
      </c>
    </row>
    <row r="6">
      <c r="A6" s="30" t="inlineStr">
        <is>
          <t>VEH-005</t>
        </is>
      </c>
      <c r="B6" s="30" t="inlineStr">
        <is>
          <t>Renault Juvaquatre</t>
        </is>
      </c>
      <c r="C6" s="30" t="inlineStr">
        <is>
          <t>Voitures civiles et utilitaires légers</t>
        </is>
      </c>
      <c r="D6" s="30" t="n">
        <v>1300</v>
      </c>
      <c r="E6" s="30" t="n">
        <v>4.2</v>
      </c>
      <c r="F6" s="30" t="n">
        <v>1.6</v>
      </c>
      <c r="G6" s="30" t="n">
        <v>1.6</v>
      </c>
      <c r="H6" s="30" t="n">
        <v>1.8</v>
      </c>
      <c r="I6" s="30" t="n">
        <v>45</v>
      </c>
      <c r="J6" s="30" t="inlineStr">
        <is>
          <t>Essence</t>
        </is>
      </c>
      <c r="K6" s="30" t="n">
        <v>45</v>
      </c>
      <c r="L6" s="30" t="n">
        <v>12</v>
      </c>
      <c r="M6" s="30" t="n">
        <v>105</v>
      </c>
      <c r="N6" s="30" t="n">
        <v>350</v>
      </c>
      <c r="O6" s="30" t="n">
        <v>4</v>
      </c>
      <c r="P6" s="30" t="n">
        <v>350</v>
      </c>
      <c r="Q6" s="30" t="inlineStr">
        <is>
          <t>C/D — estimation par catégorie</t>
        </is>
      </c>
      <c r="R6" s="30" t="inlineStr">
        <is>
          <t>Archétype car; estimation arrondie, marge indicative ±10–20 % ou davantage pour prototypes.</t>
        </is>
      </c>
    </row>
    <row r="7">
      <c r="A7" s="30" t="inlineStr">
        <is>
          <t>VEH-006</t>
        </is>
      </c>
      <c r="B7" s="30" t="inlineStr">
        <is>
          <t>Renault Primaquatre</t>
        </is>
      </c>
      <c r="C7" s="30" t="inlineStr">
        <is>
          <t>Voitures civiles et utilitaires légers</t>
        </is>
      </c>
      <c r="D7" s="30" t="n">
        <v>1300</v>
      </c>
      <c r="E7" s="30" t="n">
        <v>4.2</v>
      </c>
      <c r="F7" s="30" t="n">
        <v>1.6</v>
      </c>
      <c r="G7" s="30" t="n">
        <v>1.6</v>
      </c>
      <c r="H7" s="30" t="n">
        <v>1.8</v>
      </c>
      <c r="I7" s="30" t="n">
        <v>45</v>
      </c>
      <c r="J7" s="30" t="inlineStr">
        <is>
          <t>Essence</t>
        </is>
      </c>
      <c r="K7" s="30" t="n">
        <v>45</v>
      </c>
      <c r="L7" s="30" t="n">
        <v>12</v>
      </c>
      <c r="M7" s="30" t="n">
        <v>105</v>
      </c>
      <c r="N7" s="30" t="n">
        <v>350</v>
      </c>
      <c r="O7" s="30" t="n">
        <v>4</v>
      </c>
      <c r="P7" s="30" t="n">
        <v>350</v>
      </c>
      <c r="Q7" s="30" t="inlineStr">
        <is>
          <t>C/D — estimation par catégorie</t>
        </is>
      </c>
      <c r="R7" s="30" t="inlineStr">
        <is>
          <t>Archétype car; estimation arrondie, marge indicative ±10–20 % ou davantage pour prototypes.</t>
        </is>
      </c>
    </row>
    <row r="8">
      <c r="A8" s="30" t="inlineStr">
        <is>
          <t>VEH-007</t>
        </is>
      </c>
      <c r="B8" s="30" t="inlineStr">
        <is>
          <t>Ford Model T</t>
        </is>
      </c>
      <c r="C8" s="30" t="inlineStr">
        <is>
          <t>Voitures civiles et utilitaires légers</t>
        </is>
      </c>
      <c r="D8" s="30" t="n">
        <v>1300</v>
      </c>
      <c r="E8" s="30" t="n">
        <v>4.2</v>
      </c>
      <c r="F8" s="30" t="n">
        <v>1.6</v>
      </c>
      <c r="G8" s="30" t="n">
        <v>1.6</v>
      </c>
      <c r="H8" s="30" t="n">
        <v>1.8</v>
      </c>
      <c r="I8" s="30" t="n">
        <v>45</v>
      </c>
      <c r="J8" s="30" t="inlineStr">
        <is>
          <t>Essence</t>
        </is>
      </c>
      <c r="K8" s="30" t="n">
        <v>45</v>
      </c>
      <c r="L8" s="30" t="n">
        <v>12</v>
      </c>
      <c r="M8" s="30" t="n">
        <v>105</v>
      </c>
      <c r="N8" s="30" t="n">
        <v>350</v>
      </c>
      <c r="O8" s="30" t="n">
        <v>4</v>
      </c>
      <c r="P8" s="30" t="n">
        <v>350</v>
      </c>
      <c r="Q8" s="30" t="inlineStr">
        <is>
          <t>C/D — estimation par catégorie</t>
        </is>
      </c>
      <c r="R8" s="30" t="inlineStr">
        <is>
          <t>Archétype car; estimation arrondie, marge indicative ±10–20 % ou davantage pour prototypes.</t>
        </is>
      </c>
    </row>
    <row r="9">
      <c r="A9" s="30" t="inlineStr">
        <is>
          <t>VEH-008</t>
        </is>
      </c>
      <c r="B9" s="30" t="inlineStr">
        <is>
          <t>Ford Model A</t>
        </is>
      </c>
      <c r="C9" s="30" t="inlineStr">
        <is>
          <t>Voitures civiles et utilitaires légers</t>
        </is>
      </c>
      <c r="D9" s="30" t="n">
        <v>1300</v>
      </c>
      <c r="E9" s="30" t="n">
        <v>4.2</v>
      </c>
      <c r="F9" s="30" t="n">
        <v>1.6</v>
      </c>
      <c r="G9" s="30" t="n">
        <v>1.6</v>
      </c>
      <c r="H9" s="30" t="n">
        <v>1.8</v>
      </c>
      <c r="I9" s="30" t="n">
        <v>45</v>
      </c>
      <c r="J9" s="30" t="inlineStr">
        <is>
          <t>Essence</t>
        </is>
      </c>
      <c r="K9" s="30" t="n">
        <v>45</v>
      </c>
      <c r="L9" s="30" t="n">
        <v>12</v>
      </c>
      <c r="M9" s="30" t="n">
        <v>105</v>
      </c>
      <c r="N9" s="30" t="n">
        <v>350</v>
      </c>
      <c r="O9" s="30" t="n">
        <v>4</v>
      </c>
      <c r="P9" s="30" t="n">
        <v>350</v>
      </c>
      <c r="Q9" s="30" t="inlineStr">
        <is>
          <t>C/D — estimation par catégorie</t>
        </is>
      </c>
      <c r="R9" s="30" t="inlineStr">
        <is>
          <t>Archétype car; estimation arrondie, marge indicative ±10–20 % ou davantage pour prototypes.</t>
        </is>
      </c>
    </row>
    <row r="10">
      <c r="A10" s="30" t="inlineStr">
        <is>
          <t>VEH-009</t>
        </is>
      </c>
      <c r="B10" s="30" t="inlineStr">
        <is>
          <t>Ford V8 (années 1930)</t>
        </is>
      </c>
      <c r="C10" s="30" t="inlineStr">
        <is>
          <t>Voitures civiles et utilitaires légers</t>
        </is>
      </c>
      <c r="D10" s="30" t="n">
        <v>1300</v>
      </c>
      <c r="E10" s="30" t="n">
        <v>4.2</v>
      </c>
      <c r="F10" s="30" t="n">
        <v>1.6</v>
      </c>
      <c r="G10" s="30" t="n">
        <v>1.6</v>
      </c>
      <c r="H10" s="30" t="n">
        <v>1.8</v>
      </c>
      <c r="I10" s="30" t="n">
        <v>45</v>
      </c>
      <c r="J10" s="30" t="inlineStr">
        <is>
          <t>Essence</t>
        </is>
      </c>
      <c r="K10" s="30" t="n">
        <v>45</v>
      </c>
      <c r="L10" s="30" t="n">
        <v>12</v>
      </c>
      <c r="M10" s="30" t="n">
        <v>105</v>
      </c>
      <c r="N10" s="30" t="n">
        <v>350</v>
      </c>
      <c r="O10" s="30" t="n">
        <v>4</v>
      </c>
      <c r="P10" s="30" t="n">
        <v>350</v>
      </c>
      <c r="Q10" s="30" t="inlineStr">
        <is>
          <t>C/D — estimation par catégorie</t>
        </is>
      </c>
      <c r="R10" s="30" t="inlineStr">
        <is>
          <t>Archétype car; estimation arrondie, marge indicative ±10–20 % ou davantage pour prototypes.</t>
        </is>
      </c>
    </row>
    <row r="11">
      <c r="A11" s="30" t="inlineStr">
        <is>
          <t>VEH-010</t>
        </is>
      </c>
      <c r="B11" s="30" t="inlineStr">
        <is>
          <t>Chevrolet Master / Special Deluxe</t>
        </is>
      </c>
      <c r="C11" s="30" t="inlineStr">
        <is>
          <t>Voitures civiles et utilitaires légers</t>
        </is>
      </c>
      <c r="D11" s="30" t="n">
        <v>1300</v>
      </c>
      <c r="E11" s="30" t="n">
        <v>4.2</v>
      </c>
      <c r="F11" s="30" t="n">
        <v>1.6</v>
      </c>
      <c r="G11" s="30" t="n">
        <v>1.6</v>
      </c>
      <c r="H11" s="30" t="n">
        <v>1.8</v>
      </c>
      <c r="I11" s="30" t="n">
        <v>45</v>
      </c>
      <c r="J11" s="30" t="inlineStr">
        <is>
          <t>Essence</t>
        </is>
      </c>
      <c r="K11" s="30" t="n">
        <v>45</v>
      </c>
      <c r="L11" s="30" t="n">
        <v>12</v>
      </c>
      <c r="M11" s="30" t="n">
        <v>105</v>
      </c>
      <c r="N11" s="30" t="n">
        <v>350</v>
      </c>
      <c r="O11" s="30" t="n">
        <v>4</v>
      </c>
      <c r="P11" s="30" t="n">
        <v>350</v>
      </c>
      <c r="Q11" s="30" t="inlineStr">
        <is>
          <t>C/D — estimation par catégorie</t>
        </is>
      </c>
      <c r="R11" s="30" t="inlineStr">
        <is>
          <t>Archétype car; estimation arrondie, marge indicative ±10–20 % ou davantage pour prototypes.</t>
        </is>
      </c>
    </row>
    <row r="12">
      <c r="A12" s="30" t="inlineStr">
        <is>
          <t>VEH-011</t>
        </is>
      </c>
      <c r="B12" s="30" t="inlineStr">
        <is>
          <t>Dodge WC-1 / WC-12</t>
        </is>
      </c>
      <c r="C12" s="30" t="inlineStr">
        <is>
          <t>Voitures civiles et utilitaires légers</t>
        </is>
      </c>
      <c r="D12" s="30" t="n">
        <v>1300</v>
      </c>
      <c r="E12" s="30" t="n">
        <v>4.2</v>
      </c>
      <c r="F12" s="30" t="n">
        <v>1.6</v>
      </c>
      <c r="G12" s="30" t="n">
        <v>1.6</v>
      </c>
      <c r="H12" s="30" t="n">
        <v>1.8</v>
      </c>
      <c r="I12" s="30" t="n">
        <v>45</v>
      </c>
      <c r="J12" s="30" t="inlineStr">
        <is>
          <t>Essence</t>
        </is>
      </c>
      <c r="K12" s="30" t="n">
        <v>45</v>
      </c>
      <c r="L12" s="30" t="n">
        <v>12</v>
      </c>
      <c r="M12" s="30" t="n">
        <v>105</v>
      </c>
      <c r="N12" s="30" t="n">
        <v>350</v>
      </c>
      <c r="O12" s="30" t="n">
        <v>4</v>
      </c>
      <c r="P12" s="30" t="n">
        <v>350</v>
      </c>
      <c r="Q12" s="30" t="inlineStr">
        <is>
          <t>C/D — estimation par catégorie</t>
        </is>
      </c>
      <c r="R12" s="30" t="inlineStr">
        <is>
          <t>Archétype car; estimation arrondie, marge indicative ±10–20 % ou davantage pour prototypes.</t>
        </is>
      </c>
    </row>
    <row r="13">
      <c r="A13" t="inlineStr">
        <is>
          <t>VEH-012</t>
        </is>
      </c>
      <c r="B13" t="inlineStr">
        <is>
          <t>Willys MB</t>
        </is>
      </c>
      <c r="C13" t="inlineStr">
        <is>
          <t>Voitures civiles et utilitaires légers</t>
        </is>
      </c>
      <c r="D13" t="n">
        <v>1100</v>
      </c>
      <c r="E13" t="n">
        <v>3.35</v>
      </c>
      <c r="F13" t="n">
        <v>1.57</v>
      </c>
      <c r="G13" t="n">
        <v>1.83</v>
      </c>
      <c r="H13" t="n">
        <v>2.2</v>
      </c>
      <c r="I13" t="n">
        <v>60</v>
      </c>
      <c r="J13" t="inlineStr">
        <is>
          <t>Essence</t>
        </is>
      </c>
      <c r="K13" t="n">
        <v>57</v>
      </c>
      <c r="L13" t="n">
        <v>14</v>
      </c>
      <c r="M13" t="n">
        <v>105</v>
      </c>
      <c r="N13" t="n">
        <v>450</v>
      </c>
      <c r="O13" t="n">
        <v>4</v>
      </c>
      <c r="P13" t="n">
        <v>360</v>
      </c>
      <c r="Q13" t="inlineStr">
        <is>
          <t>B — modèle courant</t>
        </is>
      </c>
      <c r="R13" t="inlineStr">
        <is>
          <t>Valeurs arrondies d'un modèle connu; les variantes peuvent diverger.</t>
        </is>
      </c>
    </row>
    <row r="14">
      <c r="A14" t="inlineStr">
        <is>
          <t>VEH-013</t>
        </is>
      </c>
      <c r="B14" t="inlineStr">
        <is>
          <t>Ford GPW</t>
        </is>
      </c>
      <c r="C14" t="inlineStr">
        <is>
          <t>Voitures civiles et utilitaires légers</t>
        </is>
      </c>
      <c r="D14" t="n">
        <v>1100</v>
      </c>
      <c r="E14" t="n">
        <v>3.35</v>
      </c>
      <c r="F14" t="n">
        <v>1.57</v>
      </c>
      <c r="G14" t="n">
        <v>1.83</v>
      </c>
      <c r="H14" t="n">
        <v>2.2</v>
      </c>
      <c r="I14" t="n">
        <v>60</v>
      </c>
      <c r="J14" t="inlineStr">
        <is>
          <t>Essence</t>
        </is>
      </c>
      <c r="K14" t="n">
        <v>57</v>
      </c>
      <c r="L14" t="n">
        <v>14</v>
      </c>
      <c r="M14" t="n">
        <v>105</v>
      </c>
      <c r="N14" t="n">
        <v>450</v>
      </c>
      <c r="O14" t="n">
        <v>4</v>
      </c>
      <c r="P14" t="n">
        <v>360</v>
      </c>
      <c r="Q14" t="inlineStr">
        <is>
          <t>B — modèle courant</t>
        </is>
      </c>
      <c r="R14" t="inlineStr">
        <is>
          <t>Valeurs arrondies d'un modèle connu; les variantes peuvent diverger.</t>
        </is>
      </c>
    </row>
    <row r="15">
      <c r="A15" s="30" t="inlineStr">
        <is>
          <t>VEH-014</t>
        </is>
      </c>
      <c r="B15" s="30" t="inlineStr">
        <is>
          <t>Volkswagen Kübelwagen Type 82</t>
        </is>
      </c>
      <c r="C15" s="30" t="inlineStr">
        <is>
          <t>Voitures civiles et utilitaires légers</t>
        </is>
      </c>
      <c r="D15" s="30" t="n">
        <v>1300</v>
      </c>
      <c r="E15" s="30" t="n">
        <v>4.2</v>
      </c>
      <c r="F15" s="30" t="n">
        <v>1.6</v>
      </c>
      <c r="G15" s="30" t="n">
        <v>1.6</v>
      </c>
      <c r="H15" s="30" t="n">
        <v>1.8</v>
      </c>
      <c r="I15" s="30" t="n">
        <v>45</v>
      </c>
      <c r="J15" s="30" t="inlineStr">
        <is>
          <t>Essence</t>
        </is>
      </c>
      <c r="K15" s="30" t="n">
        <v>45</v>
      </c>
      <c r="L15" s="30" t="n">
        <v>12</v>
      </c>
      <c r="M15" s="30" t="n">
        <v>105</v>
      </c>
      <c r="N15" s="30" t="n">
        <v>350</v>
      </c>
      <c r="O15" s="30" t="n">
        <v>4</v>
      </c>
      <c r="P15" s="30" t="n">
        <v>350</v>
      </c>
      <c r="Q15" s="30" t="inlineStr">
        <is>
          <t>C/D — estimation par catégorie</t>
        </is>
      </c>
      <c r="R15" s="30" t="inlineStr">
        <is>
          <t>Archétype car; estimation arrondie, marge indicative ±10–20 % ou davantage pour prototypes.</t>
        </is>
      </c>
    </row>
    <row r="16">
      <c r="A16" s="30" t="inlineStr">
        <is>
          <t>VEH-015</t>
        </is>
      </c>
      <c r="B16" s="30" t="inlineStr">
        <is>
          <t>Volkswagen Schwimmwagen Type 166</t>
        </is>
      </c>
      <c r="C16" s="30" t="inlineStr">
        <is>
          <t>Voitures civiles et utilitaires légers</t>
        </is>
      </c>
      <c r="D16" s="30" t="n">
        <v>1300</v>
      </c>
      <c r="E16" s="30" t="n">
        <v>4.2</v>
      </c>
      <c r="F16" s="30" t="n">
        <v>1.6</v>
      </c>
      <c r="G16" s="30" t="n">
        <v>1.6</v>
      </c>
      <c r="H16" s="30" t="n">
        <v>1.8</v>
      </c>
      <c r="I16" s="30" t="n">
        <v>45</v>
      </c>
      <c r="J16" s="30" t="inlineStr">
        <is>
          <t>Essence</t>
        </is>
      </c>
      <c r="K16" s="30" t="n">
        <v>45</v>
      </c>
      <c r="L16" s="30" t="n">
        <v>12</v>
      </c>
      <c r="M16" s="30" t="n">
        <v>105</v>
      </c>
      <c r="N16" s="30" t="n">
        <v>350</v>
      </c>
      <c r="O16" s="30" t="n">
        <v>4</v>
      </c>
      <c r="P16" s="30" t="n">
        <v>350</v>
      </c>
      <c r="Q16" s="30" t="inlineStr">
        <is>
          <t>C/D — estimation par catégorie</t>
        </is>
      </c>
      <c r="R16" s="30" t="inlineStr">
        <is>
          <t>Archétype car; estimation arrondie, marge indicative ±10–20 % ou davantage pour prototypes.</t>
        </is>
      </c>
    </row>
    <row r="17">
      <c r="A17" s="30" t="inlineStr">
        <is>
          <t>VEH-016</t>
        </is>
      </c>
      <c r="B17" s="30" t="inlineStr">
        <is>
          <t>Mercedes-Benz 170 V</t>
        </is>
      </c>
      <c r="C17" s="30" t="inlineStr">
        <is>
          <t>Voitures civiles et utilitaires légers</t>
        </is>
      </c>
      <c r="D17" s="30" t="n">
        <v>1300</v>
      </c>
      <c r="E17" s="30" t="n">
        <v>4.2</v>
      </c>
      <c r="F17" s="30" t="n">
        <v>1.6</v>
      </c>
      <c r="G17" s="30" t="n">
        <v>1.6</v>
      </c>
      <c r="H17" s="30" t="n">
        <v>1.8</v>
      </c>
      <c r="I17" s="30" t="n">
        <v>45</v>
      </c>
      <c r="J17" s="30" t="inlineStr">
        <is>
          <t>Essence</t>
        </is>
      </c>
      <c r="K17" s="30" t="n">
        <v>45</v>
      </c>
      <c r="L17" s="30" t="n">
        <v>12</v>
      </c>
      <c r="M17" s="30" t="n">
        <v>105</v>
      </c>
      <c r="N17" s="30" t="n">
        <v>350</v>
      </c>
      <c r="O17" s="30" t="n">
        <v>4</v>
      </c>
      <c r="P17" s="30" t="n">
        <v>350</v>
      </c>
      <c r="Q17" s="30" t="inlineStr">
        <is>
          <t>C/D — estimation par catégorie</t>
        </is>
      </c>
      <c r="R17" s="30" t="inlineStr">
        <is>
          <t>Archétype car; estimation arrondie, marge indicative ±10–20 % ou davantage pour prototypes.</t>
        </is>
      </c>
    </row>
    <row r="18">
      <c r="A18" s="30" t="inlineStr">
        <is>
          <t>VEH-017</t>
        </is>
      </c>
      <c r="B18" s="30" t="inlineStr">
        <is>
          <t>Opel Olympia</t>
        </is>
      </c>
      <c r="C18" s="30" t="inlineStr">
        <is>
          <t>Voitures civiles et utilitaires légers</t>
        </is>
      </c>
      <c r="D18" s="30" t="n">
        <v>1300</v>
      </c>
      <c r="E18" s="30" t="n">
        <v>4.2</v>
      </c>
      <c r="F18" s="30" t="n">
        <v>1.6</v>
      </c>
      <c r="G18" s="30" t="n">
        <v>1.6</v>
      </c>
      <c r="H18" s="30" t="n">
        <v>1.8</v>
      </c>
      <c r="I18" s="30" t="n">
        <v>45</v>
      </c>
      <c r="J18" s="30" t="inlineStr">
        <is>
          <t>Essence</t>
        </is>
      </c>
      <c r="K18" s="30" t="n">
        <v>45</v>
      </c>
      <c r="L18" s="30" t="n">
        <v>12</v>
      </c>
      <c r="M18" s="30" t="n">
        <v>105</v>
      </c>
      <c r="N18" s="30" t="n">
        <v>350</v>
      </c>
      <c r="O18" s="30" t="n">
        <v>4</v>
      </c>
      <c r="P18" s="30" t="n">
        <v>350</v>
      </c>
      <c r="Q18" s="30" t="inlineStr">
        <is>
          <t>C/D — estimation par catégorie</t>
        </is>
      </c>
      <c r="R18" s="30" t="inlineStr">
        <is>
          <t>Archétype car; estimation arrondie, marge indicative ±10–20 % ou davantage pour prototypes.</t>
        </is>
      </c>
    </row>
    <row r="19">
      <c r="A19" s="30" t="inlineStr">
        <is>
          <t>VEH-018</t>
        </is>
      </c>
      <c r="B19" s="30" t="inlineStr">
        <is>
          <t>Horch 830 / 901</t>
        </is>
      </c>
      <c r="C19" s="30" t="inlineStr">
        <is>
          <t>Voitures civiles et utilitaires légers</t>
        </is>
      </c>
      <c r="D19" s="30" t="n">
        <v>1300</v>
      </c>
      <c r="E19" s="30" t="n">
        <v>4.2</v>
      </c>
      <c r="F19" s="30" t="n">
        <v>1.6</v>
      </c>
      <c r="G19" s="30" t="n">
        <v>1.6</v>
      </c>
      <c r="H19" s="30" t="n">
        <v>1.8</v>
      </c>
      <c r="I19" s="30" t="n">
        <v>45</v>
      </c>
      <c r="J19" s="30" t="inlineStr">
        <is>
          <t>Essence</t>
        </is>
      </c>
      <c r="K19" s="30" t="n">
        <v>45</v>
      </c>
      <c r="L19" s="30" t="n">
        <v>12</v>
      </c>
      <c r="M19" s="30" t="n">
        <v>105</v>
      </c>
      <c r="N19" s="30" t="n">
        <v>350</v>
      </c>
      <c r="O19" s="30" t="n">
        <v>4</v>
      </c>
      <c r="P19" s="30" t="n">
        <v>350</v>
      </c>
      <c r="Q19" s="30" t="inlineStr">
        <is>
          <t>C/D — estimation par catégorie</t>
        </is>
      </c>
      <c r="R19" s="30" t="inlineStr">
        <is>
          <t>Archétype car; estimation arrondie, marge indicative ±10–20 % ou davantage pour prototypes.</t>
        </is>
      </c>
    </row>
    <row r="20">
      <c r="A20" s="30" t="inlineStr">
        <is>
          <t>VEH-019</t>
        </is>
      </c>
      <c r="B20" s="30" t="inlineStr">
        <is>
          <t>BMW 326</t>
        </is>
      </c>
      <c r="C20" s="30" t="inlineStr">
        <is>
          <t>Voitures civiles et utilitaires légers</t>
        </is>
      </c>
      <c r="D20" s="30" t="n">
        <v>1300</v>
      </c>
      <c r="E20" s="30" t="n">
        <v>4.2</v>
      </c>
      <c r="F20" s="30" t="n">
        <v>1.6</v>
      </c>
      <c r="G20" s="30" t="n">
        <v>1.6</v>
      </c>
      <c r="H20" s="30" t="n">
        <v>1.8</v>
      </c>
      <c r="I20" s="30" t="n">
        <v>45</v>
      </c>
      <c r="J20" s="30" t="inlineStr">
        <is>
          <t>Essence</t>
        </is>
      </c>
      <c r="K20" s="30" t="n">
        <v>45</v>
      </c>
      <c r="L20" s="30" t="n">
        <v>12</v>
      </c>
      <c r="M20" s="30" t="n">
        <v>105</v>
      </c>
      <c r="N20" s="30" t="n">
        <v>350</v>
      </c>
      <c r="O20" s="30" t="n">
        <v>4</v>
      </c>
      <c r="P20" s="30" t="n">
        <v>350</v>
      </c>
      <c r="Q20" s="30" t="inlineStr">
        <is>
          <t>C/D — estimation par catégorie</t>
        </is>
      </c>
      <c r="R20" s="30" t="inlineStr">
        <is>
          <t>Archétype car; estimation arrondie, marge indicative ±10–20 % ou davantage pour prototypes.</t>
        </is>
      </c>
    </row>
    <row r="21">
      <c r="A21" s="30" t="inlineStr">
        <is>
          <t>VEH-020</t>
        </is>
      </c>
      <c r="B21" s="30" t="inlineStr">
        <is>
          <t>Fiat 508 Balilla</t>
        </is>
      </c>
      <c r="C21" s="30" t="inlineStr">
        <is>
          <t>Voitures civiles et utilitaires légers</t>
        </is>
      </c>
      <c r="D21" s="30" t="n">
        <v>1300</v>
      </c>
      <c r="E21" s="30" t="n">
        <v>4.2</v>
      </c>
      <c r="F21" s="30" t="n">
        <v>1.6</v>
      </c>
      <c r="G21" s="30" t="n">
        <v>1.6</v>
      </c>
      <c r="H21" s="30" t="n">
        <v>1.8</v>
      </c>
      <c r="I21" s="30" t="n">
        <v>45</v>
      </c>
      <c r="J21" s="30" t="inlineStr">
        <is>
          <t>Essence</t>
        </is>
      </c>
      <c r="K21" s="30" t="n">
        <v>45</v>
      </c>
      <c r="L21" s="30" t="n">
        <v>12</v>
      </c>
      <c r="M21" s="30" t="n">
        <v>105</v>
      </c>
      <c r="N21" s="30" t="n">
        <v>350</v>
      </c>
      <c r="O21" s="30" t="n">
        <v>4</v>
      </c>
      <c r="P21" s="30" t="n">
        <v>350</v>
      </c>
      <c r="Q21" s="30" t="inlineStr">
        <is>
          <t>C/D — estimation par catégorie</t>
        </is>
      </c>
      <c r="R21" s="30" t="inlineStr">
        <is>
          <t>Archétype car; estimation arrondie, marge indicative ±10–20 % ou davantage pour prototypes.</t>
        </is>
      </c>
    </row>
    <row r="22">
      <c r="A22" s="30" t="inlineStr">
        <is>
          <t>VEH-021</t>
        </is>
      </c>
      <c r="B22" s="30" t="inlineStr">
        <is>
          <t>Fiat 1100</t>
        </is>
      </c>
      <c r="C22" s="30" t="inlineStr">
        <is>
          <t>Voitures civiles et utilitaires légers</t>
        </is>
      </c>
      <c r="D22" s="30" t="n">
        <v>1300</v>
      </c>
      <c r="E22" s="30" t="n">
        <v>4.2</v>
      </c>
      <c r="F22" s="30" t="n">
        <v>1.6</v>
      </c>
      <c r="G22" s="30" t="n">
        <v>1.6</v>
      </c>
      <c r="H22" s="30" t="n">
        <v>1.8</v>
      </c>
      <c r="I22" s="30" t="n">
        <v>45</v>
      </c>
      <c r="J22" s="30" t="inlineStr">
        <is>
          <t>Essence</t>
        </is>
      </c>
      <c r="K22" s="30" t="n">
        <v>45</v>
      </c>
      <c r="L22" s="30" t="n">
        <v>12</v>
      </c>
      <c r="M22" s="30" t="n">
        <v>105</v>
      </c>
      <c r="N22" s="30" t="n">
        <v>350</v>
      </c>
      <c r="O22" s="30" t="n">
        <v>4</v>
      </c>
      <c r="P22" s="30" t="n">
        <v>350</v>
      </c>
      <c r="Q22" s="30" t="inlineStr">
        <is>
          <t>C/D — estimation par catégorie</t>
        </is>
      </c>
      <c r="R22" s="30" t="inlineStr">
        <is>
          <t>Archétype car; estimation arrondie, marge indicative ±10–20 % ou davantage pour prototypes.</t>
        </is>
      </c>
    </row>
    <row r="23">
      <c r="A23" s="30" t="inlineStr">
        <is>
          <t>VEH-022</t>
        </is>
      </c>
      <c r="B23" s="30" t="inlineStr">
        <is>
          <t>Lancia Aprilia</t>
        </is>
      </c>
      <c r="C23" s="30" t="inlineStr">
        <is>
          <t>Voitures civiles et utilitaires légers</t>
        </is>
      </c>
      <c r="D23" s="30" t="n">
        <v>1300</v>
      </c>
      <c r="E23" s="30" t="n">
        <v>4.2</v>
      </c>
      <c r="F23" s="30" t="n">
        <v>1.6</v>
      </c>
      <c r="G23" s="30" t="n">
        <v>1.6</v>
      </c>
      <c r="H23" s="30" t="n">
        <v>1.8</v>
      </c>
      <c r="I23" s="30" t="n">
        <v>45</v>
      </c>
      <c r="J23" s="30" t="inlineStr">
        <is>
          <t>Essence</t>
        </is>
      </c>
      <c r="K23" s="30" t="n">
        <v>45</v>
      </c>
      <c r="L23" s="30" t="n">
        <v>12</v>
      </c>
      <c r="M23" s="30" t="n">
        <v>105</v>
      </c>
      <c r="N23" s="30" t="n">
        <v>350</v>
      </c>
      <c r="O23" s="30" t="n">
        <v>4</v>
      </c>
      <c r="P23" s="30" t="n">
        <v>350</v>
      </c>
      <c r="Q23" s="30" t="inlineStr">
        <is>
          <t>C/D — estimation par catégorie</t>
        </is>
      </c>
      <c r="R23" s="30" t="inlineStr">
        <is>
          <t>Archétype car; estimation arrondie, marge indicative ±10–20 % ou davantage pour prototypes.</t>
        </is>
      </c>
    </row>
    <row r="24">
      <c r="A24" s="30" t="inlineStr">
        <is>
          <t>VEH-023</t>
        </is>
      </c>
      <c r="B24" s="30" t="inlineStr">
        <is>
          <t>Austin 10</t>
        </is>
      </c>
      <c r="C24" s="30" t="inlineStr">
        <is>
          <t>Voitures civiles et utilitaires légers</t>
        </is>
      </c>
      <c r="D24" s="30" t="n">
        <v>1300</v>
      </c>
      <c r="E24" s="30" t="n">
        <v>4.2</v>
      </c>
      <c r="F24" s="30" t="n">
        <v>1.6</v>
      </c>
      <c r="G24" s="30" t="n">
        <v>1.6</v>
      </c>
      <c r="H24" s="30" t="n">
        <v>1.8</v>
      </c>
      <c r="I24" s="30" t="n">
        <v>45</v>
      </c>
      <c r="J24" s="30" t="inlineStr">
        <is>
          <t>Essence</t>
        </is>
      </c>
      <c r="K24" s="30" t="n">
        <v>45</v>
      </c>
      <c r="L24" s="30" t="n">
        <v>12</v>
      </c>
      <c r="M24" s="30" t="n">
        <v>105</v>
      </c>
      <c r="N24" s="30" t="n">
        <v>350</v>
      </c>
      <c r="O24" s="30" t="n">
        <v>4</v>
      </c>
      <c r="P24" s="30" t="n">
        <v>350</v>
      </c>
      <c r="Q24" s="30" t="inlineStr">
        <is>
          <t>C/D — estimation par catégorie</t>
        </is>
      </c>
      <c r="R24" s="30" t="inlineStr">
        <is>
          <t>Archétype car; estimation arrondie, marge indicative ±10–20 % ou davantage pour prototypes.</t>
        </is>
      </c>
    </row>
    <row r="25">
      <c r="A25" s="30" t="inlineStr">
        <is>
          <t>VEH-024</t>
        </is>
      </c>
      <c r="B25" s="30" t="inlineStr">
        <is>
          <t>Morris 8</t>
        </is>
      </c>
      <c r="C25" s="30" t="inlineStr">
        <is>
          <t>Voitures civiles et utilitaires légers</t>
        </is>
      </c>
      <c r="D25" s="30" t="n">
        <v>1300</v>
      </c>
      <c r="E25" s="30" t="n">
        <v>4.2</v>
      </c>
      <c r="F25" s="30" t="n">
        <v>1.6</v>
      </c>
      <c r="G25" s="30" t="n">
        <v>1.6</v>
      </c>
      <c r="H25" s="30" t="n">
        <v>1.8</v>
      </c>
      <c r="I25" s="30" t="n">
        <v>45</v>
      </c>
      <c r="J25" s="30" t="inlineStr">
        <is>
          <t>Essence</t>
        </is>
      </c>
      <c r="K25" s="30" t="n">
        <v>45</v>
      </c>
      <c r="L25" s="30" t="n">
        <v>12</v>
      </c>
      <c r="M25" s="30" t="n">
        <v>105</v>
      </c>
      <c r="N25" s="30" t="n">
        <v>350</v>
      </c>
      <c r="O25" s="30" t="n">
        <v>4</v>
      </c>
      <c r="P25" s="30" t="n">
        <v>350</v>
      </c>
      <c r="Q25" s="30" t="inlineStr">
        <is>
          <t>C/D — estimation par catégorie</t>
        </is>
      </c>
      <c r="R25" s="30" t="inlineStr">
        <is>
          <t>Archétype car; estimation arrondie, marge indicative ±10–20 % ou davantage pour prototypes.</t>
        </is>
      </c>
    </row>
    <row r="26">
      <c r="A26" t="inlineStr">
        <is>
          <t>VEH-025</t>
        </is>
      </c>
      <c r="B26" t="inlineStr">
        <is>
          <t>Harley-Davidson WLA</t>
        </is>
      </c>
      <c r="C26" t="inlineStr">
        <is>
          <t>Motos et side-cars</t>
        </is>
      </c>
      <c r="D26" t="n">
        <v>250</v>
      </c>
      <c r="E26" t="n">
        <v>2.3</v>
      </c>
      <c r="F26" t="n">
        <v>0.9</v>
      </c>
      <c r="G26" t="n">
        <v>1.1</v>
      </c>
      <c r="H26" t="n">
        <v>0.74</v>
      </c>
      <c r="I26" t="n">
        <v>25</v>
      </c>
      <c r="J26" t="inlineStr">
        <is>
          <t>Essence</t>
        </is>
      </c>
      <c r="K26" t="n">
        <v>14</v>
      </c>
      <c r="L26" t="n">
        <v>4.5</v>
      </c>
      <c r="M26" t="n">
        <v>105</v>
      </c>
      <c r="N26" t="n">
        <v>300</v>
      </c>
      <c r="O26" t="n">
        <v>1</v>
      </c>
      <c r="P26" t="n">
        <v>150</v>
      </c>
      <c r="Q26" t="inlineStr">
        <is>
          <t>B — modèle courant</t>
        </is>
      </c>
      <c r="R26" t="inlineStr">
        <is>
          <t>Valeurs arrondies d'un modèle connu; les variantes peuvent diverger.</t>
        </is>
      </c>
    </row>
    <row r="27">
      <c r="A27" s="30" t="inlineStr">
        <is>
          <t>VEH-026</t>
        </is>
      </c>
      <c r="B27" s="30" t="inlineStr">
        <is>
          <t>Indian 741</t>
        </is>
      </c>
      <c r="C27" s="30" t="inlineStr">
        <is>
          <t>Motos et side-cars</t>
        </is>
      </c>
      <c r="D27" s="30" t="n">
        <v>250</v>
      </c>
      <c r="E27" s="30" t="n">
        <v>2.2</v>
      </c>
      <c r="F27" s="30" t="n">
        <v>0.9</v>
      </c>
      <c r="G27" s="30" t="n">
        <v>1.2</v>
      </c>
      <c r="H27" s="30" t="n">
        <v>0.75</v>
      </c>
      <c r="I27" s="30" t="n">
        <v>25</v>
      </c>
      <c r="J27" s="30" t="inlineStr">
        <is>
          <t>Essence</t>
        </is>
      </c>
      <c r="K27" s="30" t="n">
        <v>15</v>
      </c>
      <c r="L27" s="30" t="n">
        <v>5</v>
      </c>
      <c r="M27" s="30" t="n">
        <v>90</v>
      </c>
      <c r="N27" s="30" t="n">
        <v>250</v>
      </c>
      <c r="O27" s="30" t="n">
        <v>1</v>
      </c>
      <c r="P27" s="30" t="n">
        <v>80</v>
      </c>
      <c r="Q27" s="30" t="inlineStr">
        <is>
          <t>C/D — estimation par catégorie</t>
        </is>
      </c>
      <c r="R27" s="30" t="inlineStr">
        <is>
          <t>Archétype moto; estimation arrondie, marge indicative ±10–20 % ou davantage pour prototypes.</t>
        </is>
      </c>
    </row>
    <row r="28">
      <c r="A28" t="inlineStr">
        <is>
          <t>VEH-027</t>
        </is>
      </c>
      <c r="B28" t="inlineStr">
        <is>
          <t>BMW R75</t>
        </is>
      </c>
      <c r="C28" t="inlineStr">
        <is>
          <t>Motos et side-cars</t>
        </is>
      </c>
      <c r="D28" t="n">
        <v>420</v>
      </c>
      <c r="E28" t="n">
        <v>2.4</v>
      </c>
      <c r="F28" t="n">
        <v>1.7</v>
      </c>
      <c r="G28" t="n">
        <v>1.2</v>
      </c>
      <c r="H28" t="n">
        <v>0.75</v>
      </c>
      <c r="I28" t="n">
        <v>26</v>
      </c>
      <c r="J28" t="inlineStr">
        <is>
          <t>Essence</t>
        </is>
      </c>
      <c r="K28" t="n">
        <v>24</v>
      </c>
      <c r="L28" t="n">
        <v>8</v>
      </c>
      <c r="M28" t="n">
        <v>95</v>
      </c>
      <c r="N28" t="n">
        <v>300</v>
      </c>
      <c r="O28" t="n">
        <v>3</v>
      </c>
      <c r="P28" t="n">
        <v>250</v>
      </c>
      <c r="Q28" t="inlineStr">
        <is>
          <t>B — modèle courant</t>
        </is>
      </c>
      <c r="R28" t="inlineStr">
        <is>
          <t>Valeurs arrondies d'un modèle connu; les variantes peuvent diverger.</t>
        </is>
      </c>
    </row>
    <row r="29">
      <c r="A29" s="30" t="inlineStr">
        <is>
          <t>VEH-028</t>
        </is>
      </c>
      <c r="B29" s="30" t="inlineStr">
        <is>
          <t>Zündapp KS 750</t>
        </is>
      </c>
      <c r="C29" s="30" t="inlineStr">
        <is>
          <t>Motos et side-cars</t>
        </is>
      </c>
      <c r="D29" s="30" t="n">
        <v>250</v>
      </c>
      <c r="E29" s="30" t="n">
        <v>2.2</v>
      </c>
      <c r="F29" s="30" t="n">
        <v>0.9</v>
      </c>
      <c r="G29" s="30" t="n">
        <v>1.2</v>
      </c>
      <c r="H29" s="30" t="n">
        <v>0.75</v>
      </c>
      <c r="I29" s="30" t="n">
        <v>25</v>
      </c>
      <c r="J29" s="30" t="inlineStr">
        <is>
          <t>Essence</t>
        </is>
      </c>
      <c r="K29" s="30" t="n">
        <v>15</v>
      </c>
      <c r="L29" s="30" t="n">
        <v>5</v>
      </c>
      <c r="M29" s="30" t="n">
        <v>90</v>
      </c>
      <c r="N29" s="30" t="n">
        <v>250</v>
      </c>
      <c r="O29" s="30" t="n">
        <v>1</v>
      </c>
      <c r="P29" s="30" t="n">
        <v>80</v>
      </c>
      <c r="Q29" s="30" t="inlineStr">
        <is>
          <t>C/D — estimation par catégorie</t>
        </is>
      </c>
      <c r="R29" s="30" t="inlineStr">
        <is>
          <t>Archétype moto; estimation arrondie, marge indicative ±10–20 % ou davantage pour prototypes.</t>
        </is>
      </c>
    </row>
    <row r="30">
      <c r="A30" s="30" t="inlineStr">
        <is>
          <t>VEH-029</t>
        </is>
      </c>
      <c r="B30" s="30" t="inlineStr">
        <is>
          <t>NSU 251 OSL</t>
        </is>
      </c>
      <c r="C30" s="30" t="inlineStr">
        <is>
          <t>Motos et side-cars</t>
        </is>
      </c>
      <c r="D30" s="30" t="n">
        <v>250</v>
      </c>
      <c r="E30" s="30" t="n">
        <v>2.2</v>
      </c>
      <c r="F30" s="30" t="n">
        <v>0.9</v>
      </c>
      <c r="G30" s="30" t="n">
        <v>1.2</v>
      </c>
      <c r="H30" s="30" t="n">
        <v>0.75</v>
      </c>
      <c r="I30" s="30" t="n">
        <v>25</v>
      </c>
      <c r="J30" s="30" t="inlineStr">
        <is>
          <t>Essence</t>
        </is>
      </c>
      <c r="K30" s="30" t="n">
        <v>15</v>
      </c>
      <c r="L30" s="30" t="n">
        <v>5</v>
      </c>
      <c r="M30" s="30" t="n">
        <v>90</v>
      </c>
      <c r="N30" s="30" t="n">
        <v>250</v>
      </c>
      <c r="O30" s="30" t="n">
        <v>1</v>
      </c>
      <c r="P30" s="30" t="n">
        <v>80</v>
      </c>
      <c r="Q30" s="30" t="inlineStr">
        <is>
          <t>C/D — estimation par catégorie</t>
        </is>
      </c>
      <c r="R30" s="30" t="inlineStr">
        <is>
          <t>Archétype moto; estimation arrondie, marge indicative ±10–20 % ou davantage pour prototypes.</t>
        </is>
      </c>
    </row>
    <row r="31">
      <c r="A31" s="30" t="inlineStr">
        <is>
          <t>VEH-030</t>
        </is>
      </c>
      <c r="B31" s="30" t="inlineStr">
        <is>
          <t>BSA M20</t>
        </is>
      </c>
      <c r="C31" s="30" t="inlineStr">
        <is>
          <t>Motos et side-cars</t>
        </is>
      </c>
      <c r="D31" s="30" t="n">
        <v>250</v>
      </c>
      <c r="E31" s="30" t="n">
        <v>2.2</v>
      </c>
      <c r="F31" s="30" t="n">
        <v>0.9</v>
      </c>
      <c r="G31" s="30" t="n">
        <v>1.2</v>
      </c>
      <c r="H31" s="30" t="n">
        <v>0.75</v>
      </c>
      <c r="I31" s="30" t="n">
        <v>25</v>
      </c>
      <c r="J31" s="30" t="inlineStr">
        <is>
          <t>Essence</t>
        </is>
      </c>
      <c r="K31" s="30" t="n">
        <v>15</v>
      </c>
      <c r="L31" s="30" t="n">
        <v>5</v>
      </c>
      <c r="M31" s="30" t="n">
        <v>90</v>
      </c>
      <c r="N31" s="30" t="n">
        <v>250</v>
      </c>
      <c r="O31" s="30" t="n">
        <v>1</v>
      </c>
      <c r="P31" s="30" t="n">
        <v>80</v>
      </c>
      <c r="Q31" s="30" t="inlineStr">
        <is>
          <t>C/D — estimation par catégorie</t>
        </is>
      </c>
      <c r="R31" s="30" t="inlineStr">
        <is>
          <t>Archétype moto; estimation arrondie, marge indicative ±10–20 % ou davantage pour prototypes.</t>
        </is>
      </c>
    </row>
    <row r="32">
      <c r="A32" s="30" t="inlineStr">
        <is>
          <t>VEH-031</t>
        </is>
      </c>
      <c r="B32" s="30" t="inlineStr">
        <is>
          <t>Norton 16H</t>
        </is>
      </c>
      <c r="C32" s="30" t="inlineStr">
        <is>
          <t>Motos et side-cars</t>
        </is>
      </c>
      <c r="D32" s="30" t="n">
        <v>250</v>
      </c>
      <c r="E32" s="30" t="n">
        <v>2.2</v>
      </c>
      <c r="F32" s="30" t="n">
        <v>0.9</v>
      </c>
      <c r="G32" s="30" t="n">
        <v>1.2</v>
      </c>
      <c r="H32" s="30" t="n">
        <v>0.75</v>
      </c>
      <c r="I32" s="30" t="n">
        <v>25</v>
      </c>
      <c r="J32" s="30" t="inlineStr">
        <is>
          <t>Essence</t>
        </is>
      </c>
      <c r="K32" s="30" t="n">
        <v>15</v>
      </c>
      <c r="L32" s="30" t="n">
        <v>5</v>
      </c>
      <c r="M32" s="30" t="n">
        <v>90</v>
      </c>
      <c r="N32" s="30" t="n">
        <v>250</v>
      </c>
      <c r="O32" s="30" t="n">
        <v>1</v>
      </c>
      <c r="P32" s="30" t="n">
        <v>80</v>
      </c>
      <c r="Q32" s="30" t="inlineStr">
        <is>
          <t>C/D — estimation par catégorie</t>
        </is>
      </c>
      <c r="R32" s="30" t="inlineStr">
        <is>
          <t>Archétype moto; estimation arrondie, marge indicative ±10–20 % ou davantage pour prototypes.</t>
        </is>
      </c>
    </row>
    <row r="33">
      <c r="A33" s="30" t="inlineStr">
        <is>
          <t>VEH-032</t>
        </is>
      </c>
      <c r="B33" s="30" t="inlineStr">
        <is>
          <t>Royal Enfield WD/RE</t>
        </is>
      </c>
      <c r="C33" s="30" t="inlineStr">
        <is>
          <t>Motos et side-cars</t>
        </is>
      </c>
      <c r="D33" s="30" t="n">
        <v>250</v>
      </c>
      <c r="E33" s="30" t="n">
        <v>2.2</v>
      </c>
      <c r="F33" s="30" t="n">
        <v>0.9</v>
      </c>
      <c r="G33" s="30" t="n">
        <v>1.2</v>
      </c>
      <c r="H33" s="30" t="n">
        <v>0.75</v>
      </c>
      <c r="I33" s="30" t="n">
        <v>25</v>
      </c>
      <c r="J33" s="30" t="inlineStr">
        <is>
          <t>Essence</t>
        </is>
      </c>
      <c r="K33" s="30" t="n">
        <v>15</v>
      </c>
      <c r="L33" s="30" t="n">
        <v>5</v>
      </c>
      <c r="M33" s="30" t="n">
        <v>90</v>
      </c>
      <c r="N33" s="30" t="n">
        <v>250</v>
      </c>
      <c r="O33" s="30" t="n">
        <v>1</v>
      </c>
      <c r="P33" s="30" t="n">
        <v>80</v>
      </c>
      <c r="Q33" s="30" t="inlineStr">
        <is>
          <t>C/D — estimation par catégorie</t>
        </is>
      </c>
      <c r="R33" s="30" t="inlineStr">
        <is>
          <t>Archétype moto; estimation arrondie, marge indicative ±10–20 % ou davantage pour prototypes.</t>
        </is>
      </c>
    </row>
    <row r="34">
      <c r="A34" s="30" t="inlineStr">
        <is>
          <t>VEH-033</t>
        </is>
      </c>
      <c r="B34" s="30" t="inlineStr">
        <is>
          <t>Terrot RDA / modèles militaires d'époque</t>
        </is>
      </c>
      <c r="C34" s="30" t="inlineStr">
        <is>
          <t>Motos et side-cars</t>
        </is>
      </c>
      <c r="D34" s="30" t="n">
        <v>250</v>
      </c>
      <c r="E34" s="30" t="n">
        <v>2.2</v>
      </c>
      <c r="F34" s="30" t="n">
        <v>0.9</v>
      </c>
      <c r="G34" s="30" t="n">
        <v>1.2</v>
      </c>
      <c r="H34" s="30" t="n">
        <v>0.75</v>
      </c>
      <c r="I34" s="30" t="n">
        <v>25</v>
      </c>
      <c r="J34" s="30" t="inlineStr">
        <is>
          <t>Essence</t>
        </is>
      </c>
      <c r="K34" s="30" t="n">
        <v>15</v>
      </c>
      <c r="L34" s="30" t="n">
        <v>5</v>
      </c>
      <c r="M34" s="30" t="n">
        <v>90</v>
      </c>
      <c r="N34" s="30" t="n">
        <v>250</v>
      </c>
      <c r="O34" s="30" t="n">
        <v>1</v>
      </c>
      <c r="P34" s="30" t="n">
        <v>80</v>
      </c>
      <c r="Q34" s="30" t="inlineStr">
        <is>
          <t>C/D — estimation par catégorie</t>
        </is>
      </c>
      <c r="R34" s="30" t="inlineStr">
        <is>
          <t>Archétype moto; estimation arrondie, marge indicative ±10–20 % ou davantage pour prototypes.</t>
        </is>
      </c>
    </row>
    <row r="35">
      <c r="A35" t="inlineStr">
        <is>
          <t>VEH-034</t>
        </is>
      </c>
      <c r="B35" t="inlineStr">
        <is>
          <t>Dodge WC-51 / WC-52</t>
        </is>
      </c>
      <c r="C35" t="inlineStr">
        <is>
          <t>Camions légers et moyens</t>
        </is>
      </c>
      <c r="D35" t="n">
        <v>2700</v>
      </c>
      <c r="E35" t="n">
        <v>4.2</v>
      </c>
      <c r="F35" t="n">
        <v>2</v>
      </c>
      <c r="G35" t="n">
        <v>2.1</v>
      </c>
      <c r="H35" t="n">
        <v>3.8</v>
      </c>
      <c r="I35" t="n">
        <v>92</v>
      </c>
      <c r="J35" t="inlineStr">
        <is>
          <t>Essence ou diesel selon variante</t>
        </is>
      </c>
      <c r="K35" t="n">
        <v>110</v>
      </c>
      <c r="L35" t="n">
        <v>25</v>
      </c>
      <c r="M35" t="n">
        <v>85</v>
      </c>
      <c r="N35" t="n">
        <v>400</v>
      </c>
      <c r="O35" t="n">
        <v>2</v>
      </c>
      <c r="P35" t="n">
        <v>800</v>
      </c>
      <c r="Q35" t="inlineStr">
        <is>
          <t>B — modèle courant</t>
        </is>
      </c>
      <c r="R35" t="inlineStr">
        <is>
          <t>Valeurs arrondies d'un modèle connu; les variantes peuvent diverger.</t>
        </is>
      </c>
    </row>
    <row r="36">
      <c r="A36" s="30" t="inlineStr">
        <is>
          <t>VEH-035</t>
        </is>
      </c>
      <c r="B36" s="30" t="inlineStr">
        <is>
          <t>Dodge WC-54</t>
        </is>
      </c>
      <c r="C36" s="30" t="inlineStr">
        <is>
          <t>Camions légers et moyens</t>
        </is>
      </c>
      <c r="D36" s="30" t="n">
        <v>2800</v>
      </c>
      <c r="E36" s="30" t="n">
        <v>5.2</v>
      </c>
      <c r="F36" s="30" t="n">
        <v>2</v>
      </c>
      <c r="G36" s="30" t="n">
        <v>2.4</v>
      </c>
      <c r="H36" s="30" t="n">
        <v>3.5</v>
      </c>
      <c r="I36" s="30" t="n">
        <v>75</v>
      </c>
      <c r="J36" s="30" t="inlineStr">
        <is>
          <t>Essence ou diesel selon variante</t>
        </is>
      </c>
      <c r="K36" s="30" t="n">
        <v>80</v>
      </c>
      <c r="L36" s="30" t="n">
        <v>22</v>
      </c>
      <c r="M36" s="30" t="n">
        <v>75</v>
      </c>
      <c r="N36" s="30" t="n">
        <v>350</v>
      </c>
      <c r="O36" s="30" t="n">
        <v>2</v>
      </c>
      <c r="P36" s="30" t="n">
        <v>1500</v>
      </c>
      <c r="Q36" s="30" t="inlineStr">
        <is>
          <t>C/D — estimation par catégorie</t>
        </is>
      </c>
      <c r="R36" s="30" t="inlineStr">
        <is>
          <t>Archétype truck_light; estimation arrondie, marge indicative ±10–20 % ou davantage pour prototypes.</t>
        </is>
      </c>
    </row>
    <row r="37">
      <c r="A37" s="30" t="inlineStr">
        <is>
          <t>VEH-036</t>
        </is>
      </c>
      <c r="B37" s="30" t="inlineStr">
        <is>
          <t>Chevrolet G506</t>
        </is>
      </c>
      <c r="C37" s="30" t="inlineStr">
        <is>
          <t>Camions légers et moyens</t>
        </is>
      </c>
      <c r="D37" s="30" t="n">
        <v>2800</v>
      </c>
      <c r="E37" s="30" t="n">
        <v>5.2</v>
      </c>
      <c r="F37" s="30" t="n">
        <v>2</v>
      </c>
      <c r="G37" s="30" t="n">
        <v>2.4</v>
      </c>
      <c r="H37" s="30" t="n">
        <v>3.5</v>
      </c>
      <c r="I37" s="30" t="n">
        <v>75</v>
      </c>
      <c r="J37" s="30" t="inlineStr">
        <is>
          <t>Essence ou diesel selon variante</t>
        </is>
      </c>
      <c r="K37" s="30" t="n">
        <v>80</v>
      </c>
      <c r="L37" s="30" t="n">
        <v>22</v>
      </c>
      <c r="M37" s="30" t="n">
        <v>75</v>
      </c>
      <c r="N37" s="30" t="n">
        <v>350</v>
      </c>
      <c r="O37" s="30" t="n">
        <v>2</v>
      </c>
      <c r="P37" s="30" t="n">
        <v>1500</v>
      </c>
      <c r="Q37" s="30" t="inlineStr">
        <is>
          <t>C/D — estimation par catégorie</t>
        </is>
      </c>
      <c r="R37" s="30" t="inlineStr">
        <is>
          <t>Archétype truck_light; estimation arrondie, marge indicative ±10–20 % ou davantage pour prototypes.</t>
        </is>
      </c>
    </row>
    <row r="38">
      <c r="A38" t="inlineStr">
        <is>
          <t>VEH-037</t>
        </is>
      </c>
      <c r="B38" t="inlineStr">
        <is>
          <t>GMC CCKW 353</t>
        </is>
      </c>
      <c r="C38" t="inlineStr">
        <is>
          <t>Camions légers et moyens</t>
        </is>
      </c>
      <c r="D38" t="n">
        <v>4500</v>
      </c>
      <c r="E38" t="n">
        <v>6.5</v>
      </c>
      <c r="F38" t="n">
        <v>2.2</v>
      </c>
      <c r="G38" t="n">
        <v>2.5</v>
      </c>
      <c r="H38" t="n">
        <v>4.4</v>
      </c>
      <c r="I38" t="n">
        <v>104</v>
      </c>
      <c r="J38" t="inlineStr">
        <is>
          <t>Essence ou diesel selon variante</t>
        </is>
      </c>
      <c r="K38" t="n">
        <v>150</v>
      </c>
      <c r="L38" t="n">
        <v>30</v>
      </c>
      <c r="M38" t="n">
        <v>72</v>
      </c>
      <c r="N38" t="n">
        <v>400</v>
      </c>
      <c r="O38" t="n">
        <v>2</v>
      </c>
      <c r="P38" t="n">
        <v>2300</v>
      </c>
      <c r="Q38" t="inlineStr">
        <is>
          <t>B — modèle courant</t>
        </is>
      </c>
      <c r="R38" t="inlineStr">
        <is>
          <t>Valeurs arrondies d'un modèle connu; les variantes peuvent diverger.</t>
        </is>
      </c>
    </row>
    <row r="39">
      <c r="A39" s="30" t="inlineStr">
        <is>
          <t>VEH-038</t>
        </is>
      </c>
      <c r="B39" s="30" t="inlineStr">
        <is>
          <t>Studebaker US6</t>
        </is>
      </c>
      <c r="C39" s="30" t="inlineStr">
        <is>
          <t>Camions légers et moyens</t>
        </is>
      </c>
      <c r="D39" s="30" t="n">
        <v>2800</v>
      </c>
      <c r="E39" s="30" t="n">
        <v>5.2</v>
      </c>
      <c r="F39" s="30" t="n">
        <v>2</v>
      </c>
      <c r="G39" s="30" t="n">
        <v>2.4</v>
      </c>
      <c r="H39" s="30" t="n">
        <v>3.5</v>
      </c>
      <c r="I39" s="30" t="n">
        <v>75</v>
      </c>
      <c r="J39" s="30" t="inlineStr">
        <is>
          <t>Essence ou diesel selon variante</t>
        </is>
      </c>
      <c r="K39" s="30" t="n">
        <v>80</v>
      </c>
      <c r="L39" s="30" t="n">
        <v>22</v>
      </c>
      <c r="M39" s="30" t="n">
        <v>75</v>
      </c>
      <c r="N39" s="30" t="n">
        <v>350</v>
      </c>
      <c r="O39" s="30" t="n">
        <v>2</v>
      </c>
      <c r="P39" s="30" t="n">
        <v>1500</v>
      </c>
      <c r="Q39" s="30" t="inlineStr">
        <is>
          <t>C/D — estimation par catégorie</t>
        </is>
      </c>
      <c r="R39" s="30" t="inlineStr">
        <is>
          <t>Archétype truck_light; estimation arrondie, marge indicative ±10–20 % ou davantage pour prototypes.</t>
        </is>
      </c>
    </row>
    <row r="40">
      <c r="A40" s="30" t="inlineStr">
        <is>
          <t>VEH-039</t>
        </is>
      </c>
      <c r="B40" s="30" t="inlineStr">
        <is>
          <t>Ford F-series pré-guerre / Model 50</t>
        </is>
      </c>
      <c r="C40" s="30" t="inlineStr">
        <is>
          <t>Camions légers et moyens</t>
        </is>
      </c>
      <c r="D40" s="30" t="n">
        <v>2800</v>
      </c>
      <c r="E40" s="30" t="n">
        <v>5.2</v>
      </c>
      <c r="F40" s="30" t="n">
        <v>2</v>
      </c>
      <c r="G40" s="30" t="n">
        <v>2.4</v>
      </c>
      <c r="H40" s="30" t="n">
        <v>3.5</v>
      </c>
      <c r="I40" s="30" t="n">
        <v>75</v>
      </c>
      <c r="J40" s="30" t="inlineStr">
        <is>
          <t>Essence ou diesel selon variante</t>
        </is>
      </c>
      <c r="K40" s="30" t="n">
        <v>80</v>
      </c>
      <c r="L40" s="30" t="n">
        <v>22</v>
      </c>
      <c r="M40" s="30" t="n">
        <v>75</v>
      </c>
      <c r="N40" s="30" t="n">
        <v>350</v>
      </c>
      <c r="O40" s="30" t="n">
        <v>2</v>
      </c>
      <c r="P40" s="30" t="n">
        <v>1500</v>
      </c>
      <c r="Q40" s="30" t="inlineStr">
        <is>
          <t>C/D — estimation par catégorie</t>
        </is>
      </c>
      <c r="R40" s="30" t="inlineStr">
        <is>
          <t>Archétype truck_light; estimation arrondie, marge indicative ±10–20 % ou davantage pour prototypes.</t>
        </is>
      </c>
    </row>
    <row r="41">
      <c r="A41" s="30" t="inlineStr">
        <is>
          <t>VEH-040</t>
        </is>
      </c>
      <c r="B41" s="30" t="inlineStr">
        <is>
          <t>Bedford QL</t>
        </is>
      </c>
      <c r="C41" s="30" t="inlineStr">
        <is>
          <t>Camions légers et moyens</t>
        </is>
      </c>
      <c r="D41" s="30" t="n">
        <v>2800</v>
      </c>
      <c r="E41" s="30" t="n">
        <v>5.2</v>
      </c>
      <c r="F41" s="30" t="n">
        <v>2</v>
      </c>
      <c r="G41" s="30" t="n">
        <v>2.4</v>
      </c>
      <c r="H41" s="30" t="n">
        <v>3.5</v>
      </c>
      <c r="I41" s="30" t="n">
        <v>75</v>
      </c>
      <c r="J41" s="30" t="inlineStr">
        <is>
          <t>Essence ou diesel selon variante</t>
        </is>
      </c>
      <c r="K41" s="30" t="n">
        <v>80</v>
      </c>
      <c r="L41" s="30" t="n">
        <v>22</v>
      </c>
      <c r="M41" s="30" t="n">
        <v>75</v>
      </c>
      <c r="N41" s="30" t="n">
        <v>350</v>
      </c>
      <c r="O41" s="30" t="n">
        <v>2</v>
      </c>
      <c r="P41" s="30" t="n">
        <v>1500</v>
      </c>
      <c r="Q41" s="30" t="inlineStr">
        <is>
          <t>C/D — estimation par catégorie</t>
        </is>
      </c>
      <c r="R41" s="30" t="inlineStr">
        <is>
          <t>Archétype truck_light; estimation arrondie, marge indicative ±10–20 % ou davantage pour prototypes.</t>
        </is>
      </c>
    </row>
    <row r="42">
      <c r="A42" s="30" t="inlineStr">
        <is>
          <t>VEH-041</t>
        </is>
      </c>
      <c r="B42" s="30" t="inlineStr">
        <is>
          <t>Austin K5</t>
        </is>
      </c>
      <c r="C42" s="30" t="inlineStr">
        <is>
          <t>Camions légers et moyens</t>
        </is>
      </c>
      <c r="D42" s="30" t="n">
        <v>2800</v>
      </c>
      <c r="E42" s="30" t="n">
        <v>5.2</v>
      </c>
      <c r="F42" s="30" t="n">
        <v>2</v>
      </c>
      <c r="G42" s="30" t="n">
        <v>2.4</v>
      </c>
      <c r="H42" s="30" t="n">
        <v>3.5</v>
      </c>
      <c r="I42" s="30" t="n">
        <v>75</v>
      </c>
      <c r="J42" s="30" t="inlineStr">
        <is>
          <t>Essence ou diesel selon variante</t>
        </is>
      </c>
      <c r="K42" s="30" t="n">
        <v>80</v>
      </c>
      <c r="L42" s="30" t="n">
        <v>22</v>
      </c>
      <c r="M42" s="30" t="n">
        <v>75</v>
      </c>
      <c r="N42" s="30" t="n">
        <v>350</v>
      </c>
      <c r="O42" s="30" t="n">
        <v>2</v>
      </c>
      <c r="P42" s="30" t="n">
        <v>1500</v>
      </c>
      <c r="Q42" s="30" t="inlineStr">
        <is>
          <t>C/D — estimation par catégorie</t>
        </is>
      </c>
      <c r="R42" s="30" t="inlineStr">
        <is>
          <t>Archétype truck_light; estimation arrondie, marge indicative ±10–20 % ou davantage pour prototypes.</t>
        </is>
      </c>
    </row>
    <row r="43">
      <c r="A43" s="30" t="inlineStr">
        <is>
          <t>VEH-042</t>
        </is>
      </c>
      <c r="B43" s="30" t="inlineStr">
        <is>
          <t>Morris Commercial C8</t>
        </is>
      </c>
      <c r="C43" s="30" t="inlineStr">
        <is>
          <t>Camions légers et moyens</t>
        </is>
      </c>
      <c r="D43" s="30" t="n">
        <v>2800</v>
      </c>
      <c r="E43" s="30" t="n">
        <v>5.2</v>
      </c>
      <c r="F43" s="30" t="n">
        <v>2</v>
      </c>
      <c r="G43" s="30" t="n">
        <v>2.4</v>
      </c>
      <c r="H43" s="30" t="n">
        <v>3.5</v>
      </c>
      <c r="I43" s="30" t="n">
        <v>75</v>
      </c>
      <c r="J43" s="30" t="inlineStr">
        <is>
          <t>Essence ou diesel selon variante</t>
        </is>
      </c>
      <c r="K43" s="30" t="n">
        <v>80</v>
      </c>
      <c r="L43" s="30" t="n">
        <v>22</v>
      </c>
      <c r="M43" s="30" t="n">
        <v>75</v>
      </c>
      <c r="N43" s="30" t="n">
        <v>350</v>
      </c>
      <c r="O43" s="30" t="n">
        <v>2</v>
      </c>
      <c r="P43" s="30" t="n">
        <v>1500</v>
      </c>
      <c r="Q43" s="30" t="inlineStr">
        <is>
          <t>C/D — estimation par catégorie</t>
        </is>
      </c>
      <c r="R43" s="30" t="inlineStr">
        <is>
          <t>Archétype truck_light; estimation arrondie, marge indicative ±10–20 % ou davantage pour prototypes.</t>
        </is>
      </c>
    </row>
    <row r="44">
      <c r="A44" s="30" t="inlineStr">
        <is>
          <t>VEH-043</t>
        </is>
      </c>
      <c r="B44" s="30" t="inlineStr">
        <is>
          <t>AEC Matador</t>
        </is>
      </c>
      <c r="C44" s="30" t="inlineStr">
        <is>
          <t>Camions légers et moyens</t>
        </is>
      </c>
      <c r="D44" s="30" t="n">
        <v>8000</v>
      </c>
      <c r="E44" s="30" t="n">
        <v>7.2</v>
      </c>
      <c r="F44" s="30" t="n">
        <v>2.5</v>
      </c>
      <c r="G44" s="30" t="n">
        <v>3</v>
      </c>
      <c r="H44" s="30" t="n">
        <v>7</v>
      </c>
      <c r="I44" s="30" t="n">
        <v>130</v>
      </c>
      <c r="J44" s="30" t="inlineStr">
        <is>
          <t>Essence ou diesel selon variante</t>
        </is>
      </c>
      <c r="K44" s="30" t="n">
        <v>180</v>
      </c>
      <c r="L44" s="30" t="n">
        <v>40</v>
      </c>
      <c r="M44" s="30" t="n">
        <v>60</v>
      </c>
      <c r="N44" s="30" t="n">
        <v>400</v>
      </c>
      <c r="O44" s="30" t="n">
        <v>2</v>
      </c>
      <c r="P44" s="30" t="n">
        <v>5000</v>
      </c>
      <c r="Q44" s="30" t="inlineStr">
        <is>
          <t>C/D — estimation par catégorie</t>
        </is>
      </c>
      <c r="R44" s="30" t="inlineStr">
        <is>
          <t>Archétype truck_heavy; estimation arrondie, marge indicative ±10–20 % ou davantage pour prototypes.</t>
        </is>
      </c>
    </row>
    <row r="45">
      <c r="A45" s="30" t="inlineStr">
        <is>
          <t>VEH-044</t>
        </is>
      </c>
      <c r="B45" s="30" t="inlineStr">
        <is>
          <t>Leyland Retriever</t>
        </is>
      </c>
      <c r="C45" s="30" t="inlineStr">
        <is>
          <t>Camions légers et moyens</t>
        </is>
      </c>
      <c r="D45" s="30" t="n">
        <v>8000</v>
      </c>
      <c r="E45" s="30" t="n">
        <v>7.2</v>
      </c>
      <c r="F45" s="30" t="n">
        <v>2.5</v>
      </c>
      <c r="G45" s="30" t="n">
        <v>3</v>
      </c>
      <c r="H45" s="30" t="n">
        <v>7</v>
      </c>
      <c r="I45" s="30" t="n">
        <v>130</v>
      </c>
      <c r="J45" s="30" t="inlineStr">
        <is>
          <t>Essence ou diesel selon variante</t>
        </is>
      </c>
      <c r="K45" s="30" t="n">
        <v>180</v>
      </c>
      <c r="L45" s="30" t="n">
        <v>40</v>
      </c>
      <c r="M45" s="30" t="n">
        <v>60</v>
      </c>
      <c r="N45" s="30" t="n">
        <v>400</v>
      </c>
      <c r="O45" s="30" t="n">
        <v>2</v>
      </c>
      <c r="P45" s="30" t="n">
        <v>5000</v>
      </c>
      <c r="Q45" s="30" t="inlineStr">
        <is>
          <t>C/D — estimation par catégorie</t>
        </is>
      </c>
      <c r="R45" s="30" t="inlineStr">
        <is>
          <t>Archétype truck_heavy; estimation arrondie, marge indicative ±10–20 % ou davantage pour prototypes.</t>
        </is>
      </c>
    </row>
    <row r="46">
      <c r="A46" s="30" t="inlineStr">
        <is>
          <t>VEH-045</t>
        </is>
      </c>
      <c r="B46" s="30" t="inlineStr">
        <is>
          <t>Opel Blitz 3.6-36S</t>
        </is>
      </c>
      <c r="C46" s="30" t="inlineStr">
        <is>
          <t>Camions légers et moyens</t>
        </is>
      </c>
      <c r="D46" s="30" t="n">
        <v>2800</v>
      </c>
      <c r="E46" s="30" t="n">
        <v>5.2</v>
      </c>
      <c r="F46" s="30" t="n">
        <v>2</v>
      </c>
      <c r="G46" s="30" t="n">
        <v>2.4</v>
      </c>
      <c r="H46" s="30" t="n">
        <v>3.5</v>
      </c>
      <c r="I46" s="30" t="n">
        <v>75</v>
      </c>
      <c r="J46" s="30" t="inlineStr">
        <is>
          <t>Essence ou diesel selon variante</t>
        </is>
      </c>
      <c r="K46" s="30" t="n">
        <v>80</v>
      </c>
      <c r="L46" s="30" t="n">
        <v>22</v>
      </c>
      <c r="M46" s="30" t="n">
        <v>75</v>
      </c>
      <c r="N46" s="30" t="n">
        <v>350</v>
      </c>
      <c r="O46" s="30" t="n">
        <v>2</v>
      </c>
      <c r="P46" s="30" t="n">
        <v>1500</v>
      </c>
      <c r="Q46" s="30" t="inlineStr">
        <is>
          <t>C/D — estimation par catégorie</t>
        </is>
      </c>
      <c r="R46" s="30" t="inlineStr">
        <is>
          <t>Archétype truck_light; estimation arrondie, marge indicative ±10–20 % ou davantage pour prototypes.</t>
        </is>
      </c>
    </row>
    <row r="47">
      <c r="A47" s="30" t="inlineStr">
        <is>
          <t>VEH-046</t>
        </is>
      </c>
      <c r="B47" s="30" t="inlineStr">
        <is>
          <t>Mercedes-Benz L 3000</t>
        </is>
      </c>
      <c r="C47" s="30" t="inlineStr">
        <is>
          <t>Camions légers et moyens</t>
        </is>
      </c>
      <c r="D47" s="30" t="n">
        <v>2800</v>
      </c>
      <c r="E47" s="30" t="n">
        <v>5.2</v>
      </c>
      <c r="F47" s="30" t="n">
        <v>2</v>
      </c>
      <c r="G47" s="30" t="n">
        <v>2.4</v>
      </c>
      <c r="H47" s="30" t="n">
        <v>3.5</v>
      </c>
      <c r="I47" s="30" t="n">
        <v>75</v>
      </c>
      <c r="J47" s="30" t="inlineStr">
        <is>
          <t>Essence ou diesel selon variante</t>
        </is>
      </c>
      <c r="K47" s="30" t="n">
        <v>80</v>
      </c>
      <c r="L47" s="30" t="n">
        <v>22</v>
      </c>
      <c r="M47" s="30" t="n">
        <v>75</v>
      </c>
      <c r="N47" s="30" t="n">
        <v>350</v>
      </c>
      <c r="O47" s="30" t="n">
        <v>2</v>
      </c>
      <c r="P47" s="30" t="n">
        <v>1500</v>
      </c>
      <c r="Q47" s="30" t="inlineStr">
        <is>
          <t>C/D — estimation par catégorie</t>
        </is>
      </c>
      <c r="R47" s="30" t="inlineStr">
        <is>
          <t>Archétype truck_light; estimation arrondie, marge indicative ±10–20 % ou davantage pour prototypes.</t>
        </is>
      </c>
    </row>
    <row r="48">
      <c r="A48" s="30" t="inlineStr">
        <is>
          <t>VEH-047</t>
        </is>
      </c>
      <c r="B48" s="30" t="inlineStr">
        <is>
          <t>Büssing-NAG 4500</t>
        </is>
      </c>
      <c r="C48" s="30" t="inlineStr">
        <is>
          <t>Camions légers et moyens</t>
        </is>
      </c>
      <c r="D48" s="30" t="n">
        <v>2800</v>
      </c>
      <c r="E48" s="30" t="n">
        <v>5.2</v>
      </c>
      <c r="F48" s="30" t="n">
        <v>2</v>
      </c>
      <c r="G48" s="30" t="n">
        <v>2.4</v>
      </c>
      <c r="H48" s="30" t="n">
        <v>3.5</v>
      </c>
      <c r="I48" s="30" t="n">
        <v>75</v>
      </c>
      <c r="J48" s="30" t="inlineStr">
        <is>
          <t>Essence ou diesel selon variante</t>
        </is>
      </c>
      <c r="K48" s="30" t="n">
        <v>80</v>
      </c>
      <c r="L48" s="30" t="n">
        <v>22</v>
      </c>
      <c r="M48" s="30" t="n">
        <v>75</v>
      </c>
      <c r="N48" s="30" t="n">
        <v>350</v>
      </c>
      <c r="O48" s="30" t="n">
        <v>2</v>
      </c>
      <c r="P48" s="30" t="n">
        <v>1500</v>
      </c>
      <c r="Q48" s="30" t="inlineStr">
        <is>
          <t>C/D — estimation par catégorie</t>
        </is>
      </c>
      <c r="R48" s="30" t="inlineStr">
        <is>
          <t>Archétype truck_light; estimation arrondie, marge indicative ±10–20 % ou davantage pour prototypes.</t>
        </is>
      </c>
    </row>
    <row r="49">
      <c r="A49" s="30" t="inlineStr">
        <is>
          <t>VEH-048</t>
        </is>
      </c>
      <c r="B49" s="30" t="inlineStr">
        <is>
          <t>MAN ML 4500</t>
        </is>
      </c>
      <c r="C49" s="30" t="inlineStr">
        <is>
          <t>Camions légers et moyens</t>
        </is>
      </c>
      <c r="D49" s="30" t="n">
        <v>2800</v>
      </c>
      <c r="E49" s="30" t="n">
        <v>5.2</v>
      </c>
      <c r="F49" s="30" t="n">
        <v>2</v>
      </c>
      <c r="G49" s="30" t="n">
        <v>2.4</v>
      </c>
      <c r="H49" s="30" t="n">
        <v>3.5</v>
      </c>
      <c r="I49" s="30" t="n">
        <v>75</v>
      </c>
      <c r="J49" s="30" t="inlineStr">
        <is>
          <t>Essence ou diesel selon variante</t>
        </is>
      </c>
      <c r="K49" s="30" t="n">
        <v>80</v>
      </c>
      <c r="L49" s="30" t="n">
        <v>22</v>
      </c>
      <c r="M49" s="30" t="n">
        <v>75</v>
      </c>
      <c r="N49" s="30" t="n">
        <v>350</v>
      </c>
      <c r="O49" s="30" t="n">
        <v>2</v>
      </c>
      <c r="P49" s="30" t="n">
        <v>1500</v>
      </c>
      <c r="Q49" s="30" t="inlineStr">
        <is>
          <t>C/D — estimation par catégorie</t>
        </is>
      </c>
      <c r="R49" s="30" t="inlineStr">
        <is>
          <t>Archétype truck_light; estimation arrondie, marge indicative ±10–20 % ou davantage pour prototypes.</t>
        </is>
      </c>
    </row>
    <row r="50">
      <c r="A50" s="30" t="inlineStr">
        <is>
          <t>VEH-049</t>
        </is>
      </c>
      <c r="B50" s="30" t="inlineStr">
        <is>
          <t>Fiat 626</t>
        </is>
      </c>
      <c r="C50" s="30" t="inlineStr">
        <is>
          <t>Camions légers et moyens</t>
        </is>
      </c>
      <c r="D50" s="30" t="n">
        <v>2800</v>
      </c>
      <c r="E50" s="30" t="n">
        <v>5.2</v>
      </c>
      <c r="F50" s="30" t="n">
        <v>2</v>
      </c>
      <c r="G50" s="30" t="n">
        <v>2.4</v>
      </c>
      <c r="H50" s="30" t="n">
        <v>3.5</v>
      </c>
      <c r="I50" s="30" t="n">
        <v>75</v>
      </c>
      <c r="J50" s="30" t="inlineStr">
        <is>
          <t>Essence ou diesel selon variante</t>
        </is>
      </c>
      <c r="K50" s="30" t="n">
        <v>80</v>
      </c>
      <c r="L50" s="30" t="n">
        <v>22</v>
      </c>
      <c r="M50" s="30" t="n">
        <v>75</v>
      </c>
      <c r="N50" s="30" t="n">
        <v>350</v>
      </c>
      <c r="O50" s="30" t="n">
        <v>2</v>
      </c>
      <c r="P50" s="30" t="n">
        <v>1500</v>
      </c>
      <c r="Q50" s="30" t="inlineStr">
        <is>
          <t>C/D — estimation par catégorie</t>
        </is>
      </c>
      <c r="R50" s="30" t="inlineStr">
        <is>
          <t>Archétype truck_light; estimation arrondie, marge indicative ±10–20 % ou davantage pour prototypes.</t>
        </is>
      </c>
    </row>
    <row r="51">
      <c r="A51" s="30" t="inlineStr">
        <is>
          <t>VEH-050</t>
        </is>
      </c>
      <c r="B51" s="30" t="inlineStr">
        <is>
          <t>Lancia 3Ro</t>
        </is>
      </c>
      <c r="C51" s="30" t="inlineStr">
        <is>
          <t>Camions légers et moyens</t>
        </is>
      </c>
      <c r="D51" s="30" t="n">
        <v>2800</v>
      </c>
      <c r="E51" s="30" t="n">
        <v>5.2</v>
      </c>
      <c r="F51" s="30" t="n">
        <v>2</v>
      </c>
      <c r="G51" s="30" t="n">
        <v>2.4</v>
      </c>
      <c r="H51" s="30" t="n">
        <v>3.5</v>
      </c>
      <c r="I51" s="30" t="n">
        <v>75</v>
      </c>
      <c r="J51" s="30" t="inlineStr">
        <is>
          <t>Essence ou diesel selon variante</t>
        </is>
      </c>
      <c r="K51" s="30" t="n">
        <v>80</v>
      </c>
      <c r="L51" s="30" t="n">
        <v>22</v>
      </c>
      <c r="M51" s="30" t="n">
        <v>75</v>
      </c>
      <c r="N51" s="30" t="n">
        <v>350</v>
      </c>
      <c r="O51" s="30" t="n">
        <v>2</v>
      </c>
      <c r="P51" s="30" t="n">
        <v>1500</v>
      </c>
      <c r="Q51" s="30" t="inlineStr">
        <is>
          <t>C/D — estimation par catégorie</t>
        </is>
      </c>
      <c r="R51" s="30" t="inlineStr">
        <is>
          <t>Archétype truck_light; estimation arrondie, marge indicative ±10–20 % ou davantage pour prototypes.</t>
        </is>
      </c>
    </row>
    <row r="52">
      <c r="A52" s="30" t="inlineStr">
        <is>
          <t>VEH-051</t>
        </is>
      </c>
      <c r="B52" s="30" t="inlineStr">
        <is>
          <t>SPA Dovunque 35</t>
        </is>
      </c>
      <c r="C52" s="30" t="inlineStr">
        <is>
          <t>Camions légers et moyens</t>
        </is>
      </c>
      <c r="D52" s="30" t="n">
        <v>2800</v>
      </c>
      <c r="E52" s="30" t="n">
        <v>5.2</v>
      </c>
      <c r="F52" s="30" t="n">
        <v>2</v>
      </c>
      <c r="G52" s="30" t="n">
        <v>2.4</v>
      </c>
      <c r="H52" s="30" t="n">
        <v>3.5</v>
      </c>
      <c r="I52" s="30" t="n">
        <v>75</v>
      </c>
      <c r="J52" s="30" t="inlineStr">
        <is>
          <t>Essence ou diesel selon variante</t>
        </is>
      </c>
      <c r="K52" s="30" t="n">
        <v>80</v>
      </c>
      <c r="L52" s="30" t="n">
        <v>22</v>
      </c>
      <c r="M52" s="30" t="n">
        <v>75</v>
      </c>
      <c r="N52" s="30" t="n">
        <v>350</v>
      </c>
      <c r="O52" s="30" t="n">
        <v>2</v>
      </c>
      <c r="P52" s="30" t="n">
        <v>1500</v>
      </c>
      <c r="Q52" s="30" t="inlineStr">
        <is>
          <t>C/D — estimation par catégorie</t>
        </is>
      </c>
      <c r="R52" s="30" t="inlineStr">
        <is>
          <t>Archétype truck_light; estimation arrondie, marge indicative ±10–20 % ou davantage pour prototypes.</t>
        </is>
      </c>
    </row>
    <row r="53">
      <c r="A53" s="30" t="inlineStr">
        <is>
          <t>VEH-052</t>
        </is>
      </c>
      <c r="B53" s="30" t="inlineStr">
        <is>
          <t>ZiS-5</t>
        </is>
      </c>
      <c r="C53" s="30" t="inlineStr">
        <is>
          <t>Camions légers et moyens</t>
        </is>
      </c>
      <c r="D53" s="30" t="n">
        <v>2800</v>
      </c>
      <c r="E53" s="30" t="n">
        <v>5.2</v>
      </c>
      <c r="F53" s="30" t="n">
        <v>2</v>
      </c>
      <c r="G53" s="30" t="n">
        <v>2.4</v>
      </c>
      <c r="H53" s="30" t="n">
        <v>3.5</v>
      </c>
      <c r="I53" s="30" t="n">
        <v>75</v>
      </c>
      <c r="J53" s="30" t="inlineStr">
        <is>
          <t>Diesel probable</t>
        </is>
      </c>
      <c r="K53" s="30" t="n">
        <v>80</v>
      </c>
      <c r="L53" s="30" t="n">
        <v>22</v>
      </c>
      <c r="M53" s="30" t="n">
        <v>75</v>
      </c>
      <c r="N53" s="30" t="n">
        <v>350</v>
      </c>
      <c r="O53" s="30" t="n">
        <v>2</v>
      </c>
      <c r="P53" s="30" t="n">
        <v>1500</v>
      </c>
      <c r="Q53" s="30" t="inlineStr">
        <is>
          <t>C/D — estimation par catégorie</t>
        </is>
      </c>
      <c r="R53" s="30" t="inlineStr">
        <is>
          <t>Archétype truck_light; estimation arrondie, marge indicative ±10–20 % ou davantage pour prototypes.</t>
        </is>
      </c>
    </row>
    <row r="54">
      <c r="A54" s="30" t="inlineStr">
        <is>
          <t>VEH-053</t>
        </is>
      </c>
      <c r="B54" s="30" t="inlineStr">
        <is>
          <t>GAZ-AA / GAZ-MM</t>
        </is>
      </c>
      <c r="C54" s="30" t="inlineStr">
        <is>
          <t>Camions légers et moyens</t>
        </is>
      </c>
      <c r="D54" s="30" t="n">
        <v>2800</v>
      </c>
      <c r="E54" s="30" t="n">
        <v>5.2</v>
      </c>
      <c r="F54" s="30" t="n">
        <v>2</v>
      </c>
      <c r="G54" s="30" t="n">
        <v>2.4</v>
      </c>
      <c r="H54" s="30" t="n">
        <v>3.5</v>
      </c>
      <c r="I54" s="30" t="n">
        <v>75</v>
      </c>
      <c r="J54" s="30" t="inlineStr">
        <is>
          <t>Essence ou diesel selon variante</t>
        </is>
      </c>
      <c r="K54" s="30" t="n">
        <v>80</v>
      </c>
      <c r="L54" s="30" t="n">
        <v>22</v>
      </c>
      <c r="M54" s="30" t="n">
        <v>75</v>
      </c>
      <c r="N54" s="30" t="n">
        <v>350</v>
      </c>
      <c r="O54" s="30" t="n">
        <v>2</v>
      </c>
      <c r="P54" s="30" t="n">
        <v>1500</v>
      </c>
      <c r="Q54" s="30" t="inlineStr">
        <is>
          <t>C/D — estimation par catégorie</t>
        </is>
      </c>
      <c r="R54" s="30" t="inlineStr">
        <is>
          <t>Archétype truck_light; estimation arrondie, marge indicative ±10–20 % ou davantage pour prototypes.</t>
        </is>
      </c>
    </row>
    <row r="55">
      <c r="A55" s="30" t="inlineStr">
        <is>
          <t>VEH-054</t>
        </is>
      </c>
      <c r="B55" s="30" t="inlineStr">
        <is>
          <t>ZIS-6</t>
        </is>
      </c>
      <c r="C55" s="30" t="inlineStr">
        <is>
          <t>Camions légers et moyens</t>
        </is>
      </c>
      <c r="D55" s="30" t="n">
        <v>2800</v>
      </c>
      <c r="E55" s="30" t="n">
        <v>5.2</v>
      </c>
      <c r="F55" s="30" t="n">
        <v>2</v>
      </c>
      <c r="G55" s="30" t="n">
        <v>2.4</v>
      </c>
      <c r="H55" s="30" t="n">
        <v>3.5</v>
      </c>
      <c r="I55" s="30" t="n">
        <v>75</v>
      </c>
      <c r="J55" s="30" t="inlineStr">
        <is>
          <t>Diesel probable</t>
        </is>
      </c>
      <c r="K55" s="30" t="n">
        <v>80</v>
      </c>
      <c r="L55" s="30" t="n">
        <v>22</v>
      </c>
      <c r="M55" s="30" t="n">
        <v>75</v>
      </c>
      <c r="N55" s="30" t="n">
        <v>350</v>
      </c>
      <c r="O55" s="30" t="n">
        <v>2</v>
      </c>
      <c r="P55" s="30" t="n">
        <v>1500</v>
      </c>
      <c r="Q55" s="30" t="inlineStr">
        <is>
          <t>C/D — estimation par catégorie</t>
        </is>
      </c>
      <c r="R55" s="30" t="inlineStr">
        <is>
          <t>Archétype truck_light; estimation arrondie, marge indicative ±10–20 % ou davantage pour prototypes.</t>
        </is>
      </c>
    </row>
    <row r="56">
      <c r="A56" s="30" t="inlineStr">
        <is>
          <t>VEH-055</t>
        </is>
      </c>
      <c r="B56" s="30" t="inlineStr">
        <is>
          <t>Diamond T 969 Wrecker</t>
        </is>
      </c>
      <c r="C56" s="30" t="inlineStr">
        <is>
          <t>Camions lourds, dépannage et grue</t>
        </is>
      </c>
      <c r="D56" s="30" t="n">
        <v>8000</v>
      </c>
      <c r="E56" s="30" t="n">
        <v>7.2</v>
      </c>
      <c r="F56" s="30" t="n">
        <v>2.5</v>
      </c>
      <c r="G56" s="30" t="n">
        <v>3</v>
      </c>
      <c r="H56" s="30" t="n">
        <v>7</v>
      </c>
      <c r="I56" s="30" t="n">
        <v>130</v>
      </c>
      <c r="J56" s="30" t="inlineStr">
        <is>
          <t>Essence ou diesel selon variante</t>
        </is>
      </c>
      <c r="K56" s="30" t="n">
        <v>180</v>
      </c>
      <c r="L56" s="30" t="n">
        <v>40</v>
      </c>
      <c r="M56" s="30" t="n">
        <v>60</v>
      </c>
      <c r="N56" s="30" t="n">
        <v>400</v>
      </c>
      <c r="O56" s="30" t="n">
        <v>2</v>
      </c>
      <c r="P56" s="30" t="n">
        <v>5000</v>
      </c>
      <c r="Q56" s="30" t="inlineStr">
        <is>
          <t>C/D — estimation par catégorie</t>
        </is>
      </c>
      <c r="R56" s="30" t="inlineStr">
        <is>
          <t>Archétype truck_heavy; estimation arrondie, marge indicative ±10–20 % ou davantage pour prototypes.</t>
        </is>
      </c>
    </row>
    <row r="57">
      <c r="A57" s="30" t="inlineStr">
        <is>
          <t>VEH-056</t>
        </is>
      </c>
      <c r="B57" s="30" t="inlineStr">
        <is>
          <t>M26 Pacific</t>
        </is>
      </c>
      <c r="C57" s="30" t="inlineStr">
        <is>
          <t>Camions lourds, dépannage et grue</t>
        </is>
      </c>
      <c r="D57" s="30" t="n">
        <v>8000</v>
      </c>
      <c r="E57" s="30" t="n">
        <v>7.2</v>
      </c>
      <c r="F57" s="30" t="n">
        <v>2.5</v>
      </c>
      <c r="G57" s="30" t="n">
        <v>3</v>
      </c>
      <c r="H57" s="30" t="n">
        <v>7</v>
      </c>
      <c r="I57" s="30" t="n">
        <v>130</v>
      </c>
      <c r="J57" s="30" t="inlineStr">
        <is>
          <t>Essence ou diesel selon variante</t>
        </is>
      </c>
      <c r="K57" s="30" t="n">
        <v>180</v>
      </c>
      <c r="L57" s="30" t="n">
        <v>40</v>
      </c>
      <c r="M57" s="30" t="n">
        <v>60</v>
      </c>
      <c r="N57" s="30" t="n">
        <v>400</v>
      </c>
      <c r="O57" s="30" t="n">
        <v>2</v>
      </c>
      <c r="P57" s="30" t="n">
        <v>5000</v>
      </c>
      <c r="Q57" s="30" t="inlineStr">
        <is>
          <t>C/D — estimation par catégorie</t>
        </is>
      </c>
      <c r="R57" s="30" t="inlineStr">
        <is>
          <t>Archétype truck_heavy; estimation arrondie, marge indicative ±10–20 % ou davantage pour prototypes.</t>
        </is>
      </c>
    </row>
    <row r="58">
      <c r="A58" s="30" t="inlineStr">
        <is>
          <t>VEH-057</t>
        </is>
      </c>
      <c r="B58" s="30" t="inlineStr">
        <is>
          <t>Ward LaFrance M1A1</t>
        </is>
      </c>
      <c r="C58" s="30" t="inlineStr">
        <is>
          <t>Camions lourds, dépannage et grue</t>
        </is>
      </c>
      <c r="D58" s="30" t="n">
        <v>8000</v>
      </c>
      <c r="E58" s="30" t="n">
        <v>7.2</v>
      </c>
      <c r="F58" s="30" t="n">
        <v>2.5</v>
      </c>
      <c r="G58" s="30" t="n">
        <v>3</v>
      </c>
      <c r="H58" s="30" t="n">
        <v>7</v>
      </c>
      <c r="I58" s="30" t="n">
        <v>130</v>
      </c>
      <c r="J58" s="30" t="inlineStr">
        <is>
          <t>Essence ou diesel selon variante</t>
        </is>
      </c>
      <c r="K58" s="30" t="n">
        <v>180</v>
      </c>
      <c r="L58" s="30" t="n">
        <v>40</v>
      </c>
      <c r="M58" s="30" t="n">
        <v>60</v>
      </c>
      <c r="N58" s="30" t="n">
        <v>400</v>
      </c>
      <c r="O58" s="30" t="n">
        <v>2</v>
      </c>
      <c r="P58" s="30" t="n">
        <v>5000</v>
      </c>
      <c r="Q58" s="30" t="inlineStr">
        <is>
          <t>C/D — estimation par catégorie</t>
        </is>
      </c>
      <c r="R58" s="30" t="inlineStr">
        <is>
          <t>Archétype truck_heavy; estimation arrondie, marge indicative ±10–20 % ou davantage pour prototypes.</t>
        </is>
      </c>
    </row>
    <row r="59">
      <c r="A59" s="30" t="inlineStr">
        <is>
          <t>VEH-058</t>
        </is>
      </c>
      <c r="B59" s="30" t="inlineStr">
        <is>
          <t>Scammell Pioneer</t>
        </is>
      </c>
      <c r="C59" s="30" t="inlineStr">
        <is>
          <t>Camions lourds, dépannage et grue</t>
        </is>
      </c>
      <c r="D59" s="30" t="n">
        <v>8000</v>
      </c>
      <c r="E59" s="30" t="n">
        <v>7.2</v>
      </c>
      <c r="F59" s="30" t="n">
        <v>2.5</v>
      </c>
      <c r="G59" s="30" t="n">
        <v>3</v>
      </c>
      <c r="H59" s="30" t="n">
        <v>7</v>
      </c>
      <c r="I59" s="30" t="n">
        <v>130</v>
      </c>
      <c r="J59" s="30" t="inlineStr">
        <is>
          <t>Essence ou diesel selon variante</t>
        </is>
      </c>
      <c r="K59" s="30" t="n">
        <v>180</v>
      </c>
      <c r="L59" s="30" t="n">
        <v>40</v>
      </c>
      <c r="M59" s="30" t="n">
        <v>60</v>
      </c>
      <c r="N59" s="30" t="n">
        <v>400</v>
      </c>
      <c r="O59" s="30" t="n">
        <v>2</v>
      </c>
      <c r="P59" s="30" t="n">
        <v>5000</v>
      </c>
      <c r="Q59" s="30" t="inlineStr">
        <is>
          <t>C/D — estimation par catégorie</t>
        </is>
      </c>
      <c r="R59" s="30" t="inlineStr">
        <is>
          <t>Archétype truck_heavy; estimation arrondie, marge indicative ±10–20 % ou davantage pour prototypes.</t>
        </is>
      </c>
    </row>
    <row r="60">
      <c r="A60" s="30" t="inlineStr">
        <is>
          <t>VEH-059</t>
        </is>
      </c>
      <c r="B60" s="30" t="inlineStr">
        <is>
          <t>FWD Model B</t>
        </is>
      </c>
      <c r="C60" s="30" t="inlineStr">
        <is>
          <t>Camions lourds, dépannage et grue</t>
        </is>
      </c>
      <c r="D60" s="30" t="n">
        <v>8000</v>
      </c>
      <c r="E60" s="30" t="n">
        <v>7.2</v>
      </c>
      <c r="F60" s="30" t="n">
        <v>2.5</v>
      </c>
      <c r="G60" s="30" t="n">
        <v>3</v>
      </c>
      <c r="H60" s="30" t="n">
        <v>7</v>
      </c>
      <c r="I60" s="30" t="n">
        <v>130</v>
      </c>
      <c r="J60" s="30" t="inlineStr">
        <is>
          <t>Essence ou diesel selon variante</t>
        </is>
      </c>
      <c r="K60" s="30" t="n">
        <v>180</v>
      </c>
      <c r="L60" s="30" t="n">
        <v>40</v>
      </c>
      <c r="M60" s="30" t="n">
        <v>60</v>
      </c>
      <c r="N60" s="30" t="n">
        <v>400</v>
      </c>
      <c r="O60" s="30" t="n">
        <v>2</v>
      </c>
      <c r="P60" s="30" t="n">
        <v>5000</v>
      </c>
      <c r="Q60" s="30" t="inlineStr">
        <is>
          <t>C/D — estimation par catégorie</t>
        </is>
      </c>
      <c r="R60" s="30" t="inlineStr">
        <is>
          <t>Archétype truck_heavy; estimation arrondie, marge indicative ±10–20 % ou davantage pour prototypes.</t>
        </is>
      </c>
    </row>
    <row r="61">
      <c r="A61" s="30" t="inlineStr">
        <is>
          <t>VEH-060</t>
        </is>
      </c>
      <c r="B61" s="30" t="inlineStr">
        <is>
          <t>Laffly S15 / S20</t>
        </is>
      </c>
      <c r="C61" s="30" t="inlineStr">
        <is>
          <t>Camions lourds, dépannage et grue</t>
        </is>
      </c>
      <c r="D61" s="30" t="n">
        <v>8000</v>
      </c>
      <c r="E61" s="30" t="n">
        <v>7.2</v>
      </c>
      <c r="F61" s="30" t="n">
        <v>2.5</v>
      </c>
      <c r="G61" s="30" t="n">
        <v>3</v>
      </c>
      <c r="H61" s="30" t="n">
        <v>7</v>
      </c>
      <c r="I61" s="30" t="n">
        <v>130</v>
      </c>
      <c r="J61" s="30" t="inlineStr">
        <is>
          <t>Essence ou diesel selon variante</t>
        </is>
      </c>
      <c r="K61" s="30" t="n">
        <v>180</v>
      </c>
      <c r="L61" s="30" t="n">
        <v>40</v>
      </c>
      <c r="M61" s="30" t="n">
        <v>60</v>
      </c>
      <c r="N61" s="30" t="n">
        <v>400</v>
      </c>
      <c r="O61" s="30" t="n">
        <v>2</v>
      </c>
      <c r="P61" s="30" t="n">
        <v>5000</v>
      </c>
      <c r="Q61" s="30" t="inlineStr">
        <is>
          <t>C/D — estimation par catégorie</t>
        </is>
      </c>
      <c r="R61" s="30" t="inlineStr">
        <is>
          <t>Archétype truck_heavy; estimation arrondie, marge indicative ±10–20 % ou davantage pour prototypes.</t>
        </is>
      </c>
    </row>
    <row r="62">
      <c r="A62" s="30" t="inlineStr">
        <is>
          <t>VEH-061</t>
        </is>
      </c>
      <c r="B62" s="30" t="inlineStr">
        <is>
          <t>Berliet GBC / modèles militaires d'avant-guerre</t>
        </is>
      </c>
      <c r="C62" s="30" t="inlineStr">
        <is>
          <t>Camions lourds, dépannage et grue</t>
        </is>
      </c>
      <c r="D62" s="30" t="n">
        <v>8000</v>
      </c>
      <c r="E62" s="30" t="n">
        <v>7.2</v>
      </c>
      <c r="F62" s="30" t="n">
        <v>2.5</v>
      </c>
      <c r="G62" s="30" t="n">
        <v>3</v>
      </c>
      <c r="H62" s="30" t="n">
        <v>7</v>
      </c>
      <c r="I62" s="30" t="n">
        <v>130</v>
      </c>
      <c r="J62" s="30" t="inlineStr">
        <is>
          <t>Essence ou diesel selon variante</t>
        </is>
      </c>
      <c r="K62" s="30" t="n">
        <v>180</v>
      </c>
      <c r="L62" s="30" t="n">
        <v>40</v>
      </c>
      <c r="M62" s="30" t="n">
        <v>60</v>
      </c>
      <c r="N62" s="30" t="n">
        <v>400</v>
      </c>
      <c r="O62" s="30" t="n">
        <v>2</v>
      </c>
      <c r="P62" s="30" t="n">
        <v>5000</v>
      </c>
      <c r="Q62" s="30" t="inlineStr">
        <is>
          <t>C/D — estimation par catégorie</t>
        </is>
      </c>
      <c r="R62" s="30" t="inlineStr">
        <is>
          <t>Archétype truck_heavy; estimation arrondie, marge indicative ±10–20 % ou davantage pour prototypes.</t>
        </is>
      </c>
    </row>
    <row r="63">
      <c r="A63" s="30" t="inlineStr">
        <is>
          <t>VEH-062</t>
        </is>
      </c>
      <c r="B63" s="30" t="inlineStr">
        <is>
          <t>Faun ZR / tracteurs lourds d'époque</t>
        </is>
      </c>
      <c r="C63" s="30" t="inlineStr">
        <is>
          <t>Camions lourds, dépannage et grue</t>
        </is>
      </c>
      <c r="D63" s="30" t="n">
        <v>8000</v>
      </c>
      <c r="E63" s="30" t="n">
        <v>7.2</v>
      </c>
      <c r="F63" s="30" t="n">
        <v>2.5</v>
      </c>
      <c r="G63" s="30" t="n">
        <v>3</v>
      </c>
      <c r="H63" s="30" t="n">
        <v>7</v>
      </c>
      <c r="I63" s="30" t="n">
        <v>130</v>
      </c>
      <c r="J63" s="30" t="inlineStr">
        <is>
          <t>Essence ou diesel selon variante</t>
        </is>
      </c>
      <c r="K63" s="30" t="n">
        <v>180</v>
      </c>
      <c r="L63" s="30" t="n">
        <v>40</v>
      </c>
      <c r="M63" s="30" t="n">
        <v>60</v>
      </c>
      <c r="N63" s="30" t="n">
        <v>400</v>
      </c>
      <c r="O63" s="30" t="n">
        <v>2</v>
      </c>
      <c r="P63" s="30" t="n">
        <v>5000</v>
      </c>
      <c r="Q63" s="30" t="inlineStr">
        <is>
          <t>C/D — estimation par catégorie</t>
        </is>
      </c>
      <c r="R63" s="30" t="inlineStr">
        <is>
          <t>Archétype truck_heavy; estimation arrondie, marge indicative ±10–20 % ou davantage pour prototypes.</t>
        </is>
      </c>
    </row>
    <row r="64">
      <c r="A64" t="inlineStr">
        <is>
          <t>VEH-063</t>
        </is>
      </c>
      <c r="B64" t="inlineStr">
        <is>
          <t>M2 Half Track</t>
        </is>
      </c>
      <c r="C64" t="inlineStr">
        <is>
          <t>Véhicules chenillés et semi-chenillés</t>
        </is>
      </c>
      <c r="D64" t="n">
        <v>9200</v>
      </c>
      <c r="E64" t="n">
        <v>6.2</v>
      </c>
      <c r="F64" t="n">
        <v>2.2</v>
      </c>
      <c r="G64" t="n">
        <v>2.3</v>
      </c>
      <c r="H64" t="n">
        <v>6.3</v>
      </c>
      <c r="I64" t="n">
        <v>147</v>
      </c>
      <c r="J64" t="inlineStr">
        <is>
          <t>Essence ou diesel selon variante</t>
        </is>
      </c>
      <c r="K64" t="n">
        <v>230</v>
      </c>
      <c r="L64" t="n">
        <v>45</v>
      </c>
      <c r="M64" t="n">
        <v>72</v>
      </c>
      <c r="N64" t="n">
        <v>280</v>
      </c>
      <c r="O64" t="n">
        <v>3</v>
      </c>
      <c r="P64" t="n">
        <v>2500</v>
      </c>
      <c r="Q64" t="inlineStr">
        <is>
          <t>B/C — famille connue</t>
        </is>
      </c>
      <c r="R64" t="inlineStr">
        <is>
          <t>Valeurs typiques half-track américain, variantes proches.</t>
        </is>
      </c>
    </row>
    <row r="65">
      <c r="A65" t="inlineStr">
        <is>
          <t>VEH-064</t>
        </is>
      </c>
      <c r="B65" t="inlineStr">
        <is>
          <t>M3 Half Track</t>
        </is>
      </c>
      <c r="C65" t="inlineStr">
        <is>
          <t>Véhicules chenillés et semi-chenillés</t>
        </is>
      </c>
      <c r="D65" t="n">
        <v>9200</v>
      </c>
      <c r="E65" t="n">
        <v>6.2</v>
      </c>
      <c r="F65" t="n">
        <v>2.2</v>
      </c>
      <c r="G65" t="n">
        <v>2.3</v>
      </c>
      <c r="H65" t="n">
        <v>6.3</v>
      </c>
      <c r="I65" t="n">
        <v>147</v>
      </c>
      <c r="J65" t="inlineStr">
        <is>
          <t>Essence ou diesel selon variante</t>
        </is>
      </c>
      <c r="K65" t="n">
        <v>230</v>
      </c>
      <c r="L65" t="n">
        <v>45</v>
      </c>
      <c r="M65" t="n">
        <v>72</v>
      </c>
      <c r="N65" t="n">
        <v>280</v>
      </c>
      <c r="O65" t="n">
        <v>3</v>
      </c>
      <c r="P65" t="n">
        <v>2500</v>
      </c>
      <c r="Q65" t="inlineStr">
        <is>
          <t>B — modèle courant</t>
        </is>
      </c>
      <c r="R65" t="inlineStr">
        <is>
          <t>Valeurs arrondies d'un modèle connu; les variantes peuvent diverger.</t>
        </is>
      </c>
    </row>
    <row r="66">
      <c r="A66" t="inlineStr">
        <is>
          <t>VEH-065</t>
        </is>
      </c>
      <c r="B66" t="inlineStr">
        <is>
          <t>M5 Half Track</t>
        </is>
      </c>
      <c r="C66" t="inlineStr">
        <is>
          <t>Véhicules chenillés et semi-chenillés</t>
        </is>
      </c>
      <c r="D66" t="n">
        <v>9200</v>
      </c>
      <c r="E66" t="n">
        <v>6.2</v>
      </c>
      <c r="F66" t="n">
        <v>2.2</v>
      </c>
      <c r="G66" t="n">
        <v>2.3</v>
      </c>
      <c r="H66" t="n">
        <v>6.3</v>
      </c>
      <c r="I66" t="n">
        <v>147</v>
      </c>
      <c r="J66" t="inlineStr">
        <is>
          <t>Essence ou diesel selon variante</t>
        </is>
      </c>
      <c r="K66" t="n">
        <v>230</v>
      </c>
      <c r="L66" t="n">
        <v>45</v>
      </c>
      <c r="M66" t="n">
        <v>72</v>
      </c>
      <c r="N66" t="n">
        <v>280</v>
      </c>
      <c r="O66" t="n">
        <v>3</v>
      </c>
      <c r="P66" t="n">
        <v>2500</v>
      </c>
      <c r="Q66" t="inlineStr">
        <is>
          <t>B/C — famille connue</t>
        </is>
      </c>
      <c r="R66" t="inlineStr">
        <is>
          <t>Valeurs typiques half-track américain, variantes proches.</t>
        </is>
      </c>
    </row>
    <row r="67">
      <c r="A67" s="30" t="inlineStr">
        <is>
          <t>VEH-066</t>
        </is>
      </c>
      <c r="B67" s="30" t="inlineStr">
        <is>
          <t>M3 Scout Car</t>
        </is>
      </c>
      <c r="C67" s="30" t="inlineStr">
        <is>
          <t>Véhicules chenillés et semi-chenillés</t>
        </is>
      </c>
      <c r="D67" s="30" t="n">
        <v>9000</v>
      </c>
      <c r="E67" s="30" t="n">
        <v>6</v>
      </c>
      <c r="F67" s="30" t="n">
        <v>2.2</v>
      </c>
      <c r="G67" s="30" t="n">
        <v>2.5</v>
      </c>
      <c r="H67" s="30" t="n">
        <v>6.5</v>
      </c>
      <c r="I67" s="30" t="n">
        <v>140</v>
      </c>
      <c r="J67" s="30" t="inlineStr">
        <is>
          <t>Essence ou diesel selon variante</t>
        </is>
      </c>
      <c r="K67" s="30" t="n">
        <v>230</v>
      </c>
      <c r="L67" s="30" t="n">
        <v>55</v>
      </c>
      <c r="M67" s="30" t="n">
        <v>65</v>
      </c>
      <c r="N67" s="30" t="n">
        <v>300</v>
      </c>
      <c r="O67" s="30" t="n">
        <v>3</v>
      </c>
      <c r="P67" s="30" t="n">
        <v>1800</v>
      </c>
      <c r="Q67" s="30" t="inlineStr">
        <is>
          <t>C/D — estimation par catégorie</t>
        </is>
      </c>
      <c r="R67" s="30" t="inlineStr">
        <is>
          <t>Archétype halftrack; estimation arrondie, marge indicative ±10–20 % ou davantage pour prototypes.</t>
        </is>
      </c>
    </row>
    <row r="68">
      <c r="A68" s="30" t="inlineStr">
        <is>
          <t>VEH-067</t>
        </is>
      </c>
      <c r="B68" s="30" t="inlineStr">
        <is>
          <t>Universal Carrier</t>
        </is>
      </c>
      <c r="C68" s="30" t="inlineStr">
        <is>
          <t>Véhicules chenillés et semi-chenillés</t>
        </is>
      </c>
      <c r="D68" s="30" t="n">
        <v>9000</v>
      </c>
      <c r="E68" s="30" t="n">
        <v>6</v>
      </c>
      <c r="F68" s="30" t="n">
        <v>2.2</v>
      </c>
      <c r="G68" s="30" t="n">
        <v>2.5</v>
      </c>
      <c r="H68" s="30" t="n">
        <v>6.5</v>
      </c>
      <c r="I68" s="30" t="n">
        <v>140</v>
      </c>
      <c r="J68" s="30" t="inlineStr">
        <is>
          <t>Essence ou diesel selon variante</t>
        </is>
      </c>
      <c r="K68" s="30" t="n">
        <v>230</v>
      </c>
      <c r="L68" s="30" t="n">
        <v>55</v>
      </c>
      <c r="M68" s="30" t="n">
        <v>65</v>
      </c>
      <c r="N68" s="30" t="n">
        <v>300</v>
      </c>
      <c r="O68" s="30" t="n">
        <v>3</v>
      </c>
      <c r="P68" s="30" t="n">
        <v>1800</v>
      </c>
      <c r="Q68" s="30" t="inlineStr">
        <is>
          <t>C/D — estimation par catégorie</t>
        </is>
      </c>
      <c r="R68" s="30" t="inlineStr">
        <is>
          <t>Archétype halftrack; estimation arrondie, marge indicative ±10–20 % ou davantage pour prototypes.</t>
        </is>
      </c>
    </row>
    <row r="69">
      <c r="A69" s="30" t="inlineStr">
        <is>
          <t>VEH-068</t>
        </is>
      </c>
      <c r="B69" s="30" t="inlineStr">
        <is>
          <t>Sd.Kfz. 251</t>
        </is>
      </c>
      <c r="C69" s="30" t="inlineStr">
        <is>
          <t>Véhicules chenillés et semi-chenillés</t>
        </is>
      </c>
      <c r="D69" s="30" t="n">
        <v>9000</v>
      </c>
      <c r="E69" s="30" t="n">
        <v>6</v>
      </c>
      <c r="F69" s="30" t="n">
        <v>2.2</v>
      </c>
      <c r="G69" s="30" t="n">
        <v>2.5</v>
      </c>
      <c r="H69" s="30" t="n">
        <v>6.5</v>
      </c>
      <c r="I69" s="30" t="n">
        <v>140</v>
      </c>
      <c r="J69" s="30" t="inlineStr">
        <is>
          <t>Essence ou diesel selon variante</t>
        </is>
      </c>
      <c r="K69" s="30" t="n">
        <v>230</v>
      </c>
      <c r="L69" s="30" t="n">
        <v>55</v>
      </c>
      <c r="M69" s="30" t="n">
        <v>65</v>
      </c>
      <c r="N69" s="30" t="n">
        <v>300</v>
      </c>
      <c r="O69" s="30" t="n">
        <v>3</v>
      </c>
      <c r="P69" s="30" t="n">
        <v>1800</v>
      </c>
      <c r="Q69" s="30" t="inlineStr">
        <is>
          <t>C/D — estimation par catégorie</t>
        </is>
      </c>
      <c r="R69" s="30" t="inlineStr">
        <is>
          <t>Archétype halftrack; estimation arrondie, marge indicative ±10–20 % ou davantage pour prototypes.</t>
        </is>
      </c>
    </row>
    <row r="70">
      <c r="A70" s="30" t="inlineStr">
        <is>
          <t>VEH-069</t>
        </is>
      </c>
      <c r="B70" s="30" t="inlineStr">
        <is>
          <t>Sd.Kfz. 250</t>
        </is>
      </c>
      <c r="C70" s="30" t="inlineStr">
        <is>
          <t>Véhicules chenillés et semi-chenillés</t>
        </is>
      </c>
      <c r="D70" s="30" t="n">
        <v>9000</v>
      </c>
      <c r="E70" s="30" t="n">
        <v>6</v>
      </c>
      <c r="F70" s="30" t="n">
        <v>2.2</v>
      </c>
      <c r="G70" s="30" t="n">
        <v>2.5</v>
      </c>
      <c r="H70" s="30" t="n">
        <v>6.5</v>
      </c>
      <c r="I70" s="30" t="n">
        <v>140</v>
      </c>
      <c r="J70" s="30" t="inlineStr">
        <is>
          <t>Essence ou diesel selon variante</t>
        </is>
      </c>
      <c r="K70" s="30" t="n">
        <v>230</v>
      </c>
      <c r="L70" s="30" t="n">
        <v>55</v>
      </c>
      <c r="M70" s="30" t="n">
        <v>65</v>
      </c>
      <c r="N70" s="30" t="n">
        <v>300</v>
      </c>
      <c r="O70" s="30" t="n">
        <v>3</v>
      </c>
      <c r="P70" s="30" t="n">
        <v>1800</v>
      </c>
      <c r="Q70" s="30" t="inlineStr">
        <is>
          <t>C/D — estimation par catégorie</t>
        </is>
      </c>
      <c r="R70" s="30" t="inlineStr">
        <is>
          <t>Archétype halftrack; estimation arrondie, marge indicative ±10–20 % ou davantage pour prototypes.</t>
        </is>
      </c>
    </row>
    <row r="71">
      <c r="A71" s="30" t="inlineStr">
        <is>
          <t>VEH-070</t>
        </is>
      </c>
      <c r="B71" s="30" t="inlineStr">
        <is>
          <t>Sd.Kfz. 7</t>
        </is>
      </c>
      <c r="C71" s="30" t="inlineStr">
        <is>
          <t>Véhicules chenillés et semi-chenillés</t>
        </is>
      </c>
      <c r="D71" s="30" t="n">
        <v>9000</v>
      </c>
      <c r="E71" s="30" t="n">
        <v>6</v>
      </c>
      <c r="F71" s="30" t="n">
        <v>2.2</v>
      </c>
      <c r="G71" s="30" t="n">
        <v>2.5</v>
      </c>
      <c r="H71" s="30" t="n">
        <v>6.5</v>
      </c>
      <c r="I71" s="30" t="n">
        <v>140</v>
      </c>
      <c r="J71" s="30" t="inlineStr">
        <is>
          <t>Essence ou diesel selon variante</t>
        </is>
      </c>
      <c r="K71" s="30" t="n">
        <v>230</v>
      </c>
      <c r="L71" s="30" t="n">
        <v>55</v>
      </c>
      <c r="M71" s="30" t="n">
        <v>65</v>
      </c>
      <c r="N71" s="30" t="n">
        <v>300</v>
      </c>
      <c r="O71" s="30" t="n">
        <v>3</v>
      </c>
      <c r="P71" s="30" t="n">
        <v>1800</v>
      </c>
      <c r="Q71" s="30" t="inlineStr">
        <is>
          <t>C/D — estimation par catégorie</t>
        </is>
      </c>
      <c r="R71" s="30" t="inlineStr">
        <is>
          <t>Archétype halftrack; estimation arrondie, marge indicative ±10–20 % ou davantage pour prototypes.</t>
        </is>
      </c>
    </row>
    <row r="72">
      <c r="A72" s="30" t="inlineStr">
        <is>
          <t>VEH-071</t>
        </is>
      </c>
      <c r="B72" s="30" t="inlineStr">
        <is>
          <t>Kettenkrad HK 101</t>
        </is>
      </c>
      <c r="C72" s="30" t="inlineStr">
        <is>
          <t>Véhicules chenillés et semi-chenillés</t>
        </is>
      </c>
      <c r="D72" s="30" t="n">
        <v>9000</v>
      </c>
      <c r="E72" s="30" t="n">
        <v>6</v>
      </c>
      <c r="F72" s="30" t="n">
        <v>2.2</v>
      </c>
      <c r="G72" s="30" t="n">
        <v>2.5</v>
      </c>
      <c r="H72" s="30" t="n">
        <v>6.5</v>
      </c>
      <c r="I72" s="30" t="n">
        <v>140</v>
      </c>
      <c r="J72" s="30" t="inlineStr">
        <is>
          <t>Essence ou diesel selon variante</t>
        </is>
      </c>
      <c r="K72" s="30" t="n">
        <v>230</v>
      </c>
      <c r="L72" s="30" t="n">
        <v>55</v>
      </c>
      <c r="M72" s="30" t="n">
        <v>65</v>
      </c>
      <c r="N72" s="30" t="n">
        <v>300</v>
      </c>
      <c r="O72" s="30" t="n">
        <v>3</v>
      </c>
      <c r="P72" s="30" t="n">
        <v>1800</v>
      </c>
      <c r="Q72" s="30" t="inlineStr">
        <is>
          <t>C/D — estimation par catégorie</t>
        </is>
      </c>
      <c r="R72" s="30" t="inlineStr">
        <is>
          <t>Archétype halftrack; estimation arrondie, marge indicative ±10–20 % ou davantage pour prototypes.</t>
        </is>
      </c>
    </row>
    <row r="73">
      <c r="A73" s="30" t="inlineStr">
        <is>
          <t>VEH-072</t>
        </is>
      </c>
      <c r="B73" s="30" t="inlineStr">
        <is>
          <t>Renault UE Chenillette</t>
        </is>
      </c>
      <c r="C73" s="30" t="inlineStr">
        <is>
          <t>Véhicules chenillés et semi-chenillés</t>
        </is>
      </c>
      <c r="D73" s="30" t="n">
        <v>9000</v>
      </c>
      <c r="E73" s="30" t="n">
        <v>6</v>
      </c>
      <c r="F73" s="30" t="n">
        <v>2.2</v>
      </c>
      <c r="G73" s="30" t="n">
        <v>2.5</v>
      </c>
      <c r="H73" s="30" t="n">
        <v>6.5</v>
      </c>
      <c r="I73" s="30" t="n">
        <v>140</v>
      </c>
      <c r="J73" s="30" t="inlineStr">
        <is>
          <t>Essence ou diesel selon variante</t>
        </is>
      </c>
      <c r="K73" s="30" t="n">
        <v>230</v>
      </c>
      <c r="L73" s="30" t="n">
        <v>55</v>
      </c>
      <c r="M73" s="30" t="n">
        <v>65</v>
      </c>
      <c r="N73" s="30" t="n">
        <v>300</v>
      </c>
      <c r="O73" s="30" t="n">
        <v>3</v>
      </c>
      <c r="P73" s="30" t="n">
        <v>1800</v>
      </c>
      <c r="Q73" s="30" t="inlineStr">
        <is>
          <t>C/D — estimation par catégorie</t>
        </is>
      </c>
      <c r="R73" s="30" t="inlineStr">
        <is>
          <t>Archétype halftrack; estimation arrondie, marge indicative ±10–20 % ou davantage pour prototypes.</t>
        </is>
      </c>
    </row>
    <row r="74">
      <c r="A74" s="30" t="inlineStr">
        <is>
          <t>VEH-073</t>
        </is>
      </c>
      <c r="B74" s="30" t="inlineStr">
        <is>
          <t>Loyd Carrier</t>
        </is>
      </c>
      <c r="C74" s="30" t="inlineStr">
        <is>
          <t>Véhicules chenillés et semi-chenillés</t>
        </is>
      </c>
      <c r="D74" s="30" t="n">
        <v>9000</v>
      </c>
      <c r="E74" s="30" t="n">
        <v>6</v>
      </c>
      <c r="F74" s="30" t="n">
        <v>2.2</v>
      </c>
      <c r="G74" s="30" t="n">
        <v>2.5</v>
      </c>
      <c r="H74" s="30" t="n">
        <v>6.5</v>
      </c>
      <c r="I74" s="30" t="n">
        <v>140</v>
      </c>
      <c r="J74" s="30" t="inlineStr">
        <is>
          <t>Essence ou diesel selon variante</t>
        </is>
      </c>
      <c r="K74" s="30" t="n">
        <v>230</v>
      </c>
      <c r="L74" s="30" t="n">
        <v>55</v>
      </c>
      <c r="M74" s="30" t="n">
        <v>65</v>
      </c>
      <c r="N74" s="30" t="n">
        <v>300</v>
      </c>
      <c r="O74" s="30" t="n">
        <v>3</v>
      </c>
      <c r="P74" s="30" t="n">
        <v>1800</v>
      </c>
      <c r="Q74" s="30" t="inlineStr">
        <is>
          <t>C/D — estimation par catégorie</t>
        </is>
      </c>
      <c r="R74" s="30" t="inlineStr">
        <is>
          <t>Archétype halftrack; estimation arrondie, marge indicative ±10–20 % ou davantage pour prototypes.</t>
        </is>
      </c>
    </row>
    <row r="75">
      <c r="A75" t="inlineStr">
        <is>
          <t>VEH-074</t>
        </is>
      </c>
      <c r="B75" t="inlineStr">
        <is>
          <t>M8 Greyhound</t>
        </is>
      </c>
      <c r="C75" t="inlineStr">
        <is>
          <t>Automitrailleuses et reconnaissance</t>
        </is>
      </c>
      <c r="D75" t="n">
        <v>7900</v>
      </c>
      <c r="E75" t="n">
        <v>5</v>
      </c>
      <c r="F75" t="n">
        <v>2.5</v>
      </c>
      <c r="G75" t="n">
        <v>2.6</v>
      </c>
      <c r="H75" t="n">
        <v>5.2</v>
      </c>
      <c r="I75" t="n">
        <v>110</v>
      </c>
      <c r="J75" t="inlineStr">
        <is>
          <t>Essence</t>
        </is>
      </c>
      <c r="K75" t="n">
        <v>212</v>
      </c>
      <c r="L75" t="n">
        <v>40</v>
      </c>
      <c r="M75" t="n">
        <v>90</v>
      </c>
      <c r="N75" t="n">
        <v>560</v>
      </c>
      <c r="O75" t="n">
        <v>4</v>
      </c>
      <c r="P75" t="n">
        <v>500</v>
      </c>
      <c r="Q75" t="inlineStr">
        <is>
          <t>B — modèle courant</t>
        </is>
      </c>
      <c r="R75" t="inlineStr">
        <is>
          <t>Valeurs arrondies d'un modèle connu; les variantes peuvent diverger.</t>
        </is>
      </c>
    </row>
    <row r="76">
      <c r="A76" s="30" t="inlineStr">
        <is>
          <t>VEH-075</t>
        </is>
      </c>
      <c r="B76" s="30" t="inlineStr">
        <is>
          <t>M20 Armored Utility Car</t>
        </is>
      </c>
      <c r="C76" s="30" t="inlineStr">
        <is>
          <t>Automitrailleuses et reconnaissance</t>
        </is>
      </c>
      <c r="D76" s="30" t="n">
        <v>7000</v>
      </c>
      <c r="E76" s="30" t="n">
        <v>5</v>
      </c>
      <c r="F76" s="30" t="n">
        <v>2.1</v>
      </c>
      <c r="G76" s="30" t="n">
        <v>2.3</v>
      </c>
      <c r="H76" s="30" t="n">
        <v>5</v>
      </c>
      <c r="I76" s="30" t="n">
        <v>100</v>
      </c>
      <c r="J76" s="30" t="inlineStr">
        <is>
          <t>Essence</t>
        </is>
      </c>
      <c r="K76" s="30" t="n">
        <v>120</v>
      </c>
      <c r="L76" s="30" t="n">
        <v>35</v>
      </c>
      <c r="M76" s="30" t="n">
        <v>80</v>
      </c>
      <c r="N76" s="30" t="n">
        <v>350</v>
      </c>
      <c r="O76" s="30" t="n">
        <v>4</v>
      </c>
      <c r="P76" s="30" t="n">
        <v>500</v>
      </c>
      <c r="Q76" s="30" t="inlineStr">
        <is>
          <t>C/D — estimation par catégorie</t>
        </is>
      </c>
      <c r="R76" s="30" t="inlineStr">
        <is>
          <t>Archétype armored_car; estimation arrondie, marge indicative ±10–20 % ou davantage pour prototypes.</t>
        </is>
      </c>
    </row>
    <row r="77">
      <c r="A77" s="30" t="inlineStr">
        <is>
          <t>VEH-076</t>
        </is>
      </c>
      <c r="B77" s="30" t="inlineStr">
        <is>
          <t>Daimler Dingo</t>
        </is>
      </c>
      <c r="C77" s="30" t="inlineStr">
        <is>
          <t>Automitrailleuses et reconnaissance</t>
        </is>
      </c>
      <c r="D77" s="30" t="n">
        <v>7000</v>
      </c>
      <c r="E77" s="30" t="n">
        <v>5</v>
      </c>
      <c r="F77" s="30" t="n">
        <v>2.1</v>
      </c>
      <c r="G77" s="30" t="n">
        <v>2.3</v>
      </c>
      <c r="H77" s="30" t="n">
        <v>5</v>
      </c>
      <c r="I77" s="30" t="n">
        <v>100</v>
      </c>
      <c r="J77" s="30" t="inlineStr">
        <is>
          <t>Essence</t>
        </is>
      </c>
      <c r="K77" s="30" t="n">
        <v>120</v>
      </c>
      <c r="L77" s="30" t="n">
        <v>35</v>
      </c>
      <c r="M77" s="30" t="n">
        <v>80</v>
      </c>
      <c r="N77" s="30" t="n">
        <v>350</v>
      </c>
      <c r="O77" s="30" t="n">
        <v>4</v>
      </c>
      <c r="P77" s="30" t="n">
        <v>500</v>
      </c>
      <c r="Q77" s="30" t="inlineStr">
        <is>
          <t>C/D — estimation par catégorie</t>
        </is>
      </c>
      <c r="R77" s="30" t="inlineStr">
        <is>
          <t>Archétype armored_car; estimation arrondie, marge indicative ±10–20 % ou davantage pour prototypes.</t>
        </is>
      </c>
    </row>
    <row r="78">
      <c r="A78" s="30" t="inlineStr">
        <is>
          <t>VEH-077</t>
        </is>
      </c>
      <c r="B78" s="30" t="inlineStr">
        <is>
          <t>Humber Armoured Car</t>
        </is>
      </c>
      <c r="C78" s="30" t="inlineStr">
        <is>
          <t>Automitrailleuses et reconnaissance</t>
        </is>
      </c>
      <c r="D78" s="30" t="n">
        <v>7000</v>
      </c>
      <c r="E78" s="30" t="n">
        <v>5</v>
      </c>
      <c r="F78" s="30" t="n">
        <v>2.1</v>
      </c>
      <c r="G78" s="30" t="n">
        <v>2.3</v>
      </c>
      <c r="H78" s="30" t="n">
        <v>5</v>
      </c>
      <c r="I78" s="30" t="n">
        <v>100</v>
      </c>
      <c r="J78" s="30" t="inlineStr">
        <is>
          <t>Essence</t>
        </is>
      </c>
      <c r="K78" s="30" t="n">
        <v>120</v>
      </c>
      <c r="L78" s="30" t="n">
        <v>35</v>
      </c>
      <c r="M78" s="30" t="n">
        <v>80</v>
      </c>
      <c r="N78" s="30" t="n">
        <v>350</v>
      </c>
      <c r="O78" s="30" t="n">
        <v>4</v>
      </c>
      <c r="P78" s="30" t="n">
        <v>500</v>
      </c>
      <c r="Q78" s="30" t="inlineStr">
        <is>
          <t>C/D — estimation par catégorie</t>
        </is>
      </c>
      <c r="R78" s="30" t="inlineStr">
        <is>
          <t>Archétype armored_car; estimation arrondie, marge indicative ±10–20 % ou davantage pour prototypes.</t>
        </is>
      </c>
    </row>
    <row r="79">
      <c r="A79" s="30" t="inlineStr">
        <is>
          <t>VEH-078</t>
        </is>
      </c>
      <c r="B79" s="30" t="inlineStr">
        <is>
          <t>AEC Armoured Car</t>
        </is>
      </c>
      <c r="C79" s="30" t="inlineStr">
        <is>
          <t>Automitrailleuses et reconnaissance</t>
        </is>
      </c>
      <c r="D79" s="30" t="n">
        <v>7000</v>
      </c>
      <c r="E79" s="30" t="n">
        <v>5</v>
      </c>
      <c r="F79" s="30" t="n">
        <v>2.1</v>
      </c>
      <c r="G79" s="30" t="n">
        <v>2.3</v>
      </c>
      <c r="H79" s="30" t="n">
        <v>5</v>
      </c>
      <c r="I79" s="30" t="n">
        <v>100</v>
      </c>
      <c r="J79" s="30" t="inlineStr">
        <is>
          <t>Essence</t>
        </is>
      </c>
      <c r="K79" s="30" t="n">
        <v>120</v>
      </c>
      <c r="L79" s="30" t="n">
        <v>35</v>
      </c>
      <c r="M79" s="30" t="n">
        <v>80</v>
      </c>
      <c r="N79" s="30" t="n">
        <v>350</v>
      </c>
      <c r="O79" s="30" t="n">
        <v>4</v>
      </c>
      <c r="P79" s="30" t="n">
        <v>500</v>
      </c>
      <c r="Q79" s="30" t="inlineStr">
        <is>
          <t>C/D — estimation par catégorie</t>
        </is>
      </c>
      <c r="R79" s="30" t="inlineStr">
        <is>
          <t>Archétype armored_car; estimation arrondie, marge indicative ±10–20 % ou davantage pour prototypes.</t>
        </is>
      </c>
    </row>
    <row r="80">
      <c r="A80" s="30" t="inlineStr">
        <is>
          <t>VEH-079</t>
        </is>
      </c>
      <c r="B80" s="30" t="inlineStr">
        <is>
          <t>Panhard AMD 178</t>
        </is>
      </c>
      <c r="C80" s="30" t="inlineStr">
        <is>
          <t>Automitrailleuses et reconnaissance</t>
        </is>
      </c>
      <c r="D80" s="30" t="n">
        <v>7000</v>
      </c>
      <c r="E80" s="30" t="n">
        <v>5</v>
      </c>
      <c r="F80" s="30" t="n">
        <v>2.1</v>
      </c>
      <c r="G80" s="30" t="n">
        <v>2.3</v>
      </c>
      <c r="H80" s="30" t="n">
        <v>5</v>
      </c>
      <c r="I80" s="30" t="n">
        <v>100</v>
      </c>
      <c r="J80" s="30" t="inlineStr">
        <is>
          <t>Essence</t>
        </is>
      </c>
      <c r="K80" s="30" t="n">
        <v>120</v>
      </c>
      <c r="L80" s="30" t="n">
        <v>35</v>
      </c>
      <c r="M80" s="30" t="n">
        <v>80</v>
      </c>
      <c r="N80" s="30" t="n">
        <v>350</v>
      </c>
      <c r="O80" s="30" t="n">
        <v>4</v>
      </c>
      <c r="P80" s="30" t="n">
        <v>500</v>
      </c>
      <c r="Q80" s="30" t="inlineStr">
        <is>
          <t>C/D — estimation par catégorie</t>
        </is>
      </c>
      <c r="R80" s="30" t="inlineStr">
        <is>
          <t>Archétype armored_car; estimation arrondie, marge indicative ±10–20 % ou davantage pour prototypes.</t>
        </is>
      </c>
    </row>
    <row r="81">
      <c r="A81" s="30" t="inlineStr">
        <is>
          <t>VEH-080</t>
        </is>
      </c>
      <c r="B81" s="30" t="inlineStr">
        <is>
          <t>Laffly 80 AM</t>
        </is>
      </c>
      <c r="C81" s="30" t="inlineStr">
        <is>
          <t>Automitrailleuses et reconnaissance</t>
        </is>
      </c>
      <c r="D81" s="30" t="n">
        <v>7000</v>
      </c>
      <c r="E81" s="30" t="n">
        <v>5</v>
      </c>
      <c r="F81" s="30" t="n">
        <v>2.1</v>
      </c>
      <c r="G81" s="30" t="n">
        <v>2.3</v>
      </c>
      <c r="H81" s="30" t="n">
        <v>5</v>
      </c>
      <c r="I81" s="30" t="n">
        <v>100</v>
      </c>
      <c r="J81" s="30" t="inlineStr">
        <is>
          <t>Essence</t>
        </is>
      </c>
      <c r="K81" s="30" t="n">
        <v>120</v>
      </c>
      <c r="L81" s="30" t="n">
        <v>35</v>
      </c>
      <c r="M81" s="30" t="n">
        <v>80</v>
      </c>
      <c r="N81" s="30" t="n">
        <v>350</v>
      </c>
      <c r="O81" s="30" t="n">
        <v>4</v>
      </c>
      <c r="P81" s="30" t="n">
        <v>500</v>
      </c>
      <c r="Q81" s="30" t="inlineStr">
        <is>
          <t>C/D — estimation par catégorie</t>
        </is>
      </c>
      <c r="R81" s="30" t="inlineStr">
        <is>
          <t>Archétype armored_car; estimation arrondie, marge indicative ±10–20 % ou davantage pour prototypes.</t>
        </is>
      </c>
    </row>
    <row r="82">
      <c r="A82" s="30" t="inlineStr">
        <is>
          <t>VEH-081</t>
        </is>
      </c>
      <c r="B82" s="30" t="inlineStr">
        <is>
          <t>Sd.Kfz. 222</t>
        </is>
      </c>
      <c r="C82" s="30" t="inlineStr">
        <is>
          <t>Automitrailleuses et reconnaissance</t>
        </is>
      </c>
      <c r="D82" s="30" t="n">
        <v>7000</v>
      </c>
      <c r="E82" s="30" t="n">
        <v>5</v>
      </c>
      <c r="F82" s="30" t="n">
        <v>2.1</v>
      </c>
      <c r="G82" s="30" t="n">
        <v>2.3</v>
      </c>
      <c r="H82" s="30" t="n">
        <v>5</v>
      </c>
      <c r="I82" s="30" t="n">
        <v>100</v>
      </c>
      <c r="J82" s="30" t="inlineStr">
        <is>
          <t>Essence</t>
        </is>
      </c>
      <c r="K82" s="30" t="n">
        <v>120</v>
      </c>
      <c r="L82" s="30" t="n">
        <v>35</v>
      </c>
      <c r="M82" s="30" t="n">
        <v>80</v>
      </c>
      <c r="N82" s="30" t="n">
        <v>350</v>
      </c>
      <c r="O82" s="30" t="n">
        <v>4</v>
      </c>
      <c r="P82" s="30" t="n">
        <v>500</v>
      </c>
      <c r="Q82" s="30" t="inlineStr">
        <is>
          <t>C/D — estimation par catégorie</t>
        </is>
      </c>
      <c r="R82" s="30" t="inlineStr">
        <is>
          <t>Archétype armored_car; estimation arrondie, marge indicative ±10–20 % ou davantage pour prototypes.</t>
        </is>
      </c>
    </row>
    <row r="83">
      <c r="A83" s="30" t="inlineStr">
        <is>
          <t>VEH-082</t>
        </is>
      </c>
      <c r="B83" s="30" t="inlineStr">
        <is>
          <t>AB 41</t>
        </is>
      </c>
      <c r="C83" s="30" t="inlineStr">
        <is>
          <t>Automitrailleuses et reconnaissance</t>
        </is>
      </c>
      <c r="D83" s="30" t="n">
        <v>7000</v>
      </c>
      <c r="E83" s="30" t="n">
        <v>5</v>
      </c>
      <c r="F83" s="30" t="n">
        <v>2.1</v>
      </c>
      <c r="G83" s="30" t="n">
        <v>2.3</v>
      </c>
      <c r="H83" s="30" t="n">
        <v>5</v>
      </c>
      <c r="I83" s="30" t="n">
        <v>100</v>
      </c>
      <c r="J83" s="30" t="inlineStr">
        <is>
          <t>Essence</t>
        </is>
      </c>
      <c r="K83" s="30" t="n">
        <v>120</v>
      </c>
      <c r="L83" s="30" t="n">
        <v>35</v>
      </c>
      <c r="M83" s="30" t="n">
        <v>80</v>
      </c>
      <c r="N83" s="30" t="n">
        <v>350</v>
      </c>
      <c r="O83" s="30" t="n">
        <v>4</v>
      </c>
      <c r="P83" s="30" t="n">
        <v>500</v>
      </c>
      <c r="Q83" s="30" t="inlineStr">
        <is>
          <t>C/D — estimation par catégorie</t>
        </is>
      </c>
      <c r="R83" s="30" t="inlineStr">
        <is>
          <t>Archétype armored_car; estimation arrondie, marge indicative ±10–20 % ou davantage pour prototypes.</t>
        </is>
      </c>
    </row>
    <row r="84">
      <c r="A84" s="30" t="inlineStr">
        <is>
          <t>VEH-083</t>
        </is>
      </c>
      <c r="B84" s="30" t="inlineStr">
        <is>
          <t>BA-64</t>
        </is>
      </c>
      <c r="C84" s="30" t="inlineStr">
        <is>
          <t>Automitrailleuses et reconnaissance</t>
        </is>
      </c>
      <c r="D84" s="30" t="n">
        <v>7000</v>
      </c>
      <c r="E84" s="30" t="n">
        <v>5</v>
      </c>
      <c r="F84" s="30" t="n">
        <v>2.1</v>
      </c>
      <c r="G84" s="30" t="n">
        <v>2.3</v>
      </c>
      <c r="H84" s="30" t="n">
        <v>5</v>
      </c>
      <c r="I84" s="30" t="n">
        <v>100</v>
      </c>
      <c r="J84" s="30" t="inlineStr">
        <is>
          <t>Essence</t>
        </is>
      </c>
      <c r="K84" s="30" t="n">
        <v>120</v>
      </c>
      <c r="L84" s="30" t="n">
        <v>35</v>
      </c>
      <c r="M84" s="30" t="n">
        <v>80</v>
      </c>
      <c r="N84" s="30" t="n">
        <v>350</v>
      </c>
      <c r="O84" s="30" t="n">
        <v>4</v>
      </c>
      <c r="P84" s="30" t="n">
        <v>500</v>
      </c>
      <c r="Q84" s="30" t="inlineStr">
        <is>
          <t>C/D — estimation par catégorie</t>
        </is>
      </c>
      <c r="R84" s="30" t="inlineStr">
        <is>
          <t>Archétype armored_car; estimation arrondie, marge indicative ±10–20 % ou davantage pour prototypes.</t>
        </is>
      </c>
    </row>
    <row r="85">
      <c r="A85" t="inlineStr">
        <is>
          <t>VEH-084</t>
        </is>
      </c>
      <c r="B85" t="inlineStr">
        <is>
          <t>M3 Stuart</t>
        </is>
      </c>
      <c r="C85" t="inlineStr">
        <is>
          <t>Chars légers</t>
        </is>
      </c>
      <c r="D85" t="n">
        <v>12500</v>
      </c>
      <c r="E85" t="n">
        <v>4.5</v>
      </c>
      <c r="F85" t="n">
        <v>2.2</v>
      </c>
      <c r="G85" t="n">
        <v>2.5</v>
      </c>
      <c r="H85" t="n">
        <v>7</v>
      </c>
      <c r="I85" t="n">
        <v>250</v>
      </c>
      <c r="J85" t="inlineStr">
        <is>
          <t>Essence</t>
        </is>
      </c>
      <c r="K85" t="n">
        <v>340</v>
      </c>
      <c r="L85" t="n">
        <v>100</v>
      </c>
      <c r="M85" t="n">
        <v>58</v>
      </c>
      <c r="N85" t="n">
        <v>120</v>
      </c>
      <c r="O85" t="n">
        <v>4</v>
      </c>
      <c r="P85" t="n">
        <v>0</v>
      </c>
      <c r="Q85" t="inlineStr">
        <is>
          <t>B — modèle courant</t>
        </is>
      </c>
      <c r="R85" t="inlineStr">
        <is>
          <t>Valeurs arrondies d'un modèle connu; les variantes peuvent diverger.</t>
        </is>
      </c>
    </row>
    <row r="86">
      <c r="A86" t="inlineStr">
        <is>
          <t>VEH-085</t>
        </is>
      </c>
      <c r="B86" t="inlineStr">
        <is>
          <t>M5 Stuart</t>
        </is>
      </c>
      <c r="C86" t="inlineStr">
        <is>
          <t>Chars légers</t>
        </is>
      </c>
      <c r="D86" t="n">
        <v>15000</v>
      </c>
      <c r="E86" t="n">
        <v>4.5</v>
      </c>
      <c r="F86" t="n">
        <v>2.2</v>
      </c>
      <c r="G86" t="n">
        <v>2.6</v>
      </c>
      <c r="H86" t="n">
        <v>11.4</v>
      </c>
      <c r="I86" t="n">
        <v>220</v>
      </c>
      <c r="J86" t="inlineStr">
        <is>
          <t>Essence</t>
        </is>
      </c>
      <c r="K86" t="n">
        <v>340</v>
      </c>
      <c r="L86" t="n">
        <v>100</v>
      </c>
      <c r="M86" t="n">
        <v>58</v>
      </c>
      <c r="N86" t="n">
        <v>160</v>
      </c>
      <c r="O86" t="n">
        <v>4</v>
      </c>
      <c r="P86" t="n">
        <v>0</v>
      </c>
      <c r="Q86" t="inlineStr">
        <is>
          <t>B — modèle courant</t>
        </is>
      </c>
      <c r="R86" t="inlineStr">
        <is>
          <t>Valeurs arrondies d'un modèle connu; les variantes peuvent diverger.</t>
        </is>
      </c>
    </row>
    <row r="87">
      <c r="A87" t="inlineStr">
        <is>
          <t>VEH-086</t>
        </is>
      </c>
      <c r="B87" t="inlineStr">
        <is>
          <t>M24 Chaffee</t>
        </is>
      </c>
      <c r="C87" t="inlineStr">
        <is>
          <t>Chars légers</t>
        </is>
      </c>
      <c r="D87" t="n">
        <v>18500</v>
      </c>
      <c r="E87" t="n">
        <v>5</v>
      </c>
      <c r="F87" t="n">
        <v>3</v>
      </c>
      <c r="G87" t="n">
        <v>2.8</v>
      </c>
      <c r="H87" t="n">
        <v>14.8</v>
      </c>
      <c r="I87" t="n">
        <v>220</v>
      </c>
      <c r="J87" t="inlineStr">
        <is>
          <t>Essence</t>
        </is>
      </c>
      <c r="K87" t="n">
        <v>640</v>
      </c>
      <c r="L87" t="n">
        <v>120</v>
      </c>
      <c r="M87" t="n">
        <v>56</v>
      </c>
      <c r="N87" t="n">
        <v>160</v>
      </c>
      <c r="O87" t="n">
        <v>5</v>
      </c>
      <c r="P87" t="n">
        <v>0</v>
      </c>
      <c r="Q87" t="inlineStr">
        <is>
          <t>B — modèle courant</t>
        </is>
      </c>
      <c r="R87" t="inlineStr">
        <is>
          <t>Valeurs arrondies d'un modèle connu; les variantes peuvent diverger.</t>
        </is>
      </c>
    </row>
    <row r="88">
      <c r="A88" s="30" t="inlineStr">
        <is>
          <t>VEH-087</t>
        </is>
      </c>
      <c r="B88" s="30" t="inlineStr">
        <is>
          <t>T-26</t>
        </is>
      </c>
      <c r="C88" s="30" t="inlineStr">
        <is>
          <t>Chars légers</t>
        </is>
      </c>
      <c r="D88" s="30" t="n">
        <v>9000</v>
      </c>
      <c r="E88" s="30" t="n">
        <v>4.5</v>
      </c>
      <c r="F88" s="30" t="n">
        <v>2.2</v>
      </c>
      <c r="G88" s="30" t="n">
        <v>2.2</v>
      </c>
      <c r="H88" s="30" t="n">
        <v>7</v>
      </c>
      <c r="I88" s="30" t="n">
        <v>150</v>
      </c>
      <c r="J88" s="30" t="inlineStr">
        <is>
          <t>Essence</t>
        </is>
      </c>
      <c r="K88" s="30" t="n">
        <v>300</v>
      </c>
      <c r="L88" s="30" t="n">
        <v>100</v>
      </c>
      <c r="M88" s="30" t="n">
        <v>40</v>
      </c>
      <c r="N88" s="30" t="n">
        <v>180</v>
      </c>
      <c r="O88" s="30" t="n">
        <v>3</v>
      </c>
      <c r="P88" s="30" t="n">
        <v>0</v>
      </c>
      <c r="Q88" s="30" t="inlineStr">
        <is>
          <t>C/D — estimation par catégorie</t>
        </is>
      </c>
      <c r="R88" s="30" t="inlineStr">
        <is>
          <t>Archétype light_tank; estimation arrondie, marge indicative ±10–20 % ou davantage pour prototypes.</t>
        </is>
      </c>
    </row>
    <row r="89">
      <c r="A89" s="30" t="inlineStr">
        <is>
          <t>VEH-088</t>
        </is>
      </c>
      <c r="B89" s="30" t="inlineStr">
        <is>
          <t>BT-5 / BT-7</t>
        </is>
      </c>
      <c r="C89" s="30" t="inlineStr">
        <is>
          <t>Chars légers</t>
        </is>
      </c>
      <c r="D89" s="30" t="n">
        <v>9000</v>
      </c>
      <c r="E89" s="30" t="n">
        <v>4.5</v>
      </c>
      <c r="F89" s="30" t="n">
        <v>2.2</v>
      </c>
      <c r="G89" s="30" t="n">
        <v>2.2</v>
      </c>
      <c r="H89" s="30" t="n">
        <v>7</v>
      </c>
      <c r="I89" s="30" t="n">
        <v>150</v>
      </c>
      <c r="J89" s="30" t="inlineStr">
        <is>
          <t>Diesel probable</t>
        </is>
      </c>
      <c r="K89" s="30" t="n">
        <v>300</v>
      </c>
      <c r="L89" s="30" t="n">
        <v>100</v>
      </c>
      <c r="M89" s="30" t="n">
        <v>40</v>
      </c>
      <c r="N89" s="30" t="n">
        <v>180</v>
      </c>
      <c r="O89" s="30" t="n">
        <v>3</v>
      </c>
      <c r="P89" s="30" t="n">
        <v>0</v>
      </c>
      <c r="Q89" s="30" t="inlineStr">
        <is>
          <t>C/D — estimation par catégorie</t>
        </is>
      </c>
      <c r="R89" s="30" t="inlineStr">
        <is>
          <t>Archétype light_tank; estimation arrondie, marge indicative ±10–20 % ou davantage pour prototypes.</t>
        </is>
      </c>
    </row>
    <row r="90">
      <c r="A90" s="30" t="inlineStr">
        <is>
          <t>VEH-089</t>
        </is>
      </c>
      <c r="B90" s="30" t="inlineStr">
        <is>
          <t>T-60</t>
        </is>
      </c>
      <c r="C90" s="30" t="inlineStr">
        <is>
          <t>Chars légers</t>
        </is>
      </c>
      <c r="D90" s="30" t="n">
        <v>9000</v>
      </c>
      <c r="E90" s="30" t="n">
        <v>4.5</v>
      </c>
      <c r="F90" s="30" t="n">
        <v>2.2</v>
      </c>
      <c r="G90" s="30" t="n">
        <v>2.2</v>
      </c>
      <c r="H90" s="30" t="n">
        <v>7</v>
      </c>
      <c r="I90" s="30" t="n">
        <v>150</v>
      </c>
      <c r="J90" s="30" t="inlineStr">
        <is>
          <t>Diesel probable</t>
        </is>
      </c>
      <c r="K90" s="30" t="n">
        <v>300</v>
      </c>
      <c r="L90" s="30" t="n">
        <v>100</v>
      </c>
      <c r="M90" s="30" t="n">
        <v>40</v>
      </c>
      <c r="N90" s="30" t="n">
        <v>180</v>
      </c>
      <c r="O90" s="30" t="n">
        <v>3</v>
      </c>
      <c r="P90" s="30" t="n">
        <v>0</v>
      </c>
      <c r="Q90" s="30" t="inlineStr">
        <is>
          <t>C/D — estimation par catégorie</t>
        </is>
      </c>
      <c r="R90" s="30" t="inlineStr">
        <is>
          <t>Archétype light_tank; estimation arrondie, marge indicative ±10–20 % ou davantage pour prototypes.</t>
        </is>
      </c>
    </row>
    <row r="91">
      <c r="A91" s="30" t="inlineStr">
        <is>
          <t>VEH-090</t>
        </is>
      </c>
      <c r="B91" s="30" t="inlineStr">
        <is>
          <t>T-70</t>
        </is>
      </c>
      <c r="C91" s="30" t="inlineStr">
        <is>
          <t>Chars légers</t>
        </is>
      </c>
      <c r="D91" s="30" t="n">
        <v>9000</v>
      </c>
      <c r="E91" s="30" t="n">
        <v>4.5</v>
      </c>
      <c r="F91" s="30" t="n">
        <v>2.2</v>
      </c>
      <c r="G91" s="30" t="n">
        <v>2.2</v>
      </c>
      <c r="H91" s="30" t="n">
        <v>7</v>
      </c>
      <c r="I91" s="30" t="n">
        <v>150</v>
      </c>
      <c r="J91" s="30" t="inlineStr">
        <is>
          <t>Diesel probable</t>
        </is>
      </c>
      <c r="K91" s="30" t="n">
        <v>300</v>
      </c>
      <c r="L91" s="30" t="n">
        <v>100</v>
      </c>
      <c r="M91" s="30" t="n">
        <v>40</v>
      </c>
      <c r="N91" s="30" t="n">
        <v>180</v>
      </c>
      <c r="O91" s="30" t="n">
        <v>3</v>
      </c>
      <c r="P91" s="30" t="n">
        <v>0</v>
      </c>
      <c r="Q91" s="30" t="inlineStr">
        <is>
          <t>C/D — estimation par catégorie</t>
        </is>
      </c>
      <c r="R91" s="30" t="inlineStr">
        <is>
          <t>Archétype light_tank; estimation arrondie, marge indicative ±10–20 % ou davantage pour prototypes.</t>
        </is>
      </c>
    </row>
    <row r="92">
      <c r="A92" s="30" t="inlineStr">
        <is>
          <t>VEH-091</t>
        </is>
      </c>
      <c r="B92" s="30" t="inlineStr">
        <is>
          <t>Panzer II</t>
        </is>
      </c>
      <c r="C92" s="30" t="inlineStr">
        <is>
          <t>Chars légers</t>
        </is>
      </c>
      <c r="D92" s="30" t="n">
        <v>9000</v>
      </c>
      <c r="E92" s="30" t="n">
        <v>4.5</v>
      </c>
      <c r="F92" s="30" t="n">
        <v>2.2</v>
      </c>
      <c r="G92" s="30" t="n">
        <v>2.2</v>
      </c>
      <c r="H92" s="30" t="n">
        <v>7</v>
      </c>
      <c r="I92" s="30" t="n">
        <v>150</v>
      </c>
      <c r="J92" s="30" t="inlineStr">
        <is>
          <t>Essence probable</t>
        </is>
      </c>
      <c r="K92" s="30" t="n">
        <v>300</v>
      </c>
      <c r="L92" s="30" t="n">
        <v>100</v>
      </c>
      <c r="M92" s="30" t="n">
        <v>40</v>
      </c>
      <c r="N92" s="30" t="n">
        <v>180</v>
      </c>
      <c r="O92" s="30" t="n">
        <v>3</v>
      </c>
      <c r="P92" s="30" t="n">
        <v>0</v>
      </c>
      <c r="Q92" s="30" t="inlineStr">
        <is>
          <t>C/D — estimation par catégorie</t>
        </is>
      </c>
      <c r="R92" s="30" t="inlineStr">
        <is>
          <t>Archétype light_tank; estimation arrondie, marge indicative ±10–20 % ou davantage pour prototypes.</t>
        </is>
      </c>
    </row>
    <row r="93">
      <c r="A93" s="30" t="inlineStr">
        <is>
          <t>VEH-092</t>
        </is>
      </c>
      <c r="B93" s="30" t="inlineStr">
        <is>
          <t>Panzer 38(t)</t>
        </is>
      </c>
      <c r="C93" s="30" t="inlineStr">
        <is>
          <t>Chars légers</t>
        </is>
      </c>
      <c r="D93" s="30" t="n">
        <v>9000</v>
      </c>
      <c r="E93" s="30" t="n">
        <v>4.5</v>
      </c>
      <c r="F93" s="30" t="n">
        <v>2.2</v>
      </c>
      <c r="G93" s="30" t="n">
        <v>2.2</v>
      </c>
      <c r="H93" s="30" t="n">
        <v>7</v>
      </c>
      <c r="I93" s="30" t="n">
        <v>150</v>
      </c>
      <c r="J93" s="30" t="inlineStr">
        <is>
          <t>Essence probable</t>
        </is>
      </c>
      <c r="K93" s="30" t="n">
        <v>300</v>
      </c>
      <c r="L93" s="30" t="n">
        <v>100</v>
      </c>
      <c r="M93" s="30" t="n">
        <v>40</v>
      </c>
      <c r="N93" s="30" t="n">
        <v>180</v>
      </c>
      <c r="O93" s="30" t="n">
        <v>3</v>
      </c>
      <c r="P93" s="30" t="n">
        <v>0</v>
      </c>
      <c r="Q93" s="30" t="inlineStr">
        <is>
          <t>C/D — estimation par catégorie</t>
        </is>
      </c>
      <c r="R93" s="30" t="inlineStr">
        <is>
          <t>Archétype light_tank; estimation arrondie, marge indicative ±10–20 % ou davantage pour prototypes.</t>
        </is>
      </c>
    </row>
    <row r="94">
      <c r="A94" s="30" t="inlineStr">
        <is>
          <t>VEH-093</t>
        </is>
      </c>
      <c r="B94" s="30" t="inlineStr">
        <is>
          <t>Renault R35</t>
        </is>
      </c>
      <c r="C94" s="30" t="inlineStr">
        <is>
          <t>Chars légers</t>
        </is>
      </c>
      <c r="D94" s="30" t="n">
        <v>9000</v>
      </c>
      <c r="E94" s="30" t="n">
        <v>4.5</v>
      </c>
      <c r="F94" s="30" t="n">
        <v>2.2</v>
      </c>
      <c r="G94" s="30" t="n">
        <v>2.2</v>
      </c>
      <c r="H94" s="30" t="n">
        <v>7</v>
      </c>
      <c r="I94" s="30" t="n">
        <v>150</v>
      </c>
      <c r="J94" s="30" t="inlineStr">
        <is>
          <t>Essence</t>
        </is>
      </c>
      <c r="K94" s="30" t="n">
        <v>300</v>
      </c>
      <c r="L94" s="30" t="n">
        <v>100</v>
      </c>
      <c r="M94" s="30" t="n">
        <v>40</v>
      </c>
      <c r="N94" s="30" t="n">
        <v>180</v>
      </c>
      <c r="O94" s="30" t="n">
        <v>3</v>
      </c>
      <c r="P94" s="30" t="n">
        <v>0</v>
      </c>
      <c r="Q94" s="30" t="inlineStr">
        <is>
          <t>C/D — estimation par catégorie</t>
        </is>
      </c>
      <c r="R94" s="30" t="inlineStr">
        <is>
          <t>Archétype light_tank; estimation arrondie, marge indicative ±10–20 % ou davantage pour prototypes.</t>
        </is>
      </c>
    </row>
    <row r="95">
      <c r="A95" s="30" t="inlineStr">
        <is>
          <t>VEH-094</t>
        </is>
      </c>
      <c r="B95" s="30" t="inlineStr">
        <is>
          <t>Hotchkiss H35 / H39</t>
        </is>
      </c>
      <c r="C95" s="30" t="inlineStr">
        <is>
          <t>Chars légers</t>
        </is>
      </c>
      <c r="D95" s="30" t="n">
        <v>9000</v>
      </c>
      <c r="E95" s="30" t="n">
        <v>4.5</v>
      </c>
      <c r="F95" s="30" t="n">
        <v>2.2</v>
      </c>
      <c r="G95" s="30" t="n">
        <v>2.2</v>
      </c>
      <c r="H95" s="30" t="n">
        <v>7</v>
      </c>
      <c r="I95" s="30" t="n">
        <v>150</v>
      </c>
      <c r="J95" s="30" t="inlineStr">
        <is>
          <t>Essence</t>
        </is>
      </c>
      <c r="K95" s="30" t="n">
        <v>300</v>
      </c>
      <c r="L95" s="30" t="n">
        <v>100</v>
      </c>
      <c r="M95" s="30" t="n">
        <v>40</v>
      </c>
      <c r="N95" s="30" t="n">
        <v>180</v>
      </c>
      <c r="O95" s="30" t="n">
        <v>3</v>
      </c>
      <c r="P95" s="30" t="n">
        <v>0</v>
      </c>
      <c r="Q95" s="30" t="inlineStr">
        <is>
          <t>C/D — estimation par catégorie</t>
        </is>
      </c>
      <c r="R95" s="30" t="inlineStr">
        <is>
          <t>Archétype light_tank; estimation arrondie, marge indicative ±10–20 % ou davantage pour prototypes.</t>
        </is>
      </c>
    </row>
    <row r="96">
      <c r="A96" s="30" t="inlineStr">
        <is>
          <t>VEH-095</t>
        </is>
      </c>
      <c r="B96" s="30" t="inlineStr">
        <is>
          <t>Fiat L3/35</t>
        </is>
      </c>
      <c r="C96" s="30" t="inlineStr">
        <is>
          <t>Chars légers</t>
        </is>
      </c>
      <c r="D96" s="30" t="n">
        <v>9000</v>
      </c>
      <c r="E96" s="30" t="n">
        <v>4.5</v>
      </c>
      <c r="F96" s="30" t="n">
        <v>2.2</v>
      </c>
      <c r="G96" s="30" t="n">
        <v>2.2</v>
      </c>
      <c r="H96" s="30" t="n">
        <v>7</v>
      </c>
      <c r="I96" s="30" t="n">
        <v>150</v>
      </c>
      <c r="J96" s="30" t="inlineStr">
        <is>
          <t>Essence</t>
        </is>
      </c>
      <c r="K96" s="30" t="n">
        <v>300</v>
      </c>
      <c r="L96" s="30" t="n">
        <v>100</v>
      </c>
      <c r="M96" s="30" t="n">
        <v>40</v>
      </c>
      <c r="N96" s="30" t="n">
        <v>180</v>
      </c>
      <c r="O96" s="30" t="n">
        <v>3</v>
      </c>
      <c r="P96" s="30" t="n">
        <v>0</v>
      </c>
      <c r="Q96" s="30" t="inlineStr">
        <is>
          <t>C/D — estimation par catégorie</t>
        </is>
      </c>
      <c r="R96" s="30" t="inlineStr">
        <is>
          <t>Archétype light_tank; estimation arrondie, marge indicative ±10–20 % ou davantage pour prototypes.</t>
        </is>
      </c>
    </row>
    <row r="97">
      <c r="A97" t="inlineStr">
        <is>
          <t>VEH-096</t>
        </is>
      </c>
      <c r="B97" t="inlineStr">
        <is>
          <t>M4 Sherman</t>
        </is>
      </c>
      <c r="C97" t="inlineStr">
        <is>
          <t>Chars moyens</t>
        </is>
      </c>
      <c r="D97" t="n">
        <v>33000</v>
      </c>
      <c r="E97" t="n">
        <v>5.9</v>
      </c>
      <c r="F97" t="n">
        <v>2.6</v>
      </c>
      <c r="G97" t="n">
        <v>2.7</v>
      </c>
      <c r="H97" t="n">
        <v>13</v>
      </c>
      <c r="I97" t="n">
        <v>400</v>
      </c>
      <c r="J97" t="inlineStr">
        <is>
          <t>Essence</t>
        </is>
      </c>
      <c r="K97" t="n">
        <v>660</v>
      </c>
      <c r="L97" t="n">
        <v>200</v>
      </c>
      <c r="M97" t="n">
        <v>40</v>
      </c>
      <c r="N97" t="n">
        <v>190</v>
      </c>
      <c r="O97" t="n">
        <v>5</v>
      </c>
      <c r="P97" t="n">
        <v>0</v>
      </c>
      <c r="Q97" t="inlineStr">
        <is>
          <t>B — modèle courant</t>
        </is>
      </c>
      <c r="R97" t="inlineStr">
        <is>
          <t>Valeurs arrondies d'un modèle connu; les variantes peuvent diverger.</t>
        </is>
      </c>
    </row>
    <row r="98">
      <c r="A98" s="30" t="inlineStr">
        <is>
          <t>VEH-097</t>
        </is>
      </c>
      <c r="B98" s="30" t="inlineStr">
        <is>
          <t>M3 Lee / Grant</t>
        </is>
      </c>
      <c r="C98" s="30" t="inlineStr">
        <is>
          <t>Chars moyens</t>
        </is>
      </c>
      <c r="D98" s="30" t="n">
        <v>28000</v>
      </c>
      <c r="E98" s="30" t="n">
        <v>6</v>
      </c>
      <c r="F98" s="30" t="n">
        <v>2.8</v>
      </c>
      <c r="G98" s="30" t="n">
        <v>2.7</v>
      </c>
      <c r="H98" s="30" t="n">
        <v>12</v>
      </c>
      <c r="I98" s="30" t="n">
        <v>400</v>
      </c>
      <c r="J98" s="30" t="inlineStr">
        <is>
          <t>Essence</t>
        </is>
      </c>
      <c r="K98" s="30" t="n">
        <v>500</v>
      </c>
      <c r="L98" s="30" t="n">
        <v>180</v>
      </c>
      <c r="M98" s="30" t="n">
        <v>40</v>
      </c>
      <c r="N98" s="30" t="n">
        <v>200</v>
      </c>
      <c r="O98" s="30" t="n">
        <v>5</v>
      </c>
      <c r="P98" s="30" t="n">
        <v>0</v>
      </c>
      <c r="Q98" s="30" t="inlineStr">
        <is>
          <t>C/D — estimation par catégorie</t>
        </is>
      </c>
      <c r="R98" s="30" t="inlineStr">
        <is>
          <t>Archétype medium_tank; estimation arrondie, marge indicative ±10–20 % ou davantage pour prototypes.</t>
        </is>
      </c>
    </row>
    <row r="99">
      <c r="A99" t="inlineStr">
        <is>
          <t>VEH-098</t>
        </is>
      </c>
      <c r="B99" t="inlineStr">
        <is>
          <t>T-34</t>
        </is>
      </c>
      <c r="C99" t="inlineStr">
        <is>
          <t>Chars moyens</t>
        </is>
      </c>
      <c r="D99" t="n">
        <v>27000</v>
      </c>
      <c r="E99" t="n">
        <v>6.7</v>
      </c>
      <c r="F99" t="n">
        <v>3</v>
      </c>
      <c r="G99" t="n">
        <v>2.45</v>
      </c>
      <c r="H99" t="n">
        <v>38.9</v>
      </c>
      <c r="I99" t="n">
        <v>500</v>
      </c>
      <c r="J99" t="inlineStr">
        <is>
          <t>Diesel probable</t>
        </is>
      </c>
      <c r="K99" t="n">
        <v>540</v>
      </c>
      <c r="L99" t="n">
        <v>160</v>
      </c>
      <c r="M99" t="n">
        <v>53</v>
      </c>
      <c r="N99" t="n">
        <v>300</v>
      </c>
      <c r="O99" t="n">
        <v>4</v>
      </c>
      <c r="P99" t="n">
        <v>0</v>
      </c>
      <c r="Q99" t="inlineStr">
        <is>
          <t>B — modèle courant</t>
        </is>
      </c>
      <c r="R99" t="inlineStr">
        <is>
          <t>Valeurs arrondies d'un modèle connu; les variantes peuvent diverger.</t>
        </is>
      </c>
    </row>
    <row r="100">
      <c r="A100" t="inlineStr">
        <is>
          <t>VEH-099</t>
        </is>
      </c>
      <c r="B100" t="inlineStr">
        <is>
          <t>Panzer III</t>
        </is>
      </c>
      <c r="C100" t="inlineStr">
        <is>
          <t>Chars moyens</t>
        </is>
      </c>
      <c r="D100" t="n">
        <v>23000</v>
      </c>
      <c r="E100" t="n">
        <v>6.4</v>
      </c>
      <c r="F100" t="n">
        <v>2.9</v>
      </c>
      <c r="G100" t="n">
        <v>2.5</v>
      </c>
      <c r="H100" t="n">
        <v>10.8</v>
      </c>
      <c r="I100" t="n">
        <v>300</v>
      </c>
      <c r="J100" t="inlineStr">
        <is>
          <t>Essence probable</t>
        </is>
      </c>
      <c r="K100" t="n">
        <v>320</v>
      </c>
      <c r="L100" t="n">
        <v>200</v>
      </c>
      <c r="M100" t="n">
        <v>40</v>
      </c>
      <c r="N100" t="n">
        <v>165</v>
      </c>
      <c r="O100" t="n">
        <v>5</v>
      </c>
      <c r="P100" t="n">
        <v>0</v>
      </c>
      <c r="Q100" t="inlineStr">
        <is>
          <t>B — modèle courant</t>
        </is>
      </c>
      <c r="R100" t="inlineStr">
        <is>
          <t>Valeurs arrondies d'un modèle connu; les variantes peuvent diverger.</t>
        </is>
      </c>
    </row>
    <row r="101">
      <c r="A101" t="inlineStr">
        <is>
          <t>VEH-100</t>
        </is>
      </c>
      <c r="B101" t="inlineStr">
        <is>
          <t>Panzer IV</t>
        </is>
      </c>
      <c r="C101" t="inlineStr">
        <is>
          <t>Chars moyens</t>
        </is>
      </c>
      <c r="D101" t="n">
        <v>25000</v>
      </c>
      <c r="E101" t="n">
        <v>5.9</v>
      </c>
      <c r="F101" t="n">
        <v>2.9</v>
      </c>
      <c r="G101" t="n">
        <v>2.7</v>
      </c>
      <c r="H101" t="n">
        <v>11.9</v>
      </c>
      <c r="I101" t="n">
        <v>300</v>
      </c>
      <c r="J101" t="inlineStr">
        <is>
          <t>Essence probable</t>
        </is>
      </c>
      <c r="K101" t="n">
        <v>470</v>
      </c>
      <c r="L101" t="n">
        <v>220</v>
      </c>
      <c r="M101" t="n">
        <v>38</v>
      </c>
      <c r="N101" t="n">
        <v>200</v>
      </c>
      <c r="O101" t="n">
        <v>5</v>
      </c>
      <c r="P101" t="n">
        <v>0</v>
      </c>
      <c r="Q101" t="inlineStr">
        <is>
          <t>B — modèle courant</t>
        </is>
      </c>
      <c r="R101" t="inlineStr">
        <is>
          <t>Valeurs arrondies d'un modèle connu; les variantes peuvent diverger.</t>
        </is>
      </c>
    </row>
    <row r="102">
      <c r="A102" t="inlineStr">
        <is>
          <t>VEH-101</t>
        </is>
      </c>
      <c r="B102" t="inlineStr">
        <is>
          <t>Panther (Panzer V)</t>
        </is>
      </c>
      <c r="C102" t="inlineStr">
        <is>
          <t>Chars moyens</t>
        </is>
      </c>
      <c r="D102" t="n">
        <v>45000</v>
      </c>
      <c r="E102" t="n">
        <v>8.9</v>
      </c>
      <c r="F102" t="n">
        <v>3.4</v>
      </c>
      <c r="G102" t="n">
        <v>2.9</v>
      </c>
      <c r="H102" t="n">
        <v>23</v>
      </c>
      <c r="I102" t="n">
        <v>700</v>
      </c>
      <c r="J102" t="inlineStr">
        <is>
          <t>Essence probable</t>
        </is>
      </c>
      <c r="K102" t="n">
        <v>730</v>
      </c>
      <c r="L102" t="n">
        <v>250</v>
      </c>
      <c r="M102" t="n">
        <v>46</v>
      </c>
      <c r="N102" t="n">
        <v>200</v>
      </c>
      <c r="O102" t="n">
        <v>5</v>
      </c>
      <c r="P102" t="n">
        <v>0</v>
      </c>
      <c r="Q102" t="inlineStr">
        <is>
          <t>B — modèle courant</t>
        </is>
      </c>
      <c r="R102" t="inlineStr">
        <is>
          <t>Valeurs arrondies d'un modèle connu; les variantes peuvent diverger.</t>
        </is>
      </c>
    </row>
    <row r="103">
      <c r="A103" t="inlineStr">
        <is>
          <t>VEH-102</t>
        </is>
      </c>
      <c r="B103" t="inlineStr">
        <is>
          <t>Cromwell</t>
        </is>
      </c>
      <c r="C103" t="inlineStr">
        <is>
          <t>Chars moyens</t>
        </is>
      </c>
      <c r="D103" t="n">
        <v>28000</v>
      </c>
      <c r="E103" t="n">
        <v>6.4</v>
      </c>
      <c r="F103" t="n">
        <v>2.9</v>
      </c>
      <c r="G103" t="n">
        <v>2.5</v>
      </c>
      <c r="H103" t="n">
        <v>27</v>
      </c>
      <c r="I103" t="n">
        <v>600</v>
      </c>
      <c r="J103" t="inlineStr">
        <is>
          <t>Essence</t>
        </is>
      </c>
      <c r="K103" t="n">
        <v>527</v>
      </c>
      <c r="L103" t="n">
        <v>200</v>
      </c>
      <c r="M103" t="n">
        <v>64</v>
      </c>
      <c r="N103" t="n">
        <v>280</v>
      </c>
      <c r="O103" t="n">
        <v>5</v>
      </c>
      <c r="P103" t="n">
        <v>0</v>
      </c>
      <c r="Q103" t="inlineStr">
        <is>
          <t>B — modèle courant</t>
        </is>
      </c>
      <c r="R103" t="inlineStr">
        <is>
          <t>Valeurs arrondies d'un modèle connu; les variantes peuvent diverger.</t>
        </is>
      </c>
    </row>
    <row r="104">
      <c r="A104" s="30" t="inlineStr">
        <is>
          <t>VEH-103</t>
        </is>
      </c>
      <c r="B104" s="30" t="inlineStr">
        <is>
          <t>Crusader</t>
        </is>
      </c>
      <c r="C104" s="30" t="inlineStr">
        <is>
          <t>Chars moyens</t>
        </is>
      </c>
      <c r="D104" s="30" t="n">
        <v>28000</v>
      </c>
      <c r="E104" s="30" t="n">
        <v>6</v>
      </c>
      <c r="F104" s="30" t="n">
        <v>2.8</v>
      </c>
      <c r="G104" s="30" t="n">
        <v>2.7</v>
      </c>
      <c r="H104" s="30" t="n">
        <v>12</v>
      </c>
      <c r="I104" s="30" t="n">
        <v>400</v>
      </c>
      <c r="J104" s="30" t="inlineStr">
        <is>
          <t>Essence</t>
        </is>
      </c>
      <c r="K104" s="30" t="n">
        <v>500</v>
      </c>
      <c r="L104" s="30" t="n">
        <v>180</v>
      </c>
      <c r="M104" s="30" t="n">
        <v>40</v>
      </c>
      <c r="N104" s="30" t="n">
        <v>200</v>
      </c>
      <c r="O104" s="30" t="n">
        <v>5</v>
      </c>
      <c r="P104" s="30" t="n">
        <v>0</v>
      </c>
      <c r="Q104" s="30" t="inlineStr">
        <is>
          <t>C/D — estimation par catégorie</t>
        </is>
      </c>
      <c r="R104" s="30" t="inlineStr">
        <is>
          <t>Archétype medium_tank; estimation arrondie, marge indicative ±10–20 % ou davantage pour prototypes.</t>
        </is>
      </c>
    </row>
    <row r="105">
      <c r="A105" s="30" t="inlineStr">
        <is>
          <t>VEH-104</t>
        </is>
      </c>
      <c r="B105" s="30" t="inlineStr">
        <is>
          <t>Valentine</t>
        </is>
      </c>
      <c r="C105" s="30" t="inlineStr">
        <is>
          <t>Chars moyens</t>
        </is>
      </c>
      <c r="D105" s="30" t="n">
        <v>28000</v>
      </c>
      <c r="E105" s="30" t="n">
        <v>6</v>
      </c>
      <c r="F105" s="30" t="n">
        <v>2.8</v>
      </c>
      <c r="G105" s="30" t="n">
        <v>2.7</v>
      </c>
      <c r="H105" s="30" t="n">
        <v>12</v>
      </c>
      <c r="I105" s="30" t="n">
        <v>400</v>
      </c>
      <c r="J105" s="30" t="inlineStr">
        <is>
          <t>Essence</t>
        </is>
      </c>
      <c r="K105" s="30" t="n">
        <v>500</v>
      </c>
      <c r="L105" s="30" t="n">
        <v>180</v>
      </c>
      <c r="M105" s="30" t="n">
        <v>40</v>
      </c>
      <c r="N105" s="30" t="n">
        <v>200</v>
      </c>
      <c r="O105" s="30" t="n">
        <v>5</v>
      </c>
      <c r="P105" s="30" t="n">
        <v>0</v>
      </c>
      <c r="Q105" s="30" t="inlineStr">
        <is>
          <t>C/D — estimation par catégorie</t>
        </is>
      </c>
      <c r="R105" s="30" t="inlineStr">
        <is>
          <t>Archétype medium_tank; estimation arrondie, marge indicative ±10–20 % ou davantage pour prototypes.</t>
        </is>
      </c>
    </row>
    <row r="106">
      <c r="A106" s="30" t="inlineStr">
        <is>
          <t>VEH-105</t>
        </is>
      </c>
      <c r="B106" s="30" t="inlineStr">
        <is>
          <t>Matilda II</t>
        </is>
      </c>
      <c r="C106" s="30" t="inlineStr">
        <is>
          <t>Chars moyens</t>
        </is>
      </c>
      <c r="D106" s="30" t="n">
        <v>28000</v>
      </c>
      <c r="E106" s="30" t="n">
        <v>6</v>
      </c>
      <c r="F106" s="30" t="n">
        <v>2.8</v>
      </c>
      <c r="G106" s="30" t="n">
        <v>2.7</v>
      </c>
      <c r="H106" s="30" t="n">
        <v>12</v>
      </c>
      <c r="I106" s="30" t="n">
        <v>400</v>
      </c>
      <c r="J106" s="30" t="inlineStr">
        <is>
          <t>Essence</t>
        </is>
      </c>
      <c r="K106" s="30" t="n">
        <v>500</v>
      </c>
      <c r="L106" s="30" t="n">
        <v>180</v>
      </c>
      <c r="M106" s="30" t="n">
        <v>40</v>
      </c>
      <c r="N106" s="30" t="n">
        <v>200</v>
      </c>
      <c r="O106" s="30" t="n">
        <v>5</v>
      </c>
      <c r="P106" s="30" t="n">
        <v>0</v>
      </c>
      <c r="Q106" s="30" t="inlineStr">
        <is>
          <t>C/D — estimation par catégorie</t>
        </is>
      </c>
      <c r="R106" s="30" t="inlineStr">
        <is>
          <t>Archétype medium_tank; estimation arrondie, marge indicative ±10–20 % ou davantage pour prototypes.</t>
        </is>
      </c>
    </row>
    <row r="107">
      <c r="A107" s="30" t="inlineStr">
        <is>
          <t>VEH-106</t>
        </is>
      </c>
      <c r="B107" s="30" t="inlineStr">
        <is>
          <t>SOMUA S35</t>
        </is>
      </c>
      <c r="C107" s="30" t="inlineStr">
        <is>
          <t>Chars moyens</t>
        </is>
      </c>
      <c r="D107" s="30" t="n">
        <v>28000</v>
      </c>
      <c r="E107" s="30" t="n">
        <v>6</v>
      </c>
      <c r="F107" s="30" t="n">
        <v>2.8</v>
      </c>
      <c r="G107" s="30" t="n">
        <v>2.7</v>
      </c>
      <c r="H107" s="30" t="n">
        <v>12</v>
      </c>
      <c r="I107" s="30" t="n">
        <v>400</v>
      </c>
      <c r="J107" s="30" t="inlineStr">
        <is>
          <t>Essence</t>
        </is>
      </c>
      <c r="K107" s="30" t="n">
        <v>500</v>
      </c>
      <c r="L107" s="30" t="n">
        <v>180</v>
      </c>
      <c r="M107" s="30" t="n">
        <v>40</v>
      </c>
      <c r="N107" s="30" t="n">
        <v>200</v>
      </c>
      <c r="O107" s="30" t="n">
        <v>5</v>
      </c>
      <c r="P107" s="30" t="n">
        <v>0</v>
      </c>
      <c r="Q107" s="30" t="inlineStr">
        <is>
          <t>C/D — estimation par catégorie</t>
        </is>
      </c>
      <c r="R107" s="30" t="inlineStr">
        <is>
          <t>Archétype medium_tank; estimation arrondie, marge indicative ±10–20 % ou davantage pour prototypes.</t>
        </is>
      </c>
    </row>
    <row r="108">
      <c r="A108" s="30" t="inlineStr">
        <is>
          <t>VEH-107</t>
        </is>
      </c>
      <c r="B108" s="30" t="inlineStr">
        <is>
          <t>Char B1 bis</t>
        </is>
      </c>
      <c r="C108" s="30" t="inlineStr">
        <is>
          <t>Chars moyens</t>
        </is>
      </c>
      <c r="D108" s="30" t="n">
        <v>28000</v>
      </c>
      <c r="E108" s="30" t="n">
        <v>6</v>
      </c>
      <c r="F108" s="30" t="n">
        <v>2.8</v>
      </c>
      <c r="G108" s="30" t="n">
        <v>2.7</v>
      </c>
      <c r="H108" s="30" t="n">
        <v>12</v>
      </c>
      <c r="I108" s="30" t="n">
        <v>400</v>
      </c>
      <c r="J108" s="30" t="inlineStr">
        <is>
          <t>Essence</t>
        </is>
      </c>
      <c r="K108" s="30" t="n">
        <v>500</v>
      </c>
      <c r="L108" s="30" t="n">
        <v>180</v>
      </c>
      <c r="M108" s="30" t="n">
        <v>40</v>
      </c>
      <c r="N108" s="30" t="n">
        <v>200</v>
      </c>
      <c r="O108" s="30" t="n">
        <v>5</v>
      </c>
      <c r="P108" s="30" t="n">
        <v>0</v>
      </c>
      <c r="Q108" s="30" t="inlineStr">
        <is>
          <t>C/D — estimation par catégorie</t>
        </is>
      </c>
      <c r="R108" s="30" t="inlineStr">
        <is>
          <t>Archétype medium_tank; estimation arrondie, marge indicative ±10–20 % ou davantage pour prototypes.</t>
        </is>
      </c>
    </row>
    <row r="109">
      <c r="A109" s="30" t="inlineStr">
        <is>
          <t>VEH-108</t>
        </is>
      </c>
      <c r="B109" s="30" t="inlineStr">
        <is>
          <t>M13/40</t>
        </is>
      </c>
      <c r="C109" s="30" t="inlineStr">
        <is>
          <t>Chars moyens</t>
        </is>
      </c>
      <c r="D109" s="30" t="n">
        <v>28000</v>
      </c>
      <c r="E109" s="30" t="n">
        <v>6</v>
      </c>
      <c r="F109" s="30" t="n">
        <v>2.8</v>
      </c>
      <c r="G109" s="30" t="n">
        <v>2.7</v>
      </c>
      <c r="H109" s="30" t="n">
        <v>12</v>
      </c>
      <c r="I109" s="30" t="n">
        <v>400</v>
      </c>
      <c r="J109" s="30" t="inlineStr">
        <is>
          <t>Essence</t>
        </is>
      </c>
      <c r="K109" s="30" t="n">
        <v>500</v>
      </c>
      <c r="L109" s="30" t="n">
        <v>180</v>
      </c>
      <c r="M109" s="30" t="n">
        <v>40</v>
      </c>
      <c r="N109" s="30" t="n">
        <v>200</v>
      </c>
      <c r="O109" s="30" t="n">
        <v>5</v>
      </c>
      <c r="P109" s="30" t="n">
        <v>0</v>
      </c>
      <c r="Q109" s="30" t="inlineStr">
        <is>
          <t>C/D — estimation par catégorie</t>
        </is>
      </c>
      <c r="R109" s="30" t="inlineStr">
        <is>
          <t>Archétype medium_tank; estimation arrondie, marge indicative ±10–20 % ou davantage pour prototypes.</t>
        </is>
      </c>
    </row>
    <row r="110">
      <c r="A110" s="30" t="inlineStr">
        <is>
          <t>VEH-109</t>
        </is>
      </c>
      <c r="B110" s="30" t="inlineStr">
        <is>
          <t>M15/42</t>
        </is>
      </c>
      <c r="C110" s="30" t="inlineStr">
        <is>
          <t>Chars moyens</t>
        </is>
      </c>
      <c r="D110" s="30" t="n">
        <v>28000</v>
      </c>
      <c r="E110" s="30" t="n">
        <v>6</v>
      </c>
      <c r="F110" s="30" t="n">
        <v>2.8</v>
      </c>
      <c r="G110" s="30" t="n">
        <v>2.7</v>
      </c>
      <c r="H110" s="30" t="n">
        <v>12</v>
      </c>
      <c r="I110" s="30" t="n">
        <v>400</v>
      </c>
      <c r="J110" s="30" t="inlineStr">
        <is>
          <t>Essence</t>
        </is>
      </c>
      <c r="K110" s="30" t="n">
        <v>500</v>
      </c>
      <c r="L110" s="30" t="n">
        <v>180</v>
      </c>
      <c r="M110" s="30" t="n">
        <v>40</v>
      </c>
      <c r="N110" s="30" t="n">
        <v>200</v>
      </c>
      <c r="O110" s="30" t="n">
        <v>5</v>
      </c>
      <c r="P110" s="30" t="n">
        <v>0</v>
      </c>
      <c r="Q110" s="30" t="inlineStr">
        <is>
          <t>C/D — estimation par catégorie</t>
        </is>
      </c>
      <c r="R110" s="30" t="inlineStr">
        <is>
          <t>Archétype medium_tank; estimation arrondie, marge indicative ±10–20 % ou davantage pour prototypes.</t>
        </is>
      </c>
    </row>
    <row r="111">
      <c r="A111" s="30" t="inlineStr">
        <is>
          <t>VEH-110</t>
        </is>
      </c>
      <c r="B111" s="30" t="inlineStr">
        <is>
          <t>Type 97 Chi-Ha</t>
        </is>
      </c>
      <c r="C111" s="30" t="inlineStr">
        <is>
          <t>Chars moyens</t>
        </is>
      </c>
      <c r="D111" s="30" t="n">
        <v>28000</v>
      </c>
      <c r="E111" s="30" t="n">
        <v>6</v>
      </c>
      <c r="F111" s="30" t="n">
        <v>2.8</v>
      </c>
      <c r="G111" s="30" t="n">
        <v>2.7</v>
      </c>
      <c r="H111" s="30" t="n">
        <v>12</v>
      </c>
      <c r="I111" s="30" t="n">
        <v>400</v>
      </c>
      <c r="J111" s="30" t="inlineStr">
        <is>
          <t>Essence</t>
        </is>
      </c>
      <c r="K111" s="30" t="n">
        <v>500</v>
      </c>
      <c r="L111" s="30" t="n">
        <v>180</v>
      </c>
      <c r="M111" s="30" t="n">
        <v>40</v>
      </c>
      <c r="N111" s="30" t="n">
        <v>200</v>
      </c>
      <c r="O111" s="30" t="n">
        <v>5</v>
      </c>
      <c r="P111" s="30" t="n">
        <v>0</v>
      </c>
      <c r="Q111" s="30" t="inlineStr">
        <is>
          <t>C/D — estimation par catégorie</t>
        </is>
      </c>
      <c r="R111" s="30" t="inlineStr">
        <is>
          <t>Archétype medium_tank; estimation arrondie, marge indicative ±10–20 % ou davantage pour prototypes.</t>
        </is>
      </c>
    </row>
    <row r="112">
      <c r="A112" t="inlineStr">
        <is>
          <t>VEH-111</t>
        </is>
      </c>
      <c r="B112" t="inlineStr">
        <is>
          <t>Churchill</t>
        </is>
      </c>
      <c r="C112" t="inlineStr">
        <is>
          <t>Chars lourds et chasseurs de chars</t>
        </is>
      </c>
      <c r="D112" t="n">
        <v>39000</v>
      </c>
      <c r="E112" t="n">
        <v>7.4</v>
      </c>
      <c r="F112" t="n">
        <v>3.3</v>
      </c>
      <c r="G112" t="n">
        <v>2.8</v>
      </c>
      <c r="H112" t="n">
        <v>21</v>
      </c>
      <c r="I112" t="n">
        <v>350</v>
      </c>
      <c r="J112" t="inlineStr">
        <is>
          <t>Essence ou diesel selon variante</t>
        </is>
      </c>
      <c r="K112" t="n">
        <v>680</v>
      </c>
      <c r="L112" t="n">
        <v>250</v>
      </c>
      <c r="M112" t="n">
        <v>25</v>
      </c>
      <c r="N112" t="n">
        <v>120</v>
      </c>
      <c r="O112" t="n">
        <v>5</v>
      </c>
      <c r="P112" t="n">
        <v>0</v>
      </c>
      <c r="Q112" t="inlineStr">
        <is>
          <t>B — modèle courant</t>
        </is>
      </c>
      <c r="R112" t="inlineStr">
        <is>
          <t>Valeurs arrondies d'un modèle connu; les variantes peuvent diverger.</t>
        </is>
      </c>
    </row>
    <row r="113">
      <c r="A113" t="inlineStr">
        <is>
          <t>VEH-112</t>
        </is>
      </c>
      <c r="B113" t="inlineStr">
        <is>
          <t>Tiger I</t>
        </is>
      </c>
      <c r="C113" t="inlineStr">
        <is>
          <t>Chars lourds et chasseurs de chars</t>
        </is>
      </c>
      <c r="D113" t="n">
        <v>57000</v>
      </c>
      <c r="E113" t="n">
        <v>8.449999999999999</v>
      </c>
      <c r="F113" t="n">
        <v>3.7</v>
      </c>
      <c r="G113" t="n">
        <v>3</v>
      </c>
      <c r="H113" t="n">
        <v>21.3</v>
      </c>
      <c r="I113" t="n">
        <v>700</v>
      </c>
      <c r="J113" t="inlineStr">
        <is>
          <t>Essence probable</t>
        </is>
      </c>
      <c r="K113" t="n">
        <v>540</v>
      </c>
      <c r="L113" t="n">
        <v>300</v>
      </c>
      <c r="M113" t="n">
        <v>38</v>
      </c>
      <c r="N113" t="n">
        <v>110</v>
      </c>
      <c r="O113" t="n">
        <v>5</v>
      </c>
      <c r="P113" t="n">
        <v>0</v>
      </c>
      <c r="Q113" t="inlineStr">
        <is>
          <t>B — modèle courant</t>
        </is>
      </c>
      <c r="R113" t="inlineStr">
        <is>
          <t>Valeurs arrondies d'un modèle connu; les variantes peuvent diverger.</t>
        </is>
      </c>
    </row>
    <row r="114">
      <c r="A114" t="inlineStr">
        <is>
          <t>VEH-113</t>
        </is>
      </c>
      <c r="B114" t="inlineStr">
        <is>
          <t>Tiger II</t>
        </is>
      </c>
      <c r="C114" t="inlineStr">
        <is>
          <t>Chars lourds et chasseurs de chars</t>
        </is>
      </c>
      <c r="D114" t="n">
        <v>69000</v>
      </c>
      <c r="E114" t="n">
        <v>10.3</v>
      </c>
      <c r="F114" t="n">
        <v>3.75</v>
      </c>
      <c r="G114" t="n">
        <v>3.1</v>
      </c>
      <c r="H114" t="n">
        <v>23</v>
      </c>
      <c r="I114" t="n">
        <v>700</v>
      </c>
      <c r="J114" t="inlineStr">
        <is>
          <t>Essence probable</t>
        </is>
      </c>
      <c r="K114" t="n">
        <v>860</v>
      </c>
      <c r="L114" t="n">
        <v>400</v>
      </c>
      <c r="M114" t="n">
        <v>35</v>
      </c>
      <c r="N114" t="n">
        <v>170</v>
      </c>
      <c r="O114" t="n">
        <v>5</v>
      </c>
      <c r="P114" t="n">
        <v>0</v>
      </c>
      <c r="Q114" t="inlineStr">
        <is>
          <t>B — modèle courant</t>
        </is>
      </c>
      <c r="R114" t="inlineStr">
        <is>
          <t>Valeurs arrondies d'un modèle connu; les variantes peuvent diverger.</t>
        </is>
      </c>
    </row>
    <row r="115">
      <c r="A115" s="30" t="inlineStr">
        <is>
          <t>VEH-114</t>
        </is>
      </c>
      <c r="B115" s="30" t="inlineStr">
        <is>
          <t>Jagdtiger</t>
        </is>
      </c>
      <c r="C115" s="30" t="inlineStr">
        <is>
          <t>Chars lourds et chasseurs de chars</t>
        </is>
      </c>
      <c r="D115" s="30" t="n">
        <v>25000</v>
      </c>
      <c r="E115" s="30" t="n">
        <v>6.5</v>
      </c>
      <c r="F115" s="30" t="n">
        <v>3</v>
      </c>
      <c r="G115" s="30" t="n">
        <v>2.5</v>
      </c>
      <c r="H115" s="30" t="n">
        <v>12</v>
      </c>
      <c r="I115" s="30" t="n">
        <v>400</v>
      </c>
      <c r="J115" s="30" t="inlineStr">
        <is>
          <t>Essence probable</t>
        </is>
      </c>
      <c r="K115" s="30" t="n">
        <v>500</v>
      </c>
      <c r="L115" s="30" t="n">
        <v>190</v>
      </c>
      <c r="M115" s="30" t="n">
        <v>40</v>
      </c>
      <c r="N115" s="30" t="n">
        <v>180</v>
      </c>
      <c r="O115" s="30" t="n">
        <v>4</v>
      </c>
      <c r="P115" s="30" t="n">
        <v>0</v>
      </c>
      <c r="Q115" s="30" t="inlineStr">
        <is>
          <t>C/D — estimation par catégorie</t>
        </is>
      </c>
      <c r="R115" s="30" t="inlineStr">
        <is>
          <t>Archétype td; estimation arrondie, marge indicative ±10–20 % ou davantage pour prototypes.</t>
        </is>
      </c>
    </row>
    <row r="116">
      <c r="A116" t="inlineStr">
        <is>
          <t>VEH-115</t>
        </is>
      </c>
      <c r="B116" t="inlineStr">
        <is>
          <t>Jagdpanther</t>
        </is>
      </c>
      <c r="C116" t="inlineStr">
        <is>
          <t>Chars lourds et chasseurs de chars</t>
        </is>
      </c>
      <c r="D116" t="n">
        <v>45000</v>
      </c>
      <c r="E116" t="n">
        <v>8.9</v>
      </c>
      <c r="F116" t="n">
        <v>3.4</v>
      </c>
      <c r="G116" t="n">
        <v>2.9</v>
      </c>
      <c r="H116" t="n">
        <v>23</v>
      </c>
      <c r="I116" t="n">
        <v>700</v>
      </c>
      <c r="J116" t="inlineStr">
        <is>
          <t>Essence probable</t>
        </is>
      </c>
      <c r="K116" t="n">
        <v>730</v>
      </c>
      <c r="L116" t="n">
        <v>250</v>
      </c>
      <c r="M116" t="n">
        <v>46</v>
      </c>
      <c r="N116" t="n">
        <v>200</v>
      </c>
      <c r="O116" t="n">
        <v>5</v>
      </c>
      <c r="P116" t="n">
        <v>0</v>
      </c>
      <c r="Q116" t="inlineStr">
        <is>
          <t>B/C — famille connue</t>
        </is>
      </c>
      <c r="R116" t="inlineStr">
        <is>
          <t>Valeurs typiques Panther; variantes D/A/G proches mais pas identiques.</t>
        </is>
      </c>
    </row>
    <row r="117">
      <c r="A117" s="30" t="inlineStr">
        <is>
          <t>VEH-116</t>
        </is>
      </c>
      <c r="B117" s="30" t="inlineStr">
        <is>
          <t>StuG III</t>
        </is>
      </c>
      <c r="C117" s="30" t="inlineStr">
        <is>
          <t>Chars lourds et chasseurs de chars</t>
        </is>
      </c>
      <c r="D117" s="30" t="n">
        <v>25000</v>
      </c>
      <c r="E117" s="30" t="n">
        <v>6.5</v>
      </c>
      <c r="F117" s="30" t="n">
        <v>3</v>
      </c>
      <c r="G117" s="30" t="n">
        <v>2.5</v>
      </c>
      <c r="H117" s="30" t="n">
        <v>12</v>
      </c>
      <c r="I117" s="30" t="n">
        <v>400</v>
      </c>
      <c r="J117" s="30" t="inlineStr">
        <is>
          <t>Essence probable</t>
        </is>
      </c>
      <c r="K117" s="30" t="n">
        <v>500</v>
      </c>
      <c r="L117" s="30" t="n">
        <v>190</v>
      </c>
      <c r="M117" s="30" t="n">
        <v>40</v>
      </c>
      <c r="N117" s="30" t="n">
        <v>180</v>
      </c>
      <c r="O117" s="30" t="n">
        <v>4</v>
      </c>
      <c r="P117" s="30" t="n">
        <v>0</v>
      </c>
      <c r="Q117" s="30" t="inlineStr">
        <is>
          <t>C/D — estimation par catégorie</t>
        </is>
      </c>
      <c r="R117" s="30" t="inlineStr">
        <is>
          <t>Archétype td; estimation arrondie, marge indicative ±10–20 % ou davantage pour prototypes.</t>
        </is>
      </c>
    </row>
    <row r="118">
      <c r="A118" s="30" t="inlineStr">
        <is>
          <t>VEH-117</t>
        </is>
      </c>
      <c r="B118" s="30" t="inlineStr">
        <is>
          <t>Jagdpanzer 38(t) Hetzer</t>
        </is>
      </c>
      <c r="C118" s="30" t="inlineStr">
        <is>
          <t>Chars lourds et chasseurs de chars</t>
        </is>
      </c>
      <c r="D118" s="30" t="n">
        <v>25000</v>
      </c>
      <c r="E118" s="30" t="n">
        <v>6.5</v>
      </c>
      <c r="F118" s="30" t="n">
        <v>3</v>
      </c>
      <c r="G118" s="30" t="n">
        <v>2.5</v>
      </c>
      <c r="H118" s="30" t="n">
        <v>12</v>
      </c>
      <c r="I118" s="30" t="n">
        <v>400</v>
      </c>
      <c r="J118" s="30" t="inlineStr">
        <is>
          <t>Essence probable</t>
        </is>
      </c>
      <c r="K118" s="30" t="n">
        <v>500</v>
      </c>
      <c r="L118" s="30" t="n">
        <v>190</v>
      </c>
      <c r="M118" s="30" t="n">
        <v>40</v>
      </c>
      <c r="N118" s="30" t="n">
        <v>180</v>
      </c>
      <c r="O118" s="30" t="n">
        <v>4</v>
      </c>
      <c r="P118" s="30" t="n">
        <v>0</v>
      </c>
      <c r="Q118" s="30" t="inlineStr">
        <is>
          <t>C/D — estimation par catégorie</t>
        </is>
      </c>
      <c r="R118" s="30" t="inlineStr">
        <is>
          <t>Archétype td; estimation arrondie, marge indicative ±10–20 % ou davantage pour prototypes.</t>
        </is>
      </c>
    </row>
    <row r="119">
      <c r="A119" s="30" t="inlineStr">
        <is>
          <t>VEH-118</t>
        </is>
      </c>
      <c r="B119" s="30" t="inlineStr">
        <is>
          <t>M10 Wolverine</t>
        </is>
      </c>
      <c r="C119" s="30" t="inlineStr">
        <is>
          <t>Chars lourds et chasseurs de chars</t>
        </is>
      </c>
      <c r="D119" s="30" t="n">
        <v>25000</v>
      </c>
      <c r="E119" s="30" t="n">
        <v>6.5</v>
      </c>
      <c r="F119" s="30" t="n">
        <v>3</v>
      </c>
      <c r="G119" s="30" t="n">
        <v>2.5</v>
      </c>
      <c r="H119" s="30" t="n">
        <v>12</v>
      </c>
      <c r="I119" s="30" t="n">
        <v>400</v>
      </c>
      <c r="J119" s="30" t="inlineStr">
        <is>
          <t>Essence ou diesel selon variante</t>
        </is>
      </c>
      <c r="K119" s="30" t="n">
        <v>500</v>
      </c>
      <c r="L119" s="30" t="n">
        <v>190</v>
      </c>
      <c r="M119" s="30" t="n">
        <v>40</v>
      </c>
      <c r="N119" s="30" t="n">
        <v>180</v>
      </c>
      <c r="O119" s="30" t="n">
        <v>4</v>
      </c>
      <c r="P119" s="30" t="n">
        <v>0</v>
      </c>
      <c r="Q119" s="30" t="inlineStr">
        <is>
          <t>C/D — estimation par catégorie</t>
        </is>
      </c>
      <c r="R119" s="30" t="inlineStr">
        <is>
          <t>Archétype td; estimation arrondie, marge indicative ±10–20 % ou davantage pour prototypes.</t>
        </is>
      </c>
    </row>
    <row r="120">
      <c r="A120" s="30" t="inlineStr">
        <is>
          <t>VEH-119</t>
        </is>
      </c>
      <c r="B120" s="30" t="inlineStr">
        <is>
          <t>M18 Hellcat</t>
        </is>
      </c>
      <c r="C120" s="30" t="inlineStr">
        <is>
          <t>Chars lourds et chasseurs de chars</t>
        </is>
      </c>
      <c r="D120" s="30" t="n">
        <v>25000</v>
      </c>
      <c r="E120" s="30" t="n">
        <v>6.5</v>
      </c>
      <c r="F120" s="30" t="n">
        <v>3</v>
      </c>
      <c r="G120" s="30" t="n">
        <v>2.5</v>
      </c>
      <c r="H120" s="30" t="n">
        <v>12</v>
      </c>
      <c r="I120" s="30" t="n">
        <v>400</v>
      </c>
      <c r="J120" s="30" t="inlineStr">
        <is>
          <t>Essence ou diesel selon variante</t>
        </is>
      </c>
      <c r="K120" s="30" t="n">
        <v>500</v>
      </c>
      <c r="L120" s="30" t="n">
        <v>190</v>
      </c>
      <c r="M120" s="30" t="n">
        <v>40</v>
      </c>
      <c r="N120" s="30" t="n">
        <v>180</v>
      </c>
      <c r="O120" s="30" t="n">
        <v>4</v>
      </c>
      <c r="P120" s="30" t="n">
        <v>0</v>
      </c>
      <c r="Q120" s="30" t="inlineStr">
        <is>
          <t>C/D — estimation par catégorie</t>
        </is>
      </c>
      <c r="R120" s="30" t="inlineStr">
        <is>
          <t>Archétype td; estimation arrondie, marge indicative ±10–20 % ou davantage pour prototypes.</t>
        </is>
      </c>
    </row>
    <row r="121">
      <c r="A121" s="30" t="inlineStr">
        <is>
          <t>VEH-120</t>
        </is>
      </c>
      <c r="B121" s="30" t="inlineStr">
        <is>
          <t>M36 Jackson</t>
        </is>
      </c>
      <c r="C121" s="30" t="inlineStr">
        <is>
          <t>Chars lourds et chasseurs de chars</t>
        </is>
      </c>
      <c r="D121" s="30" t="n">
        <v>25000</v>
      </c>
      <c r="E121" s="30" t="n">
        <v>6.5</v>
      </c>
      <c r="F121" s="30" t="n">
        <v>3</v>
      </c>
      <c r="G121" s="30" t="n">
        <v>2.5</v>
      </c>
      <c r="H121" s="30" t="n">
        <v>12</v>
      </c>
      <c r="I121" s="30" t="n">
        <v>400</v>
      </c>
      <c r="J121" s="30" t="inlineStr">
        <is>
          <t>Essence ou diesel selon variante</t>
        </is>
      </c>
      <c r="K121" s="30" t="n">
        <v>500</v>
      </c>
      <c r="L121" s="30" t="n">
        <v>190</v>
      </c>
      <c r="M121" s="30" t="n">
        <v>40</v>
      </c>
      <c r="N121" s="30" t="n">
        <v>180</v>
      </c>
      <c r="O121" s="30" t="n">
        <v>4</v>
      </c>
      <c r="P121" s="30" t="n">
        <v>0</v>
      </c>
      <c r="Q121" s="30" t="inlineStr">
        <is>
          <t>C/D — estimation par catégorie</t>
        </is>
      </c>
      <c r="R121" s="30" t="inlineStr">
        <is>
          <t>Archétype td; estimation arrondie, marge indicative ±10–20 % ou davantage pour prototypes.</t>
        </is>
      </c>
    </row>
    <row r="122">
      <c r="A122" s="30" t="inlineStr">
        <is>
          <t>VEH-121</t>
        </is>
      </c>
      <c r="B122" s="30" t="inlineStr">
        <is>
          <t>SU-76</t>
        </is>
      </c>
      <c r="C122" s="30" t="inlineStr">
        <is>
          <t>Chars lourds et chasseurs de chars</t>
        </is>
      </c>
      <c r="D122" s="30" t="n">
        <v>25000</v>
      </c>
      <c r="E122" s="30" t="n">
        <v>6.5</v>
      </c>
      <c r="F122" s="30" t="n">
        <v>3</v>
      </c>
      <c r="G122" s="30" t="n">
        <v>2.5</v>
      </c>
      <c r="H122" s="30" t="n">
        <v>12</v>
      </c>
      <c r="I122" s="30" t="n">
        <v>400</v>
      </c>
      <c r="J122" s="30" t="inlineStr">
        <is>
          <t>Diesel probable</t>
        </is>
      </c>
      <c r="K122" s="30" t="n">
        <v>500</v>
      </c>
      <c r="L122" s="30" t="n">
        <v>190</v>
      </c>
      <c r="M122" s="30" t="n">
        <v>40</v>
      </c>
      <c r="N122" s="30" t="n">
        <v>180</v>
      </c>
      <c r="O122" s="30" t="n">
        <v>4</v>
      </c>
      <c r="P122" s="30" t="n">
        <v>0</v>
      </c>
      <c r="Q122" s="30" t="inlineStr">
        <is>
          <t>C/D — estimation par catégorie</t>
        </is>
      </c>
      <c r="R122" s="30" t="inlineStr">
        <is>
          <t>Archétype td; estimation arrondie, marge indicative ±10–20 % ou davantage pour prototypes.</t>
        </is>
      </c>
    </row>
    <row r="123">
      <c r="A123" s="30" t="inlineStr">
        <is>
          <t>VEH-122</t>
        </is>
      </c>
      <c r="B123" s="30" t="inlineStr">
        <is>
          <t>SU-85</t>
        </is>
      </c>
      <c r="C123" s="30" t="inlineStr">
        <is>
          <t>Chars lourds et chasseurs de chars</t>
        </is>
      </c>
      <c r="D123" s="30" t="n">
        <v>25000</v>
      </c>
      <c r="E123" s="30" t="n">
        <v>6.5</v>
      </c>
      <c r="F123" s="30" t="n">
        <v>3</v>
      </c>
      <c r="G123" s="30" t="n">
        <v>2.5</v>
      </c>
      <c r="H123" s="30" t="n">
        <v>12</v>
      </c>
      <c r="I123" s="30" t="n">
        <v>400</v>
      </c>
      <c r="J123" s="30" t="inlineStr">
        <is>
          <t>Diesel probable</t>
        </is>
      </c>
      <c r="K123" s="30" t="n">
        <v>500</v>
      </c>
      <c r="L123" s="30" t="n">
        <v>190</v>
      </c>
      <c r="M123" s="30" t="n">
        <v>40</v>
      </c>
      <c r="N123" s="30" t="n">
        <v>180</v>
      </c>
      <c r="O123" s="30" t="n">
        <v>4</v>
      </c>
      <c r="P123" s="30" t="n">
        <v>0</v>
      </c>
      <c r="Q123" s="30" t="inlineStr">
        <is>
          <t>C/D — estimation par catégorie</t>
        </is>
      </c>
      <c r="R123" s="30" t="inlineStr">
        <is>
          <t>Archétype td; estimation arrondie, marge indicative ±10–20 % ou davantage pour prototypes.</t>
        </is>
      </c>
    </row>
    <row r="124">
      <c r="A124" t="inlineStr">
        <is>
          <t>VEH-123</t>
        </is>
      </c>
      <c r="B124" t="inlineStr">
        <is>
          <t>IS-2</t>
        </is>
      </c>
      <c r="C124" t="inlineStr">
        <is>
          <t>Chars lourds et chasseurs de chars</t>
        </is>
      </c>
      <c r="D124" t="n">
        <v>46000</v>
      </c>
      <c r="E124" t="n">
        <v>9.800000000000001</v>
      </c>
      <c r="F124" t="n">
        <v>3.1</v>
      </c>
      <c r="G124" t="n">
        <v>2.7</v>
      </c>
      <c r="H124" t="n">
        <v>38.9</v>
      </c>
      <c r="I124" t="n">
        <v>520</v>
      </c>
      <c r="J124" t="inlineStr">
        <is>
          <t>Diesel probable</t>
        </is>
      </c>
      <c r="K124" t="n">
        <v>820</v>
      </c>
      <c r="L124" t="n">
        <v>250</v>
      </c>
      <c r="M124" t="n">
        <v>37</v>
      </c>
      <c r="N124" t="n">
        <v>240</v>
      </c>
      <c r="O124" t="n">
        <v>4</v>
      </c>
      <c r="P124" t="n">
        <v>0</v>
      </c>
      <c r="Q124" t="inlineStr">
        <is>
          <t>B — modèle courant</t>
        </is>
      </c>
      <c r="R124" t="inlineStr">
        <is>
          <t>Valeurs arrondies d'un modèle connu; les variantes peuvent diverger.</t>
        </is>
      </c>
    </row>
    <row r="125">
      <c r="A125" s="30" t="inlineStr">
        <is>
          <t>VEH-124</t>
        </is>
      </c>
      <c r="B125" s="30" t="inlineStr">
        <is>
          <t>DUKW</t>
        </is>
      </c>
      <c r="C125" s="30" t="inlineStr">
        <is>
          <t>Amphibies et véhicules spécialisés</t>
        </is>
      </c>
      <c r="D125" s="30" t="n">
        <v>10000</v>
      </c>
      <c r="E125" s="30" t="n">
        <v>6.5</v>
      </c>
      <c r="F125" s="30" t="n">
        <v>2.5</v>
      </c>
      <c r="G125" s="30" t="n">
        <v>2.8</v>
      </c>
      <c r="H125" s="30" t="n">
        <v>6</v>
      </c>
      <c r="I125" s="30" t="n">
        <v>120</v>
      </c>
      <c r="J125" s="30" t="inlineStr">
        <is>
          <t>Essence ou diesel selon variante</t>
        </is>
      </c>
      <c r="K125" s="30" t="n">
        <v>200</v>
      </c>
      <c r="L125" s="30" t="n">
        <v>55</v>
      </c>
      <c r="M125" s="30" t="n">
        <v>45</v>
      </c>
      <c r="N125" s="30" t="n">
        <v>250</v>
      </c>
      <c r="O125" s="30" t="n">
        <v>3</v>
      </c>
      <c r="P125" s="30" t="n">
        <v>1500</v>
      </c>
      <c r="Q125" s="30" t="inlineStr">
        <is>
          <t>C/D — estimation par catégorie</t>
        </is>
      </c>
      <c r="R125" s="30" t="inlineStr">
        <is>
          <t>Archétype amphib; estimation arrondie, marge indicative ±10–20 % ou davantage pour prototypes.</t>
        </is>
      </c>
    </row>
    <row r="126">
      <c r="A126" s="30" t="inlineStr">
        <is>
          <t>VEH-125</t>
        </is>
      </c>
      <c r="B126" s="30" t="inlineStr">
        <is>
          <t>LVT-2 / LVT-4</t>
        </is>
      </c>
      <c r="C126" s="30" t="inlineStr">
        <is>
          <t>Amphibies et véhicules spécialisés</t>
        </is>
      </c>
      <c r="D126" s="30" t="n">
        <v>10000</v>
      </c>
      <c r="E126" s="30" t="n">
        <v>6.5</v>
      </c>
      <c r="F126" s="30" t="n">
        <v>2.5</v>
      </c>
      <c r="G126" s="30" t="n">
        <v>2.8</v>
      </c>
      <c r="H126" s="30" t="n">
        <v>6</v>
      </c>
      <c r="I126" s="30" t="n">
        <v>120</v>
      </c>
      <c r="J126" s="30" t="inlineStr">
        <is>
          <t>Essence ou diesel selon variante</t>
        </is>
      </c>
      <c r="K126" s="30" t="n">
        <v>200</v>
      </c>
      <c r="L126" s="30" t="n">
        <v>55</v>
      </c>
      <c r="M126" s="30" t="n">
        <v>45</v>
      </c>
      <c r="N126" s="30" t="n">
        <v>250</v>
      </c>
      <c r="O126" s="30" t="n">
        <v>3</v>
      </c>
      <c r="P126" s="30" t="n">
        <v>1500</v>
      </c>
      <c r="Q126" s="30" t="inlineStr">
        <is>
          <t>C/D — estimation par catégorie</t>
        </is>
      </c>
      <c r="R126" s="30" t="inlineStr">
        <is>
          <t>Archétype amphib; estimation arrondie, marge indicative ±10–20 % ou davantage pour prototypes.</t>
        </is>
      </c>
    </row>
    <row r="127">
      <c r="A127" s="30" t="inlineStr">
        <is>
          <t>VEH-126</t>
        </is>
      </c>
      <c r="B127" s="30" t="inlineStr">
        <is>
          <t>Studebaker M29 Weasel</t>
        </is>
      </c>
      <c r="C127" s="30" t="inlineStr">
        <is>
          <t>Amphibies et véhicules spécialisés</t>
        </is>
      </c>
      <c r="D127" s="30" t="n">
        <v>10000</v>
      </c>
      <c r="E127" s="30" t="n">
        <v>6.5</v>
      </c>
      <c r="F127" s="30" t="n">
        <v>2.5</v>
      </c>
      <c r="G127" s="30" t="n">
        <v>2.8</v>
      </c>
      <c r="H127" s="30" t="n">
        <v>6</v>
      </c>
      <c r="I127" s="30" t="n">
        <v>120</v>
      </c>
      <c r="J127" s="30" t="inlineStr">
        <is>
          <t>Essence ou diesel selon variante</t>
        </is>
      </c>
      <c r="K127" s="30" t="n">
        <v>200</v>
      </c>
      <c r="L127" s="30" t="n">
        <v>55</v>
      </c>
      <c r="M127" s="30" t="n">
        <v>45</v>
      </c>
      <c r="N127" s="30" t="n">
        <v>250</v>
      </c>
      <c r="O127" s="30" t="n">
        <v>3</v>
      </c>
      <c r="P127" s="30" t="n">
        <v>1500</v>
      </c>
      <c r="Q127" s="30" t="inlineStr">
        <is>
          <t>C/D — estimation par catégorie</t>
        </is>
      </c>
      <c r="R127" s="30" t="inlineStr">
        <is>
          <t>Archétype amphib; estimation arrondie, marge indicative ±10–20 % ou davantage pour prototypes.</t>
        </is>
      </c>
    </row>
    <row r="128">
      <c r="A128" s="30" t="inlineStr">
        <is>
          <t>VEH-127</t>
        </is>
      </c>
      <c r="B128" s="30" t="inlineStr">
        <is>
          <t>Ford GPA Seep</t>
        </is>
      </c>
      <c r="C128" s="30" t="inlineStr">
        <is>
          <t>Amphibies et véhicules spécialisés</t>
        </is>
      </c>
      <c r="D128" s="30" t="n">
        <v>10000</v>
      </c>
      <c r="E128" s="30" t="n">
        <v>6.5</v>
      </c>
      <c r="F128" s="30" t="n">
        <v>2.5</v>
      </c>
      <c r="G128" s="30" t="n">
        <v>2.8</v>
      </c>
      <c r="H128" s="30" t="n">
        <v>6</v>
      </c>
      <c r="I128" s="30" t="n">
        <v>120</v>
      </c>
      <c r="J128" s="30" t="inlineStr">
        <is>
          <t>Essence ou diesel selon variante</t>
        </is>
      </c>
      <c r="K128" s="30" t="n">
        <v>200</v>
      </c>
      <c r="L128" s="30" t="n">
        <v>55</v>
      </c>
      <c r="M128" s="30" t="n">
        <v>45</v>
      </c>
      <c r="N128" s="30" t="n">
        <v>250</v>
      </c>
      <c r="O128" s="30" t="n">
        <v>3</v>
      </c>
      <c r="P128" s="30" t="n">
        <v>1500</v>
      </c>
      <c r="Q128" s="30" t="inlineStr">
        <is>
          <t>C/D — estimation par catégorie</t>
        </is>
      </c>
      <c r="R128" s="30" t="inlineStr">
        <is>
          <t>Archétype amphib; estimation arrondie, marge indicative ±10–20 % ou davantage pour prototypes.</t>
        </is>
      </c>
    </row>
    <row r="129">
      <c r="A129" s="30" t="inlineStr">
        <is>
          <t>VEH-128</t>
        </is>
      </c>
      <c r="B129" s="30" t="inlineStr">
        <is>
          <t>Schwimmwagen Type 166</t>
        </is>
      </c>
      <c r="C129" s="30" t="inlineStr">
        <is>
          <t>Amphibies et véhicules spécialisés</t>
        </is>
      </c>
      <c r="D129" s="30" t="n">
        <v>10000</v>
      </c>
      <c r="E129" s="30" t="n">
        <v>6.5</v>
      </c>
      <c r="F129" s="30" t="n">
        <v>2.5</v>
      </c>
      <c r="G129" s="30" t="n">
        <v>2.8</v>
      </c>
      <c r="H129" s="30" t="n">
        <v>6</v>
      </c>
      <c r="I129" s="30" t="n">
        <v>120</v>
      </c>
      <c r="J129" s="30" t="inlineStr">
        <is>
          <t>Essence ou diesel selon variante</t>
        </is>
      </c>
      <c r="K129" s="30" t="n">
        <v>200</v>
      </c>
      <c r="L129" s="30" t="n">
        <v>55</v>
      </c>
      <c r="M129" s="30" t="n">
        <v>45</v>
      </c>
      <c r="N129" s="30" t="n">
        <v>250</v>
      </c>
      <c r="O129" s="30" t="n">
        <v>3</v>
      </c>
      <c r="P129" s="30" t="n">
        <v>1500</v>
      </c>
      <c r="Q129" s="30" t="inlineStr">
        <is>
          <t>C/D — estimation par catégorie</t>
        </is>
      </c>
      <c r="R129" s="30" t="inlineStr">
        <is>
          <t>Archétype amphib; estimation arrondie, marge indicative ±10–20 % ou davantage pour prototypes.</t>
        </is>
      </c>
    </row>
    <row r="130">
      <c r="A130" s="30" t="inlineStr">
        <is>
          <t>VEH-129</t>
        </is>
      </c>
      <c r="B130" s="30" t="inlineStr">
        <is>
          <t>LVT britannique Buffalo</t>
        </is>
      </c>
      <c r="C130" s="30" t="inlineStr">
        <is>
          <t>Amphibies et véhicules spécialisés</t>
        </is>
      </c>
      <c r="D130" s="30" t="n">
        <v>10000</v>
      </c>
      <c r="E130" s="30" t="n">
        <v>6.5</v>
      </c>
      <c r="F130" s="30" t="n">
        <v>2.5</v>
      </c>
      <c r="G130" s="30" t="n">
        <v>2.8</v>
      </c>
      <c r="H130" s="30" t="n">
        <v>6</v>
      </c>
      <c r="I130" s="30" t="n">
        <v>120</v>
      </c>
      <c r="J130" s="30" t="inlineStr">
        <is>
          <t>Essence ou diesel selon variante</t>
        </is>
      </c>
      <c r="K130" s="30" t="n">
        <v>200</v>
      </c>
      <c r="L130" s="30" t="n">
        <v>55</v>
      </c>
      <c r="M130" s="30" t="n">
        <v>45</v>
      </c>
      <c r="N130" s="30" t="n">
        <v>250</v>
      </c>
      <c r="O130" s="30" t="n">
        <v>3</v>
      </c>
      <c r="P130" s="30" t="n">
        <v>1500</v>
      </c>
      <c r="Q130" s="30" t="inlineStr">
        <is>
          <t>C/D — estimation par catégorie</t>
        </is>
      </c>
      <c r="R130" s="30" t="inlineStr">
        <is>
          <t>Archétype amphib; estimation arrondie, marge indicative ±10–20 % ou davantage pour prototypes.</t>
        </is>
      </c>
    </row>
    <row r="131">
      <c r="A131" s="30" t="inlineStr">
        <is>
          <t>VEH-130</t>
        </is>
      </c>
      <c r="B131" s="30" t="inlineStr">
        <is>
          <t>Caterpillar D2</t>
        </is>
      </c>
      <c r="C131" s="30" t="inlineStr">
        <is>
          <t>Engins de chantier et agricoles</t>
        </is>
      </c>
      <c r="D131" s="30" t="n">
        <v>5000</v>
      </c>
      <c r="E131" s="30" t="n">
        <v>3.5</v>
      </c>
      <c r="F131" s="30" t="n">
        <v>2</v>
      </c>
      <c r="G131" s="30" t="n">
        <v>2.4</v>
      </c>
      <c r="H131" s="30" t="n">
        <v>5</v>
      </c>
      <c r="I131" s="30" t="n">
        <v>55</v>
      </c>
      <c r="J131" s="30" t="inlineStr">
        <is>
          <t>Essence ou diesel selon variante</t>
        </is>
      </c>
      <c r="K131" s="30" t="n">
        <v>70</v>
      </c>
      <c r="L131" s="30" t="n">
        <v>18</v>
      </c>
      <c r="M131" s="30" t="n">
        <v>25</v>
      </c>
      <c r="N131" s="30" t="n">
        <v>250</v>
      </c>
      <c r="O131" s="30" t="n">
        <v>1</v>
      </c>
      <c r="P131" s="30" t="n">
        <v>1500</v>
      </c>
      <c r="Q131" s="30" t="inlineStr">
        <is>
          <t>C/D — estimation par catégorie</t>
        </is>
      </c>
      <c r="R131" s="30" t="inlineStr">
        <is>
          <t>Archétype tractor; estimation arrondie, marge indicative ±10–20 % ou davantage pour prototypes.</t>
        </is>
      </c>
    </row>
    <row r="132">
      <c r="A132" s="30" t="inlineStr">
        <is>
          <t>VEH-131</t>
        </is>
      </c>
      <c r="B132" s="30" t="inlineStr">
        <is>
          <t>Caterpillar D4</t>
        </is>
      </c>
      <c r="C132" s="30" t="inlineStr">
        <is>
          <t>Engins de chantier et agricoles</t>
        </is>
      </c>
      <c r="D132" s="30" t="n">
        <v>5000</v>
      </c>
      <c r="E132" s="30" t="n">
        <v>3.5</v>
      </c>
      <c r="F132" s="30" t="n">
        <v>2</v>
      </c>
      <c r="G132" s="30" t="n">
        <v>2.4</v>
      </c>
      <c r="H132" s="30" t="n">
        <v>5</v>
      </c>
      <c r="I132" s="30" t="n">
        <v>55</v>
      </c>
      <c r="J132" s="30" t="inlineStr">
        <is>
          <t>Essence ou diesel selon variante</t>
        </is>
      </c>
      <c r="K132" s="30" t="n">
        <v>70</v>
      </c>
      <c r="L132" s="30" t="n">
        <v>18</v>
      </c>
      <c r="M132" s="30" t="n">
        <v>25</v>
      </c>
      <c r="N132" s="30" t="n">
        <v>250</v>
      </c>
      <c r="O132" s="30" t="n">
        <v>1</v>
      </c>
      <c r="P132" s="30" t="n">
        <v>1500</v>
      </c>
      <c r="Q132" s="30" t="inlineStr">
        <is>
          <t>C/D — estimation par catégorie</t>
        </is>
      </c>
      <c r="R132" s="30" t="inlineStr">
        <is>
          <t>Archétype tractor; estimation arrondie, marge indicative ±10–20 % ou davantage pour prototypes.</t>
        </is>
      </c>
    </row>
    <row r="133">
      <c r="A133" s="30" t="inlineStr">
        <is>
          <t>VEH-132</t>
        </is>
      </c>
      <c r="B133" s="30" t="inlineStr">
        <is>
          <t>Caterpillar D7</t>
        </is>
      </c>
      <c r="C133" s="30" t="inlineStr">
        <is>
          <t>Engins de chantier et agricoles</t>
        </is>
      </c>
      <c r="D133" s="30" t="n">
        <v>5000</v>
      </c>
      <c r="E133" s="30" t="n">
        <v>3.5</v>
      </c>
      <c r="F133" s="30" t="n">
        <v>2</v>
      </c>
      <c r="G133" s="30" t="n">
        <v>2.4</v>
      </c>
      <c r="H133" s="30" t="n">
        <v>5</v>
      </c>
      <c r="I133" s="30" t="n">
        <v>55</v>
      </c>
      <c r="J133" s="30" t="inlineStr">
        <is>
          <t>Essence ou diesel selon variante</t>
        </is>
      </c>
      <c r="K133" s="30" t="n">
        <v>70</v>
      </c>
      <c r="L133" s="30" t="n">
        <v>18</v>
      </c>
      <c r="M133" s="30" t="n">
        <v>25</v>
      </c>
      <c r="N133" s="30" t="n">
        <v>250</v>
      </c>
      <c r="O133" s="30" t="n">
        <v>1</v>
      </c>
      <c r="P133" s="30" t="n">
        <v>1500</v>
      </c>
      <c r="Q133" s="30" t="inlineStr">
        <is>
          <t>C/D — estimation par catégorie</t>
        </is>
      </c>
      <c r="R133" s="30" t="inlineStr">
        <is>
          <t>Archétype tractor; estimation arrondie, marge indicative ±10–20 % ou davantage pour prototypes.</t>
        </is>
      </c>
    </row>
    <row r="134">
      <c r="A134" s="30" t="inlineStr">
        <is>
          <t>VEH-133</t>
        </is>
      </c>
      <c r="B134" s="30" t="inlineStr">
        <is>
          <t>Cletrac HG / modèles d'époque</t>
        </is>
      </c>
      <c r="C134" s="30" t="inlineStr">
        <is>
          <t>Engins de chantier et agricoles</t>
        </is>
      </c>
      <c r="D134" s="30" t="n">
        <v>5000</v>
      </c>
      <c r="E134" s="30" t="n">
        <v>3.5</v>
      </c>
      <c r="F134" s="30" t="n">
        <v>2</v>
      </c>
      <c r="G134" s="30" t="n">
        <v>2.4</v>
      </c>
      <c r="H134" s="30" t="n">
        <v>5</v>
      </c>
      <c r="I134" s="30" t="n">
        <v>55</v>
      </c>
      <c r="J134" s="30" t="inlineStr">
        <is>
          <t>Essence ou diesel selon variante</t>
        </is>
      </c>
      <c r="K134" s="30" t="n">
        <v>70</v>
      </c>
      <c r="L134" s="30" t="n">
        <v>18</v>
      </c>
      <c r="M134" s="30" t="n">
        <v>25</v>
      </c>
      <c r="N134" s="30" t="n">
        <v>250</v>
      </c>
      <c r="O134" s="30" t="n">
        <v>1</v>
      </c>
      <c r="P134" s="30" t="n">
        <v>1500</v>
      </c>
      <c r="Q134" s="30" t="inlineStr">
        <is>
          <t>C/D — estimation par catégorie</t>
        </is>
      </c>
      <c r="R134" s="30" t="inlineStr">
        <is>
          <t>Archétype tractor; estimation arrondie, marge indicative ±10–20 % ou davantage pour prototypes.</t>
        </is>
      </c>
    </row>
    <row r="135">
      <c r="A135" s="30" t="inlineStr">
        <is>
          <t>VEH-134</t>
        </is>
      </c>
      <c r="B135" s="30" t="inlineStr">
        <is>
          <t>Farmall H</t>
        </is>
      </c>
      <c r="C135" s="30" t="inlineStr">
        <is>
          <t>Engins de chantier et agricoles</t>
        </is>
      </c>
      <c r="D135" s="30" t="n">
        <v>5000</v>
      </c>
      <c r="E135" s="30" t="n">
        <v>3.5</v>
      </c>
      <c r="F135" s="30" t="n">
        <v>2</v>
      </c>
      <c r="G135" s="30" t="n">
        <v>2.4</v>
      </c>
      <c r="H135" s="30" t="n">
        <v>5</v>
      </c>
      <c r="I135" s="30" t="n">
        <v>55</v>
      </c>
      <c r="J135" s="30" t="inlineStr">
        <is>
          <t>Essence ou diesel selon variante</t>
        </is>
      </c>
      <c r="K135" s="30" t="n">
        <v>70</v>
      </c>
      <c r="L135" s="30" t="n">
        <v>18</v>
      </c>
      <c r="M135" s="30" t="n">
        <v>25</v>
      </c>
      <c r="N135" s="30" t="n">
        <v>250</v>
      </c>
      <c r="O135" s="30" t="n">
        <v>1</v>
      </c>
      <c r="P135" s="30" t="n">
        <v>1500</v>
      </c>
      <c r="Q135" s="30" t="inlineStr">
        <is>
          <t>C/D — estimation par catégorie</t>
        </is>
      </c>
      <c r="R135" s="30" t="inlineStr">
        <is>
          <t>Archétype tractor; estimation arrondie, marge indicative ±10–20 % ou davantage pour prototypes.</t>
        </is>
      </c>
    </row>
    <row r="136">
      <c r="A136" s="30" t="inlineStr">
        <is>
          <t>VEH-135</t>
        </is>
      </c>
      <c r="B136" s="30" t="inlineStr">
        <is>
          <t>Fordson N</t>
        </is>
      </c>
      <c r="C136" s="30" t="inlineStr">
        <is>
          <t>Engins de chantier et agricoles</t>
        </is>
      </c>
      <c r="D136" s="30" t="n">
        <v>5000</v>
      </c>
      <c r="E136" s="30" t="n">
        <v>3.5</v>
      </c>
      <c r="F136" s="30" t="n">
        <v>2</v>
      </c>
      <c r="G136" s="30" t="n">
        <v>2.4</v>
      </c>
      <c r="H136" s="30" t="n">
        <v>5</v>
      </c>
      <c r="I136" s="30" t="n">
        <v>55</v>
      </c>
      <c r="J136" s="30" t="inlineStr">
        <is>
          <t>Essence ou diesel selon variante</t>
        </is>
      </c>
      <c r="K136" s="30" t="n">
        <v>70</v>
      </c>
      <c r="L136" s="30" t="n">
        <v>18</v>
      </c>
      <c r="M136" s="30" t="n">
        <v>25</v>
      </c>
      <c r="N136" s="30" t="n">
        <v>250</v>
      </c>
      <c r="O136" s="30" t="n">
        <v>1</v>
      </c>
      <c r="P136" s="30" t="n">
        <v>1500</v>
      </c>
      <c r="Q136" s="30" t="inlineStr">
        <is>
          <t>C/D — estimation par catégorie</t>
        </is>
      </c>
      <c r="R136" s="30" t="inlineStr">
        <is>
          <t>Archétype tractor; estimation arrondie, marge indicative ±10–20 % ou davantage pour prototypes.</t>
        </is>
      </c>
    </row>
    <row r="137">
      <c r="A137" s="30" t="inlineStr">
        <is>
          <t>VEH-136</t>
        </is>
      </c>
      <c r="B137" s="30" t="inlineStr">
        <is>
          <t>Lanz Bulldog</t>
        </is>
      </c>
      <c r="C137" s="30" t="inlineStr">
        <is>
          <t>Engins de chantier et agricoles</t>
        </is>
      </c>
      <c r="D137" s="30" t="n">
        <v>5000</v>
      </c>
      <c r="E137" s="30" t="n">
        <v>3.5</v>
      </c>
      <c r="F137" s="30" t="n">
        <v>2</v>
      </c>
      <c r="G137" s="30" t="n">
        <v>2.4</v>
      </c>
      <c r="H137" s="30" t="n">
        <v>5</v>
      </c>
      <c r="I137" s="30" t="n">
        <v>55</v>
      </c>
      <c r="J137" s="30" t="inlineStr">
        <is>
          <t>Essence ou diesel selon variante</t>
        </is>
      </c>
      <c r="K137" s="30" t="n">
        <v>70</v>
      </c>
      <c r="L137" s="30" t="n">
        <v>18</v>
      </c>
      <c r="M137" s="30" t="n">
        <v>25</v>
      </c>
      <c r="N137" s="30" t="n">
        <v>250</v>
      </c>
      <c r="O137" s="30" t="n">
        <v>1</v>
      </c>
      <c r="P137" s="30" t="n">
        <v>1500</v>
      </c>
      <c r="Q137" s="30" t="inlineStr">
        <is>
          <t>C/D — estimation par catégorie</t>
        </is>
      </c>
      <c r="R137" s="30" t="inlineStr">
        <is>
          <t>Archétype tractor; estimation arrondie, marge indicative ±10–20 % ou davantage pour prototypes.</t>
        </is>
      </c>
    </row>
    <row r="138">
      <c r="A138" s="30" t="inlineStr">
        <is>
          <t>VEH-137</t>
        </is>
      </c>
      <c r="B138" s="30" t="inlineStr">
        <is>
          <t>Pavesi P4 / Pavesi Tolotti</t>
        </is>
      </c>
      <c r="C138" s="30" t="inlineStr">
        <is>
          <t>Engins de chantier et agricoles</t>
        </is>
      </c>
      <c r="D138" s="30" t="n">
        <v>5000</v>
      </c>
      <c r="E138" s="30" t="n">
        <v>3.5</v>
      </c>
      <c r="F138" s="30" t="n">
        <v>2</v>
      </c>
      <c r="G138" s="30" t="n">
        <v>2.4</v>
      </c>
      <c r="H138" s="30" t="n">
        <v>5</v>
      </c>
      <c r="I138" s="30" t="n">
        <v>55</v>
      </c>
      <c r="J138" s="30" t="inlineStr">
        <is>
          <t>Essence ou diesel selon variante</t>
        </is>
      </c>
      <c r="K138" s="30" t="n">
        <v>70</v>
      </c>
      <c r="L138" s="30" t="n">
        <v>18</v>
      </c>
      <c r="M138" s="30" t="n">
        <v>25</v>
      </c>
      <c r="N138" s="30" t="n">
        <v>250</v>
      </c>
      <c r="O138" s="30" t="n">
        <v>1</v>
      </c>
      <c r="P138" s="30" t="n">
        <v>1500</v>
      </c>
      <c r="Q138" s="30" t="inlineStr">
        <is>
          <t>C/D — estimation par catégorie</t>
        </is>
      </c>
      <c r="R138" s="30" t="inlineStr">
        <is>
          <t>Archétype tractor; estimation arrondie, marge indicative ±10–20 % ou davantage pour prototypes.</t>
        </is>
      </c>
    </row>
    <row r="139">
      <c r="A139" t="inlineStr">
        <is>
          <t>VEH-138</t>
        </is>
      </c>
      <c r="B139" t="inlineStr">
        <is>
          <t>Bergepanther</t>
        </is>
      </c>
      <c r="C139" t="inlineStr">
        <is>
          <t>Engins de chantier et agricoles</t>
        </is>
      </c>
      <c r="D139" t="n">
        <v>45000</v>
      </c>
      <c r="E139" t="n">
        <v>8.9</v>
      </c>
      <c r="F139" t="n">
        <v>3.4</v>
      </c>
      <c r="G139" t="n">
        <v>2.9</v>
      </c>
      <c r="H139" t="n">
        <v>23</v>
      </c>
      <c r="I139" t="n">
        <v>700</v>
      </c>
      <c r="J139" t="inlineStr">
        <is>
          <t>Essence probable</t>
        </is>
      </c>
      <c r="K139" t="n">
        <v>730</v>
      </c>
      <c r="L139" t="n">
        <v>250</v>
      </c>
      <c r="M139" t="n">
        <v>46</v>
      </c>
      <c r="N139" t="n">
        <v>200</v>
      </c>
      <c r="O139" t="n">
        <v>5</v>
      </c>
      <c r="P139" t="n">
        <v>0</v>
      </c>
      <c r="Q139" t="inlineStr">
        <is>
          <t>B/C — famille connue</t>
        </is>
      </c>
      <c r="R139" t="inlineStr">
        <is>
          <t>Valeurs typiques Panther; variantes D/A/G proches mais pas identiques.</t>
        </is>
      </c>
    </row>
    <row r="140">
      <c r="A140" t="inlineStr">
        <is>
          <t>VEH-139</t>
        </is>
      </c>
      <c r="B140" t="inlineStr">
        <is>
          <t>Churchill ARV</t>
        </is>
      </c>
      <c r="C140" t="inlineStr">
        <is>
          <t>Engins de chantier et agricoles</t>
        </is>
      </c>
      <c r="D140" t="n">
        <v>39000</v>
      </c>
      <c r="E140" t="n">
        <v>7.4</v>
      </c>
      <c r="F140" t="n">
        <v>3.3</v>
      </c>
      <c r="G140" t="n">
        <v>2.8</v>
      </c>
      <c r="H140" t="n">
        <v>21</v>
      </c>
      <c r="I140" t="n">
        <v>350</v>
      </c>
      <c r="J140" t="inlineStr">
        <is>
          <t>Essence ou diesel selon variante</t>
        </is>
      </c>
      <c r="K140" t="n">
        <v>680</v>
      </c>
      <c r="L140" t="n">
        <v>250</v>
      </c>
      <c r="M140" t="n">
        <v>25</v>
      </c>
      <c r="N140" t="n">
        <v>120</v>
      </c>
      <c r="O140" t="n">
        <v>5</v>
      </c>
      <c r="P140" t="n">
        <v>0</v>
      </c>
      <c r="Q140" t="inlineStr">
        <is>
          <t>B/C — famille connue</t>
        </is>
      </c>
      <c r="R140" t="inlineStr">
        <is>
          <t>Valeurs typiques Churchill; mark exacte parfois variable.</t>
        </is>
      </c>
    </row>
    <row r="141">
      <c r="A141" s="30" t="inlineStr">
        <is>
          <t>VEH-140</t>
        </is>
      </c>
      <c r="B141" s="30" t="inlineStr">
        <is>
          <t>M31 Tank Recovery Vehicle</t>
        </is>
      </c>
      <c r="C141" s="30" t="inlineStr">
        <is>
          <t>Engins de chantier et agricoles</t>
        </is>
      </c>
      <c r="D141" s="30" t="n">
        <v>5000</v>
      </c>
      <c r="E141" s="30" t="n">
        <v>3.5</v>
      </c>
      <c r="F141" s="30" t="n">
        <v>2</v>
      </c>
      <c r="G141" s="30" t="n">
        <v>2.4</v>
      </c>
      <c r="H141" s="30" t="n">
        <v>5</v>
      </c>
      <c r="I141" s="30" t="n">
        <v>55</v>
      </c>
      <c r="J141" s="30" t="inlineStr">
        <is>
          <t>Essence ou diesel selon variante</t>
        </is>
      </c>
      <c r="K141" s="30" t="n">
        <v>70</v>
      </c>
      <c r="L141" s="30" t="n">
        <v>18</v>
      </c>
      <c r="M141" s="30" t="n">
        <v>25</v>
      </c>
      <c r="N141" s="30" t="n">
        <v>250</v>
      </c>
      <c r="O141" s="30" t="n">
        <v>1</v>
      </c>
      <c r="P141" s="30" t="n">
        <v>1500</v>
      </c>
      <c r="Q141" s="30" t="inlineStr">
        <is>
          <t>C/D — estimation par catégorie</t>
        </is>
      </c>
      <c r="R141" s="30" t="inlineStr">
        <is>
          <t>Archétype tractor; estimation arrondie, marge indicative ±10–20 % ou davantage pour prototypes.</t>
        </is>
      </c>
    </row>
    <row r="142">
      <c r="A142" t="inlineStr">
        <is>
          <t>VEH-141</t>
        </is>
      </c>
      <c r="B142" t="inlineStr">
        <is>
          <t>Renault FT</t>
        </is>
      </c>
      <c r="C142" t="inlineStr">
        <is>
          <t>Chars légers et chars anciens</t>
        </is>
      </c>
      <c r="D142" t="n">
        <v>6500</v>
      </c>
      <c r="E142" t="n">
        <v>4.1</v>
      </c>
      <c r="F142" t="n">
        <v>1.7</v>
      </c>
      <c r="G142" t="n">
        <v>2.1</v>
      </c>
      <c r="H142" t="n">
        <v>4.5</v>
      </c>
      <c r="I142" t="n">
        <v>35</v>
      </c>
      <c r="J142" t="inlineStr">
        <is>
          <t>Essence</t>
        </is>
      </c>
      <c r="K142" t="n">
        <v>95</v>
      </c>
      <c r="L142" t="n">
        <v>60</v>
      </c>
      <c r="M142" t="n">
        <v>7</v>
      </c>
      <c r="N142" t="n">
        <v>35</v>
      </c>
      <c r="O142" t="n">
        <v>2</v>
      </c>
      <c r="P142" t="n">
        <v>0</v>
      </c>
      <c r="Q142" t="inlineStr">
        <is>
          <t>B — modèle courant</t>
        </is>
      </c>
      <c r="R142" t="inlineStr">
        <is>
          <t>Valeurs arrondies d'un modèle connu; les variantes peuvent diverger.</t>
        </is>
      </c>
    </row>
    <row r="143">
      <c r="A143" s="30" t="inlineStr">
        <is>
          <t>VEH-142</t>
        </is>
      </c>
      <c r="B143" s="30" t="inlineStr">
        <is>
          <t>Renault NC27 / NC1</t>
        </is>
      </c>
      <c r="C143" s="30" t="inlineStr">
        <is>
          <t>Chars légers et chars anciens</t>
        </is>
      </c>
      <c r="D143" s="30" t="n">
        <v>9000</v>
      </c>
      <c r="E143" s="30" t="n">
        <v>4.5</v>
      </c>
      <c r="F143" s="30" t="n">
        <v>2.2</v>
      </c>
      <c r="G143" s="30" t="n">
        <v>2.2</v>
      </c>
      <c r="H143" s="30" t="n">
        <v>7</v>
      </c>
      <c r="I143" s="30" t="n">
        <v>150</v>
      </c>
      <c r="J143" s="30" t="inlineStr">
        <is>
          <t>Essence</t>
        </is>
      </c>
      <c r="K143" s="30" t="n">
        <v>300</v>
      </c>
      <c r="L143" s="30" t="n">
        <v>100</v>
      </c>
      <c r="M143" s="30" t="n">
        <v>40</v>
      </c>
      <c r="N143" s="30" t="n">
        <v>180</v>
      </c>
      <c r="O143" s="30" t="n">
        <v>3</v>
      </c>
      <c r="P143" s="30" t="n">
        <v>0</v>
      </c>
      <c r="Q143" s="30" t="inlineStr">
        <is>
          <t>C/D — estimation par catégorie</t>
        </is>
      </c>
      <c r="R143" s="30" t="inlineStr">
        <is>
          <t>Archétype light_tank; estimation arrondie, marge indicative ±10–20 % ou davantage pour prototypes.</t>
        </is>
      </c>
    </row>
    <row r="144">
      <c r="A144" s="30" t="inlineStr">
        <is>
          <t>VEH-143</t>
        </is>
      </c>
      <c r="B144" s="30" t="inlineStr">
        <is>
          <t>Renault D1</t>
        </is>
      </c>
      <c r="C144" s="30" t="inlineStr">
        <is>
          <t>Chars légers et chars anciens</t>
        </is>
      </c>
      <c r="D144" s="30" t="n">
        <v>9000</v>
      </c>
      <c r="E144" s="30" t="n">
        <v>4.5</v>
      </c>
      <c r="F144" s="30" t="n">
        <v>2.2</v>
      </c>
      <c r="G144" s="30" t="n">
        <v>2.2</v>
      </c>
      <c r="H144" s="30" t="n">
        <v>7</v>
      </c>
      <c r="I144" s="30" t="n">
        <v>150</v>
      </c>
      <c r="J144" s="30" t="inlineStr">
        <is>
          <t>Essence</t>
        </is>
      </c>
      <c r="K144" s="30" t="n">
        <v>300</v>
      </c>
      <c r="L144" s="30" t="n">
        <v>100</v>
      </c>
      <c r="M144" s="30" t="n">
        <v>40</v>
      </c>
      <c r="N144" s="30" t="n">
        <v>180</v>
      </c>
      <c r="O144" s="30" t="n">
        <v>3</v>
      </c>
      <c r="P144" s="30" t="n">
        <v>0</v>
      </c>
      <c r="Q144" s="30" t="inlineStr">
        <is>
          <t>C/D — estimation par catégorie</t>
        </is>
      </c>
      <c r="R144" s="30" t="inlineStr">
        <is>
          <t>Archétype light_tank; estimation arrondie, marge indicative ±10–20 % ou davantage pour prototypes.</t>
        </is>
      </c>
    </row>
    <row r="145">
      <c r="A145" s="30" t="inlineStr">
        <is>
          <t>VEH-144</t>
        </is>
      </c>
      <c r="B145" s="30" t="inlineStr">
        <is>
          <t>Renault D2</t>
        </is>
      </c>
      <c r="C145" s="30" t="inlineStr">
        <is>
          <t>Chars moyens</t>
        </is>
      </c>
      <c r="D145" s="30" t="n">
        <v>28000</v>
      </c>
      <c r="E145" s="30" t="n">
        <v>6</v>
      </c>
      <c r="F145" s="30" t="n">
        <v>2.8</v>
      </c>
      <c r="G145" s="30" t="n">
        <v>2.7</v>
      </c>
      <c r="H145" s="30" t="n">
        <v>12</v>
      </c>
      <c r="I145" s="30" t="n">
        <v>400</v>
      </c>
      <c r="J145" s="30" t="inlineStr">
        <is>
          <t>Essence</t>
        </is>
      </c>
      <c r="K145" s="30" t="n">
        <v>500</v>
      </c>
      <c r="L145" s="30" t="n">
        <v>180</v>
      </c>
      <c r="M145" s="30" t="n">
        <v>40</v>
      </c>
      <c r="N145" s="30" t="n">
        <v>200</v>
      </c>
      <c r="O145" s="30" t="n">
        <v>5</v>
      </c>
      <c r="P145" s="30" t="n">
        <v>0</v>
      </c>
      <c r="Q145" s="30" t="inlineStr">
        <is>
          <t>C/D — estimation par catégorie</t>
        </is>
      </c>
      <c r="R145" s="30" t="inlineStr">
        <is>
          <t>Archétype medium_tank; estimation arrondie, marge indicative ±10–20 % ou davantage pour prototypes.</t>
        </is>
      </c>
    </row>
    <row r="146">
      <c r="A146" s="30" t="inlineStr">
        <is>
          <t>VEH-145</t>
        </is>
      </c>
      <c r="B146" s="30" t="inlineStr">
        <is>
          <t>Char 2C</t>
        </is>
      </c>
      <c r="C146" s="30" t="inlineStr">
        <is>
          <t>Chars lourds et prototypes</t>
        </is>
      </c>
      <c r="D146" s="30" t="n">
        <v>45000</v>
      </c>
      <c r="E146" s="30" t="n">
        <v>7</v>
      </c>
      <c r="F146" s="30" t="n">
        <v>3.5</v>
      </c>
      <c r="G146" s="30" t="n">
        <v>3.1</v>
      </c>
      <c r="H146" s="30" t="n">
        <v>18</v>
      </c>
      <c r="I146" s="30" t="n">
        <v>600</v>
      </c>
      <c r="J146" s="30" t="inlineStr">
        <is>
          <t>Essence</t>
        </is>
      </c>
      <c r="K146" s="30" t="n">
        <v>800</v>
      </c>
      <c r="L146" s="30" t="n">
        <v>250</v>
      </c>
      <c r="M146" s="30" t="n">
        <v>30</v>
      </c>
      <c r="N146" s="30" t="n">
        <v>150</v>
      </c>
      <c r="O146" s="30" t="n">
        <v>5</v>
      </c>
      <c r="P146" s="30" t="n">
        <v>0</v>
      </c>
      <c r="Q146" s="30" t="inlineStr">
        <is>
          <t>C/D — estimation par catégorie</t>
        </is>
      </c>
      <c r="R146" s="30" t="inlineStr">
        <is>
          <t>Archétype heavy_tank; estimation arrondie, marge indicative ±10–20 % ou davantage pour prototypes.</t>
        </is>
      </c>
    </row>
    <row r="147">
      <c r="A147" s="30" t="inlineStr">
        <is>
          <t>VEH-146</t>
        </is>
      </c>
      <c r="B147" s="30" t="inlineStr">
        <is>
          <t>AMR 33</t>
        </is>
      </c>
      <c r="C147" s="30" t="inlineStr">
        <is>
          <t>Reconnaissance et chars légers</t>
        </is>
      </c>
      <c r="D147" s="30" t="n">
        <v>7000</v>
      </c>
      <c r="E147" s="30" t="n">
        <v>5</v>
      </c>
      <c r="F147" s="30" t="n">
        <v>2.1</v>
      </c>
      <c r="G147" s="30" t="n">
        <v>2.3</v>
      </c>
      <c r="H147" s="30" t="n">
        <v>5</v>
      </c>
      <c r="I147" s="30" t="n">
        <v>100</v>
      </c>
      <c r="J147" s="30" t="inlineStr">
        <is>
          <t>Essence</t>
        </is>
      </c>
      <c r="K147" s="30" t="n">
        <v>120</v>
      </c>
      <c r="L147" s="30" t="n">
        <v>35</v>
      </c>
      <c r="M147" s="30" t="n">
        <v>80</v>
      </c>
      <c r="N147" s="30" t="n">
        <v>350</v>
      </c>
      <c r="O147" s="30" t="n">
        <v>4</v>
      </c>
      <c r="P147" s="30" t="n">
        <v>500</v>
      </c>
      <c r="Q147" s="30" t="inlineStr">
        <is>
          <t>C/D — estimation par catégorie</t>
        </is>
      </c>
      <c r="R147" s="30" t="inlineStr">
        <is>
          <t>Archétype armored_car; estimation arrondie, marge indicative ±10–20 % ou davantage pour prototypes.</t>
        </is>
      </c>
    </row>
    <row r="148">
      <c r="A148" s="30" t="inlineStr">
        <is>
          <t>VEH-147</t>
        </is>
      </c>
      <c r="B148" s="30" t="inlineStr">
        <is>
          <t>AMR 35</t>
        </is>
      </c>
      <c r="C148" s="30" t="inlineStr">
        <is>
          <t>Reconnaissance et chars légers</t>
        </is>
      </c>
      <c r="D148" s="30" t="n">
        <v>7000</v>
      </c>
      <c r="E148" s="30" t="n">
        <v>5</v>
      </c>
      <c r="F148" s="30" t="n">
        <v>2.1</v>
      </c>
      <c r="G148" s="30" t="n">
        <v>2.3</v>
      </c>
      <c r="H148" s="30" t="n">
        <v>5</v>
      </c>
      <c r="I148" s="30" t="n">
        <v>100</v>
      </c>
      <c r="J148" s="30" t="inlineStr">
        <is>
          <t>Essence</t>
        </is>
      </c>
      <c r="K148" s="30" t="n">
        <v>120</v>
      </c>
      <c r="L148" s="30" t="n">
        <v>35</v>
      </c>
      <c r="M148" s="30" t="n">
        <v>80</v>
      </c>
      <c r="N148" s="30" t="n">
        <v>350</v>
      </c>
      <c r="O148" s="30" t="n">
        <v>4</v>
      </c>
      <c r="P148" s="30" t="n">
        <v>500</v>
      </c>
      <c r="Q148" s="30" t="inlineStr">
        <is>
          <t>C/D — estimation par catégorie</t>
        </is>
      </c>
      <c r="R148" s="30" t="inlineStr">
        <is>
          <t>Archétype armored_car; estimation arrondie, marge indicative ±10–20 % ou davantage pour prototypes.</t>
        </is>
      </c>
    </row>
    <row r="149">
      <c r="A149" s="30" t="inlineStr">
        <is>
          <t>VEH-148</t>
        </is>
      </c>
      <c r="B149" s="30" t="inlineStr">
        <is>
          <t>AMC 34 / Renault YR</t>
        </is>
      </c>
      <c r="C149" s="30" t="inlineStr">
        <is>
          <t>Chars de cavalerie et prototypes</t>
        </is>
      </c>
      <c r="D149" s="30" t="n">
        <v>90000</v>
      </c>
      <c r="E149" s="30" t="n">
        <v>10</v>
      </c>
      <c r="F149" s="30" t="n">
        <v>4</v>
      </c>
      <c r="G149" s="30" t="n">
        <v>3.6</v>
      </c>
      <c r="H149" s="30" t="n">
        <v>30</v>
      </c>
      <c r="I149" s="30" t="n">
        <v>1000</v>
      </c>
      <c r="J149" s="30" t="inlineStr">
        <is>
          <t>Essence</t>
        </is>
      </c>
      <c r="K149" s="30" t="n">
        <v>1500</v>
      </c>
      <c r="L149" s="30" t="n">
        <v>400</v>
      </c>
      <c r="M149" s="30" t="n">
        <v>20</v>
      </c>
      <c r="N149" s="30" t="n">
        <v>100</v>
      </c>
      <c r="O149" s="30" t="n">
        <v>6</v>
      </c>
      <c r="P149" s="30" t="n">
        <v>0</v>
      </c>
      <c r="Q149" s="30" t="inlineStr">
        <is>
          <t>C/D — estimation par catégorie</t>
        </is>
      </c>
      <c r="R149" s="30" t="inlineStr">
        <is>
          <t>Archétype superheavy; estimation arrondie, marge indicative ±10–20 % ou davantage pour prototypes.</t>
        </is>
      </c>
    </row>
    <row r="150">
      <c r="A150" s="30" t="inlineStr">
        <is>
          <t>VEH-149</t>
        </is>
      </c>
      <c r="B150" s="30" t="inlineStr">
        <is>
          <t>AMC 35 / ACG-1</t>
        </is>
      </c>
      <c r="C150" s="30" t="inlineStr">
        <is>
          <t>Chars de cavalerie et prototypes</t>
        </is>
      </c>
      <c r="D150" s="30" t="n">
        <v>90000</v>
      </c>
      <c r="E150" s="30" t="n">
        <v>10</v>
      </c>
      <c r="F150" s="30" t="n">
        <v>4</v>
      </c>
      <c r="G150" s="30" t="n">
        <v>3.6</v>
      </c>
      <c r="H150" s="30" t="n">
        <v>30</v>
      </c>
      <c r="I150" s="30" t="n">
        <v>1000</v>
      </c>
      <c r="J150" s="30" t="inlineStr">
        <is>
          <t>Essence</t>
        </is>
      </c>
      <c r="K150" s="30" t="n">
        <v>1500</v>
      </c>
      <c r="L150" s="30" t="n">
        <v>400</v>
      </c>
      <c r="M150" s="30" t="n">
        <v>20</v>
      </c>
      <c r="N150" s="30" t="n">
        <v>100</v>
      </c>
      <c r="O150" s="30" t="n">
        <v>6</v>
      </c>
      <c r="P150" s="30" t="n">
        <v>0</v>
      </c>
      <c r="Q150" s="30" t="inlineStr">
        <is>
          <t>C/D — estimation par catégorie</t>
        </is>
      </c>
      <c r="R150" s="30" t="inlineStr">
        <is>
          <t>Archétype superheavy; estimation arrondie, marge indicative ±10–20 % ou davantage pour prototypes.</t>
        </is>
      </c>
    </row>
    <row r="151">
      <c r="A151" s="30" t="inlineStr">
        <is>
          <t>VEH-150</t>
        </is>
      </c>
      <c r="B151" s="30" t="inlineStr">
        <is>
          <t>FCM 36</t>
        </is>
      </c>
      <c r="C151" s="30" t="inlineStr">
        <is>
          <t>Chars légers et chars anciens</t>
        </is>
      </c>
      <c r="D151" s="30" t="n">
        <v>9000</v>
      </c>
      <c r="E151" s="30" t="n">
        <v>4.5</v>
      </c>
      <c r="F151" s="30" t="n">
        <v>2.2</v>
      </c>
      <c r="G151" s="30" t="n">
        <v>2.2</v>
      </c>
      <c r="H151" s="30" t="n">
        <v>7</v>
      </c>
      <c r="I151" s="30" t="n">
        <v>150</v>
      </c>
      <c r="J151" s="30" t="inlineStr">
        <is>
          <t>Essence</t>
        </is>
      </c>
      <c r="K151" s="30" t="n">
        <v>300</v>
      </c>
      <c r="L151" s="30" t="n">
        <v>100</v>
      </c>
      <c r="M151" s="30" t="n">
        <v>40</v>
      </c>
      <c r="N151" s="30" t="n">
        <v>180</v>
      </c>
      <c r="O151" s="30" t="n">
        <v>3</v>
      </c>
      <c r="P151" s="30" t="n">
        <v>0</v>
      </c>
      <c r="Q151" s="30" t="inlineStr">
        <is>
          <t>C/D — estimation par catégorie</t>
        </is>
      </c>
      <c r="R151" s="30" t="inlineStr">
        <is>
          <t>Archétype light_tank; estimation arrondie, marge indicative ±10–20 % ou davantage pour prototypes.</t>
        </is>
      </c>
    </row>
    <row r="152">
      <c r="A152" s="30" t="inlineStr">
        <is>
          <t>VEH-151</t>
        </is>
      </c>
      <c r="B152" s="30" t="inlineStr">
        <is>
          <t>Renault R40</t>
        </is>
      </c>
      <c r="C152" s="30" t="inlineStr">
        <is>
          <t>Chars légers et chars anciens</t>
        </is>
      </c>
      <c r="D152" s="30" t="n">
        <v>9000</v>
      </c>
      <c r="E152" s="30" t="n">
        <v>4.5</v>
      </c>
      <c r="F152" s="30" t="n">
        <v>2.2</v>
      </c>
      <c r="G152" s="30" t="n">
        <v>2.2</v>
      </c>
      <c r="H152" s="30" t="n">
        <v>7</v>
      </c>
      <c r="I152" s="30" t="n">
        <v>150</v>
      </c>
      <c r="J152" s="30" t="inlineStr">
        <is>
          <t>Essence</t>
        </is>
      </c>
      <c r="K152" s="30" t="n">
        <v>300</v>
      </c>
      <c r="L152" s="30" t="n">
        <v>100</v>
      </c>
      <c r="M152" s="30" t="n">
        <v>40</v>
      </c>
      <c r="N152" s="30" t="n">
        <v>180</v>
      </c>
      <c r="O152" s="30" t="n">
        <v>3</v>
      </c>
      <c r="P152" s="30" t="n">
        <v>0</v>
      </c>
      <c r="Q152" s="30" t="inlineStr">
        <is>
          <t>C/D — estimation par catégorie</t>
        </is>
      </c>
      <c r="R152" s="30" t="inlineStr">
        <is>
          <t>Archétype light_tank; estimation arrondie, marge indicative ±10–20 % ou davantage pour prototypes.</t>
        </is>
      </c>
    </row>
    <row r="153">
      <c r="A153" s="30" t="inlineStr">
        <is>
          <t>VEH-152</t>
        </is>
      </c>
      <c r="B153" s="30" t="inlineStr">
        <is>
          <t>Laffly W15 TCC</t>
        </is>
      </c>
      <c r="C153" s="30" t="inlineStr">
        <is>
          <t>Chasseurs de chars et canons automoteurs</t>
        </is>
      </c>
      <c r="D153" s="30" t="n">
        <v>25000</v>
      </c>
      <c r="E153" s="30" t="n">
        <v>6.5</v>
      </c>
      <c r="F153" s="30" t="n">
        <v>3</v>
      </c>
      <c r="G153" s="30" t="n">
        <v>2.5</v>
      </c>
      <c r="H153" s="30" t="n">
        <v>12</v>
      </c>
      <c r="I153" s="30" t="n">
        <v>400</v>
      </c>
      <c r="J153" s="30" t="inlineStr">
        <is>
          <t>Essence ou diesel selon variante</t>
        </is>
      </c>
      <c r="K153" s="30" t="n">
        <v>500</v>
      </c>
      <c r="L153" s="30" t="n">
        <v>190</v>
      </c>
      <c r="M153" s="30" t="n">
        <v>40</v>
      </c>
      <c r="N153" s="30" t="n">
        <v>180</v>
      </c>
      <c r="O153" s="30" t="n">
        <v>4</v>
      </c>
      <c r="P153" s="30" t="n">
        <v>0</v>
      </c>
      <c r="Q153" s="30" t="inlineStr">
        <is>
          <t>C/D — estimation par catégorie</t>
        </is>
      </c>
      <c r="R153" s="30" t="inlineStr">
        <is>
          <t>Archétype td; estimation arrondie, marge indicative ±10–20 % ou davantage pour prototypes.</t>
        </is>
      </c>
    </row>
    <row r="154">
      <c r="A154" s="30" t="inlineStr">
        <is>
          <t>VEH-153</t>
        </is>
      </c>
      <c r="B154" s="30" t="inlineStr">
        <is>
          <t>ARL V39</t>
        </is>
      </c>
      <c r="C154" s="30" t="inlineStr">
        <is>
          <t>Chasseurs de chars et canons automoteurs</t>
        </is>
      </c>
      <c r="D154" s="30" t="n">
        <v>25000</v>
      </c>
      <c r="E154" s="30" t="n">
        <v>6.5</v>
      </c>
      <c r="F154" s="30" t="n">
        <v>3</v>
      </c>
      <c r="G154" s="30" t="n">
        <v>2.5</v>
      </c>
      <c r="H154" s="30" t="n">
        <v>12</v>
      </c>
      <c r="I154" s="30" t="n">
        <v>400</v>
      </c>
      <c r="J154" s="30" t="inlineStr">
        <is>
          <t>Essence ou diesel selon variante</t>
        </is>
      </c>
      <c r="K154" s="30" t="n">
        <v>500</v>
      </c>
      <c r="L154" s="30" t="n">
        <v>190</v>
      </c>
      <c r="M154" s="30" t="n">
        <v>40</v>
      </c>
      <c r="N154" s="30" t="n">
        <v>180</v>
      </c>
      <c r="O154" s="30" t="n">
        <v>4</v>
      </c>
      <c r="P154" s="30" t="n">
        <v>0</v>
      </c>
      <c r="Q154" s="30" t="inlineStr">
        <is>
          <t>C/D — estimation par catégorie</t>
        </is>
      </c>
      <c r="R154" s="30" t="inlineStr">
        <is>
          <t>Archétype td; estimation arrondie, marge indicative ±10–20 % ou davantage pour prototypes.</t>
        </is>
      </c>
    </row>
    <row r="155">
      <c r="A155" s="30" t="inlineStr">
        <is>
          <t>VEH-154</t>
        </is>
      </c>
      <c r="B155" s="30" t="inlineStr">
        <is>
          <t>FCM F1</t>
        </is>
      </c>
      <c r="C155" s="30" t="inlineStr">
        <is>
          <t>Chars lourds et prototypes</t>
        </is>
      </c>
      <c r="D155" s="30" t="n">
        <v>45000</v>
      </c>
      <c r="E155" s="30" t="n">
        <v>7</v>
      </c>
      <c r="F155" s="30" t="n">
        <v>3.5</v>
      </c>
      <c r="G155" s="30" t="n">
        <v>3.1</v>
      </c>
      <c r="H155" s="30" t="n">
        <v>18</v>
      </c>
      <c r="I155" s="30" t="n">
        <v>600</v>
      </c>
      <c r="J155" s="30" t="inlineStr">
        <is>
          <t>Essence</t>
        </is>
      </c>
      <c r="K155" s="30" t="n">
        <v>800</v>
      </c>
      <c r="L155" s="30" t="n">
        <v>250</v>
      </c>
      <c r="M155" s="30" t="n">
        <v>30</v>
      </c>
      <c r="N155" s="30" t="n">
        <v>150</v>
      </c>
      <c r="O155" s="30" t="n">
        <v>5</v>
      </c>
      <c r="P155" s="30" t="n">
        <v>0</v>
      </c>
      <c r="Q155" s="30" t="inlineStr">
        <is>
          <t>C/D — estimation par catégorie</t>
        </is>
      </c>
      <c r="R155" s="30" t="inlineStr">
        <is>
          <t>Archétype heavy_tank; estimation arrondie, marge indicative ±10–20 % ou davantage pour prototypes.</t>
        </is>
      </c>
    </row>
    <row r="156">
      <c r="A156" s="30" t="inlineStr">
        <is>
          <t>VEH-155</t>
        </is>
      </c>
      <c r="B156" s="30" t="inlineStr">
        <is>
          <t>Panzer I Ausf. A</t>
        </is>
      </c>
      <c r="C156" s="30" t="inlineStr">
        <is>
          <t>Chars légers et chars anciens</t>
        </is>
      </c>
      <c r="D156" s="30" t="n">
        <v>9000</v>
      </c>
      <c r="E156" s="30" t="n">
        <v>4.5</v>
      </c>
      <c r="F156" s="30" t="n">
        <v>2.2</v>
      </c>
      <c r="G156" s="30" t="n">
        <v>2.2</v>
      </c>
      <c r="H156" s="30" t="n">
        <v>7</v>
      </c>
      <c r="I156" s="30" t="n">
        <v>150</v>
      </c>
      <c r="J156" s="30" t="inlineStr">
        <is>
          <t>Essence probable</t>
        </is>
      </c>
      <c r="K156" s="30" t="n">
        <v>300</v>
      </c>
      <c r="L156" s="30" t="n">
        <v>100</v>
      </c>
      <c r="M156" s="30" t="n">
        <v>40</v>
      </c>
      <c r="N156" s="30" t="n">
        <v>180</v>
      </c>
      <c r="O156" s="30" t="n">
        <v>3</v>
      </c>
      <c r="P156" s="30" t="n">
        <v>0</v>
      </c>
      <c r="Q156" s="30" t="inlineStr">
        <is>
          <t>C/D — estimation par catégorie</t>
        </is>
      </c>
      <c r="R156" s="30" t="inlineStr">
        <is>
          <t>Archétype light_tank; estimation arrondie, marge indicative ±10–20 % ou davantage pour prototypes.</t>
        </is>
      </c>
    </row>
    <row r="157">
      <c r="A157" s="30" t="inlineStr">
        <is>
          <t>VEH-156</t>
        </is>
      </c>
      <c r="B157" s="30" t="inlineStr">
        <is>
          <t>Panzer I Ausf. B</t>
        </is>
      </c>
      <c r="C157" s="30" t="inlineStr">
        <is>
          <t>Chars légers et chars anciens</t>
        </is>
      </c>
      <c r="D157" s="30" t="n">
        <v>9000</v>
      </c>
      <c r="E157" s="30" t="n">
        <v>4.5</v>
      </c>
      <c r="F157" s="30" t="n">
        <v>2.2</v>
      </c>
      <c r="G157" s="30" t="n">
        <v>2.2</v>
      </c>
      <c r="H157" s="30" t="n">
        <v>7</v>
      </c>
      <c r="I157" s="30" t="n">
        <v>150</v>
      </c>
      <c r="J157" s="30" t="inlineStr">
        <is>
          <t>Essence probable</t>
        </is>
      </c>
      <c r="K157" s="30" t="n">
        <v>300</v>
      </c>
      <c r="L157" s="30" t="n">
        <v>100</v>
      </c>
      <c r="M157" s="30" t="n">
        <v>40</v>
      </c>
      <c r="N157" s="30" t="n">
        <v>180</v>
      </c>
      <c r="O157" s="30" t="n">
        <v>3</v>
      </c>
      <c r="P157" s="30" t="n">
        <v>0</v>
      </c>
      <c r="Q157" s="30" t="inlineStr">
        <is>
          <t>C/D — estimation par catégorie</t>
        </is>
      </c>
      <c r="R157" s="30" t="inlineStr">
        <is>
          <t>Archétype light_tank; estimation arrondie, marge indicative ±10–20 % ou davantage pour prototypes.</t>
        </is>
      </c>
    </row>
    <row r="158">
      <c r="A158" s="30" t="inlineStr">
        <is>
          <t>VEH-157</t>
        </is>
      </c>
      <c r="B158" s="30" t="inlineStr">
        <is>
          <t>Panzer II Ausf. A–C</t>
        </is>
      </c>
      <c r="C158" s="30" t="inlineStr">
        <is>
          <t>Chars légers et chars anciens</t>
        </is>
      </c>
      <c r="D158" s="30" t="n">
        <v>9000</v>
      </c>
      <c r="E158" s="30" t="n">
        <v>4.5</v>
      </c>
      <c r="F158" s="30" t="n">
        <v>2.2</v>
      </c>
      <c r="G158" s="30" t="n">
        <v>2.2</v>
      </c>
      <c r="H158" s="30" t="n">
        <v>7</v>
      </c>
      <c r="I158" s="30" t="n">
        <v>150</v>
      </c>
      <c r="J158" s="30" t="inlineStr">
        <is>
          <t>Essence probable</t>
        </is>
      </c>
      <c r="K158" s="30" t="n">
        <v>300</v>
      </c>
      <c r="L158" s="30" t="n">
        <v>100</v>
      </c>
      <c r="M158" s="30" t="n">
        <v>40</v>
      </c>
      <c r="N158" s="30" t="n">
        <v>180</v>
      </c>
      <c r="O158" s="30" t="n">
        <v>3</v>
      </c>
      <c r="P158" s="30" t="n">
        <v>0</v>
      </c>
      <c r="Q158" s="30" t="inlineStr">
        <is>
          <t>C/D — estimation par catégorie</t>
        </is>
      </c>
      <c r="R158" s="30" t="inlineStr">
        <is>
          <t>Archétype light_tank; estimation arrondie, marge indicative ±10–20 % ou davantage pour prototypes.</t>
        </is>
      </c>
    </row>
    <row r="159">
      <c r="A159" s="30" t="inlineStr">
        <is>
          <t>VEH-158</t>
        </is>
      </c>
      <c r="B159" s="30" t="inlineStr">
        <is>
          <t>Panzer II Ausf. F</t>
        </is>
      </c>
      <c r="C159" s="30" t="inlineStr">
        <is>
          <t>Chars légers et chars anciens</t>
        </is>
      </c>
      <c r="D159" s="30" t="n">
        <v>9000</v>
      </c>
      <c r="E159" s="30" t="n">
        <v>4.5</v>
      </c>
      <c r="F159" s="30" t="n">
        <v>2.2</v>
      </c>
      <c r="G159" s="30" t="n">
        <v>2.2</v>
      </c>
      <c r="H159" s="30" t="n">
        <v>7</v>
      </c>
      <c r="I159" s="30" t="n">
        <v>150</v>
      </c>
      <c r="J159" s="30" t="inlineStr">
        <is>
          <t>Essence probable</t>
        </is>
      </c>
      <c r="K159" s="30" t="n">
        <v>300</v>
      </c>
      <c r="L159" s="30" t="n">
        <v>100</v>
      </c>
      <c r="M159" s="30" t="n">
        <v>40</v>
      </c>
      <c r="N159" s="30" t="n">
        <v>180</v>
      </c>
      <c r="O159" s="30" t="n">
        <v>3</v>
      </c>
      <c r="P159" s="30" t="n">
        <v>0</v>
      </c>
      <c r="Q159" s="30" t="inlineStr">
        <is>
          <t>C/D — estimation par catégorie</t>
        </is>
      </c>
      <c r="R159" s="30" t="inlineStr">
        <is>
          <t>Archétype light_tank; estimation arrondie, marge indicative ±10–20 % ou davantage pour prototypes.</t>
        </is>
      </c>
    </row>
    <row r="160">
      <c r="A160" s="30" t="inlineStr">
        <is>
          <t>VEH-159</t>
        </is>
      </c>
      <c r="B160" s="30" t="inlineStr">
        <is>
          <t>Panzer II L Luchs</t>
        </is>
      </c>
      <c r="C160" s="30" t="inlineStr">
        <is>
          <t>Reconnaissance et chars légers</t>
        </is>
      </c>
      <c r="D160" s="30" t="n">
        <v>7000</v>
      </c>
      <c r="E160" s="30" t="n">
        <v>5</v>
      </c>
      <c r="F160" s="30" t="n">
        <v>2.1</v>
      </c>
      <c r="G160" s="30" t="n">
        <v>2.3</v>
      </c>
      <c r="H160" s="30" t="n">
        <v>5</v>
      </c>
      <c r="I160" s="30" t="n">
        <v>100</v>
      </c>
      <c r="J160" s="30" t="inlineStr">
        <is>
          <t>Essence probable</t>
        </is>
      </c>
      <c r="K160" s="30" t="n">
        <v>120</v>
      </c>
      <c r="L160" s="30" t="n">
        <v>35</v>
      </c>
      <c r="M160" s="30" t="n">
        <v>80</v>
      </c>
      <c r="N160" s="30" t="n">
        <v>350</v>
      </c>
      <c r="O160" s="30" t="n">
        <v>4</v>
      </c>
      <c r="P160" s="30" t="n">
        <v>500</v>
      </c>
      <c r="Q160" s="30" t="inlineStr">
        <is>
          <t>C/D — estimation par catégorie</t>
        </is>
      </c>
      <c r="R160" s="30" t="inlineStr">
        <is>
          <t>Archétype armored_car; estimation arrondie, marge indicative ±10–20 % ou davantage pour prototypes.</t>
        </is>
      </c>
    </row>
    <row r="161">
      <c r="A161" s="30" t="inlineStr">
        <is>
          <t>VEH-160</t>
        </is>
      </c>
      <c r="B161" s="30" t="inlineStr">
        <is>
          <t>Neubaufahrzeug</t>
        </is>
      </c>
      <c r="C161" s="30" t="inlineStr">
        <is>
          <t>Chars lourds et prototypes</t>
        </is>
      </c>
      <c r="D161" s="30" t="n">
        <v>45000</v>
      </c>
      <c r="E161" s="30" t="n">
        <v>7</v>
      </c>
      <c r="F161" s="30" t="n">
        <v>3.5</v>
      </c>
      <c r="G161" s="30" t="n">
        <v>3.1</v>
      </c>
      <c r="H161" s="30" t="n">
        <v>18</v>
      </c>
      <c r="I161" s="30" t="n">
        <v>600</v>
      </c>
      <c r="J161" s="30" t="inlineStr">
        <is>
          <t>Essence probable</t>
        </is>
      </c>
      <c r="K161" s="30" t="n">
        <v>800</v>
      </c>
      <c r="L161" s="30" t="n">
        <v>250</v>
      </c>
      <c r="M161" s="30" t="n">
        <v>30</v>
      </c>
      <c r="N161" s="30" t="n">
        <v>150</v>
      </c>
      <c r="O161" s="30" t="n">
        <v>5</v>
      </c>
      <c r="P161" s="30" t="n">
        <v>0</v>
      </c>
      <c r="Q161" s="30" t="inlineStr">
        <is>
          <t>C/D — estimation par catégorie</t>
        </is>
      </c>
      <c r="R161" s="30" t="inlineStr">
        <is>
          <t>Archétype heavy_tank; estimation arrondie, marge indicative ±10–20 % ou davantage pour prototypes.</t>
        </is>
      </c>
    </row>
    <row r="162">
      <c r="A162" t="inlineStr">
        <is>
          <t>VEH-161</t>
        </is>
      </c>
      <c r="B162" t="inlineStr">
        <is>
          <t>Panzer III Ausf. E–G</t>
        </is>
      </c>
      <c r="C162" t="inlineStr">
        <is>
          <t>Chars moyens</t>
        </is>
      </c>
      <c r="D162" t="n">
        <v>20000</v>
      </c>
      <c r="E162" t="n">
        <v>6.4</v>
      </c>
      <c r="F162" t="n">
        <v>2.9</v>
      </c>
      <c r="G162" t="n">
        <v>2.5</v>
      </c>
      <c r="H162" t="n">
        <v>10.8</v>
      </c>
      <c r="I162" t="n">
        <v>265</v>
      </c>
      <c r="J162" t="inlineStr">
        <is>
          <t>Essence probable</t>
        </is>
      </c>
      <c r="K162" t="n">
        <v>320</v>
      </c>
      <c r="L162" t="n">
        <v>180</v>
      </c>
      <c r="M162" t="n">
        <v>40</v>
      </c>
      <c r="N162" t="n">
        <v>165</v>
      </c>
      <c r="O162" t="n">
        <v>5</v>
      </c>
      <c r="P162" t="n">
        <v>0</v>
      </c>
      <c r="Q162" t="inlineStr">
        <is>
          <t>B — modèle courant</t>
        </is>
      </c>
      <c r="R162" t="inlineStr">
        <is>
          <t>Valeurs arrondies d'un modèle connu; les variantes peuvent diverger.</t>
        </is>
      </c>
    </row>
    <row r="163">
      <c r="A163" t="inlineStr">
        <is>
          <t>VEH-162</t>
        </is>
      </c>
      <c r="B163" t="inlineStr">
        <is>
          <t>Panzer III Ausf. J–N</t>
        </is>
      </c>
      <c r="C163" t="inlineStr">
        <is>
          <t>Chars moyens</t>
        </is>
      </c>
      <c r="D163" t="n">
        <v>23000</v>
      </c>
      <c r="E163" t="n">
        <v>6.4</v>
      </c>
      <c r="F163" t="n">
        <v>2.9</v>
      </c>
      <c r="G163" t="n">
        <v>2.5</v>
      </c>
      <c r="H163" t="n">
        <v>10.8</v>
      </c>
      <c r="I163" t="n">
        <v>300</v>
      </c>
      <c r="J163" t="inlineStr">
        <is>
          <t>Essence probable</t>
        </is>
      </c>
      <c r="K163" t="n">
        <v>320</v>
      </c>
      <c r="L163" t="n">
        <v>200</v>
      </c>
      <c r="M163" t="n">
        <v>40</v>
      </c>
      <c r="N163" t="n">
        <v>165</v>
      </c>
      <c r="O163" t="n">
        <v>5</v>
      </c>
      <c r="P163" t="n">
        <v>0</v>
      </c>
      <c r="Q163" t="inlineStr">
        <is>
          <t>B — modèle courant</t>
        </is>
      </c>
      <c r="R163" t="inlineStr">
        <is>
          <t>Valeurs arrondies d'un modèle connu; les variantes peuvent diverger.</t>
        </is>
      </c>
    </row>
    <row r="164">
      <c r="A164" t="inlineStr">
        <is>
          <t>VEH-163</t>
        </is>
      </c>
      <c r="B164" t="inlineStr">
        <is>
          <t>Panzer IV Ausf. A–F1</t>
        </is>
      </c>
      <c r="C164" t="inlineStr">
        <is>
          <t>Chars moyens</t>
        </is>
      </c>
      <c r="D164" t="n">
        <v>20000</v>
      </c>
      <c r="E164" t="n">
        <v>5.9</v>
      </c>
      <c r="F164" t="n">
        <v>2.9</v>
      </c>
      <c r="G164" t="n">
        <v>2.7</v>
      </c>
      <c r="H164" t="n">
        <v>11.9</v>
      </c>
      <c r="I164" t="n">
        <v>300</v>
      </c>
      <c r="J164" t="inlineStr">
        <is>
          <t>Essence probable</t>
        </is>
      </c>
      <c r="K164" t="n">
        <v>470</v>
      </c>
      <c r="L164" t="n">
        <v>200</v>
      </c>
      <c r="M164" t="n">
        <v>40</v>
      </c>
      <c r="N164" t="n">
        <v>200</v>
      </c>
      <c r="O164" t="n">
        <v>5</v>
      </c>
      <c r="P164" t="n">
        <v>0</v>
      </c>
      <c r="Q164" t="inlineStr">
        <is>
          <t>B — modèle courant</t>
        </is>
      </c>
      <c r="R164" t="inlineStr">
        <is>
          <t>Valeurs arrondies d'un modèle connu; les variantes peuvent diverger.</t>
        </is>
      </c>
    </row>
    <row r="165">
      <c r="A165" t="inlineStr">
        <is>
          <t>VEH-164</t>
        </is>
      </c>
      <c r="B165" t="inlineStr">
        <is>
          <t>Panzer IV Ausf. F2–J</t>
        </is>
      </c>
      <c r="C165" t="inlineStr">
        <is>
          <t>Chars moyens</t>
        </is>
      </c>
      <c r="D165" t="n">
        <v>25000</v>
      </c>
      <c r="E165" t="n">
        <v>5.9</v>
      </c>
      <c r="F165" t="n">
        <v>2.9</v>
      </c>
      <c r="G165" t="n">
        <v>2.7</v>
      </c>
      <c r="H165" t="n">
        <v>11.9</v>
      </c>
      <c r="I165" t="n">
        <v>300</v>
      </c>
      <c r="J165" t="inlineStr">
        <is>
          <t>Essence probable</t>
        </is>
      </c>
      <c r="K165" t="n">
        <v>470</v>
      </c>
      <c r="L165" t="n">
        <v>220</v>
      </c>
      <c r="M165" t="n">
        <v>38</v>
      </c>
      <c r="N165" t="n">
        <v>200</v>
      </c>
      <c r="O165" t="n">
        <v>5</v>
      </c>
      <c r="P165" t="n">
        <v>0</v>
      </c>
      <c r="Q165" t="inlineStr">
        <is>
          <t>B — modèle courant</t>
        </is>
      </c>
      <c r="R165" t="inlineStr">
        <is>
          <t>Valeurs arrondies d'un modèle connu; les variantes peuvent diverger.</t>
        </is>
      </c>
    </row>
    <row r="166">
      <c r="A166" t="inlineStr">
        <is>
          <t>VEH-165</t>
        </is>
      </c>
      <c r="B166" t="inlineStr">
        <is>
          <t>Panther Ausf. D/A/G</t>
        </is>
      </c>
      <c r="C166" t="inlineStr">
        <is>
          <t>Chars moyens</t>
        </is>
      </c>
      <c r="D166" t="n">
        <v>45000</v>
      </c>
      <c r="E166" t="n">
        <v>8.9</v>
      </c>
      <c r="F166" t="n">
        <v>3.4</v>
      </c>
      <c r="G166" t="n">
        <v>2.9</v>
      </c>
      <c r="H166" t="n">
        <v>23</v>
      </c>
      <c r="I166" t="n">
        <v>700</v>
      </c>
      <c r="J166" t="inlineStr">
        <is>
          <t>Essence probable</t>
        </is>
      </c>
      <c r="K166" t="n">
        <v>730</v>
      </c>
      <c r="L166" t="n">
        <v>250</v>
      </c>
      <c r="M166" t="n">
        <v>46</v>
      </c>
      <c r="N166" t="n">
        <v>200</v>
      </c>
      <c r="O166" t="n">
        <v>5</v>
      </c>
      <c r="P166" t="n">
        <v>0</v>
      </c>
      <c r="Q166" t="inlineStr">
        <is>
          <t>B — modèle courant</t>
        </is>
      </c>
      <c r="R166" t="inlineStr">
        <is>
          <t>Valeurs arrondies d'un modèle connu; les variantes peuvent diverger.</t>
        </is>
      </c>
    </row>
    <row r="167">
      <c r="A167" s="30" t="inlineStr">
        <is>
          <t>VEH-166</t>
        </is>
      </c>
      <c r="B167" s="30" t="inlineStr">
        <is>
          <t>Maus</t>
        </is>
      </c>
      <c r="C167" s="30" t="inlineStr">
        <is>
          <t>Chars lourds et prototypes</t>
        </is>
      </c>
      <c r="D167" s="30" t="n">
        <v>45000</v>
      </c>
      <c r="E167" s="30" t="n">
        <v>7</v>
      </c>
      <c r="F167" s="30" t="n">
        <v>3.5</v>
      </c>
      <c r="G167" s="30" t="n">
        <v>3.1</v>
      </c>
      <c r="H167" s="30" t="n">
        <v>18</v>
      </c>
      <c r="I167" s="30" t="n">
        <v>600</v>
      </c>
      <c r="J167" s="30" t="inlineStr">
        <is>
          <t>Essence probable</t>
        </is>
      </c>
      <c r="K167" s="30" t="n">
        <v>800</v>
      </c>
      <c r="L167" s="30" t="n">
        <v>250</v>
      </c>
      <c r="M167" s="30" t="n">
        <v>30</v>
      </c>
      <c r="N167" s="30" t="n">
        <v>150</v>
      </c>
      <c r="O167" s="30" t="n">
        <v>5</v>
      </c>
      <c r="P167" s="30" t="n">
        <v>0</v>
      </c>
      <c r="Q167" s="30" t="inlineStr">
        <is>
          <t>C/D — estimation par catégorie</t>
        </is>
      </c>
      <c r="R167" s="30" t="inlineStr">
        <is>
          <t>Archétype heavy_tank; estimation arrondie, marge indicative ±10–20 % ou davantage pour prototypes.</t>
        </is>
      </c>
    </row>
    <row r="168">
      <c r="A168" s="30" t="inlineStr">
        <is>
          <t>VEH-167</t>
        </is>
      </c>
      <c r="B168" s="30" t="inlineStr">
        <is>
          <t>E-100</t>
        </is>
      </c>
      <c r="C168" s="30" t="inlineStr">
        <is>
          <t>Chars lourds et prototypes</t>
        </is>
      </c>
      <c r="D168" s="30" t="n">
        <v>45000</v>
      </c>
      <c r="E168" s="30" t="n">
        <v>7</v>
      </c>
      <c r="F168" s="30" t="n">
        <v>3.5</v>
      </c>
      <c r="G168" s="30" t="n">
        <v>3.1</v>
      </c>
      <c r="H168" s="30" t="n">
        <v>18</v>
      </c>
      <c r="I168" s="30" t="n">
        <v>600</v>
      </c>
      <c r="J168" s="30" t="inlineStr">
        <is>
          <t>Essence probable</t>
        </is>
      </c>
      <c r="K168" s="30" t="n">
        <v>800</v>
      </c>
      <c r="L168" s="30" t="n">
        <v>250</v>
      </c>
      <c r="M168" s="30" t="n">
        <v>30</v>
      </c>
      <c r="N168" s="30" t="n">
        <v>150</v>
      </c>
      <c r="O168" s="30" t="n">
        <v>5</v>
      </c>
      <c r="P168" s="30" t="n">
        <v>0</v>
      </c>
      <c r="Q168" s="30" t="inlineStr">
        <is>
          <t>C/D — estimation par catégorie</t>
        </is>
      </c>
      <c r="R168" s="30" t="inlineStr">
        <is>
          <t>Archétype heavy_tank; estimation arrondie, marge indicative ±10–20 % ou davantage pour prototypes.</t>
        </is>
      </c>
    </row>
    <row r="169">
      <c r="A169" t="inlineStr">
        <is>
          <t>VEH-168</t>
        </is>
      </c>
      <c r="B169" t="inlineStr">
        <is>
          <t>Jagdpanzer IV</t>
        </is>
      </c>
      <c r="C169" t="inlineStr">
        <is>
          <t>Chasseurs de chars et canons automoteurs</t>
        </is>
      </c>
      <c r="D169" t="n">
        <v>25000</v>
      </c>
      <c r="E169" t="n">
        <v>5.9</v>
      </c>
      <c r="F169" t="n">
        <v>2.9</v>
      </c>
      <c r="G169" t="n">
        <v>2.7</v>
      </c>
      <c r="H169" t="n">
        <v>11.9</v>
      </c>
      <c r="I169" t="n">
        <v>300</v>
      </c>
      <c r="J169" t="inlineStr">
        <is>
          <t>Essence probable</t>
        </is>
      </c>
      <c r="K169" t="n">
        <v>470</v>
      </c>
      <c r="L169" t="n">
        <v>220</v>
      </c>
      <c r="M169" t="n">
        <v>38</v>
      </c>
      <c r="N169" t="n">
        <v>200</v>
      </c>
      <c r="O169" t="n">
        <v>5</v>
      </c>
      <c r="P169" t="n">
        <v>0</v>
      </c>
      <c r="Q169" t="inlineStr">
        <is>
          <t>B/C — famille connue</t>
        </is>
      </c>
      <c r="R169" t="inlineStr">
        <is>
          <t>Valeurs typiques Panzer IV selon sous-famille.</t>
        </is>
      </c>
    </row>
    <row r="170">
      <c r="A170" s="30" t="inlineStr">
        <is>
          <t>VEH-169</t>
        </is>
      </c>
      <c r="B170" s="30" t="inlineStr">
        <is>
          <t>Elefant / Ferdinand</t>
        </is>
      </c>
      <c r="C170" s="30" t="inlineStr">
        <is>
          <t>Chasseurs de chars et canons automoteurs</t>
        </is>
      </c>
      <c r="D170" s="30" t="n">
        <v>25000</v>
      </c>
      <c r="E170" s="30" t="n">
        <v>6.5</v>
      </c>
      <c r="F170" s="30" t="n">
        <v>3</v>
      </c>
      <c r="G170" s="30" t="n">
        <v>2.5</v>
      </c>
      <c r="H170" s="30" t="n">
        <v>12</v>
      </c>
      <c r="I170" s="30" t="n">
        <v>400</v>
      </c>
      <c r="J170" s="30" t="inlineStr">
        <is>
          <t>Essence ou diesel selon variante</t>
        </is>
      </c>
      <c r="K170" s="30" t="n">
        <v>500</v>
      </c>
      <c r="L170" s="30" t="n">
        <v>190</v>
      </c>
      <c r="M170" s="30" t="n">
        <v>40</v>
      </c>
      <c r="N170" s="30" t="n">
        <v>180</v>
      </c>
      <c r="O170" s="30" t="n">
        <v>4</v>
      </c>
      <c r="P170" s="30" t="n">
        <v>0</v>
      </c>
      <c r="Q170" s="30" t="inlineStr">
        <is>
          <t>C/D — estimation par catégorie</t>
        </is>
      </c>
      <c r="R170" s="30" t="inlineStr">
        <is>
          <t>Archétype td; estimation arrondie, marge indicative ±10–20 % ou davantage pour prototypes.</t>
        </is>
      </c>
    </row>
    <row r="171">
      <c r="A171" s="30" t="inlineStr">
        <is>
          <t>VEH-170</t>
        </is>
      </c>
      <c r="B171" s="30" t="inlineStr">
        <is>
          <t>Sturmtiger</t>
        </is>
      </c>
      <c r="C171" s="30" t="inlineStr">
        <is>
          <t>Chasseurs de chars et canons automoteurs</t>
        </is>
      </c>
      <c r="D171" s="30" t="n">
        <v>25000</v>
      </c>
      <c r="E171" s="30" t="n">
        <v>6.5</v>
      </c>
      <c r="F171" s="30" t="n">
        <v>3</v>
      </c>
      <c r="G171" s="30" t="n">
        <v>2.5</v>
      </c>
      <c r="H171" s="30" t="n">
        <v>12</v>
      </c>
      <c r="I171" s="30" t="n">
        <v>400</v>
      </c>
      <c r="J171" s="30" t="inlineStr">
        <is>
          <t>Essence probable</t>
        </is>
      </c>
      <c r="K171" s="30" t="n">
        <v>500</v>
      </c>
      <c r="L171" s="30" t="n">
        <v>190</v>
      </c>
      <c r="M171" s="30" t="n">
        <v>40</v>
      </c>
      <c r="N171" s="30" t="n">
        <v>180</v>
      </c>
      <c r="O171" s="30" t="n">
        <v>4</v>
      </c>
      <c r="P171" s="30" t="n">
        <v>0</v>
      </c>
      <c r="Q171" s="30" t="inlineStr">
        <is>
          <t>C/D — estimation par catégorie</t>
        </is>
      </c>
      <c r="R171" s="30" t="inlineStr">
        <is>
          <t>Archétype td; estimation arrondie, marge indicative ±10–20 % ou davantage pour prototypes.</t>
        </is>
      </c>
    </row>
    <row r="172">
      <c r="A172" t="inlineStr">
        <is>
          <t>VEH-171</t>
        </is>
      </c>
      <c r="B172" t="inlineStr">
        <is>
          <t>Brummbär / Sturmpanzer IV</t>
        </is>
      </c>
      <c r="C172" t="inlineStr">
        <is>
          <t>Chasseurs de chars et canons automoteurs</t>
        </is>
      </c>
      <c r="D172" t="n">
        <v>20000</v>
      </c>
      <c r="E172" t="n">
        <v>5.9</v>
      </c>
      <c r="F172" t="n">
        <v>2.9</v>
      </c>
      <c r="G172" t="n">
        <v>2.7</v>
      </c>
      <c r="H172" t="n">
        <v>11.9</v>
      </c>
      <c r="I172" t="n">
        <v>300</v>
      </c>
      <c r="J172" t="inlineStr">
        <is>
          <t>Essence probable</t>
        </is>
      </c>
      <c r="K172" t="n">
        <v>470</v>
      </c>
      <c r="L172" t="n">
        <v>200</v>
      </c>
      <c r="M172" t="n">
        <v>40</v>
      </c>
      <c r="N172" t="n">
        <v>200</v>
      </c>
      <c r="O172" t="n">
        <v>5</v>
      </c>
      <c r="P172" t="n">
        <v>0</v>
      </c>
      <c r="Q172" t="inlineStr">
        <is>
          <t>B/C — famille connue</t>
        </is>
      </c>
      <c r="R172" t="inlineStr">
        <is>
          <t>Valeurs typiques Panzer IV selon sous-famille.</t>
        </is>
      </c>
    </row>
    <row r="173">
      <c r="A173" s="30" t="inlineStr">
        <is>
          <t>VEH-172</t>
        </is>
      </c>
      <c r="B173" s="30" t="inlineStr">
        <is>
          <t>Wespe</t>
        </is>
      </c>
      <c r="C173" s="30" t="inlineStr">
        <is>
          <t>Chasseurs de chars et canons automoteurs</t>
        </is>
      </c>
      <c r="D173" s="30" t="n">
        <v>25000</v>
      </c>
      <c r="E173" s="30" t="n">
        <v>6.5</v>
      </c>
      <c r="F173" s="30" t="n">
        <v>3</v>
      </c>
      <c r="G173" s="30" t="n">
        <v>2.5</v>
      </c>
      <c r="H173" s="30" t="n">
        <v>12</v>
      </c>
      <c r="I173" s="30" t="n">
        <v>400</v>
      </c>
      <c r="J173" s="30" t="inlineStr">
        <is>
          <t>Essence probable</t>
        </is>
      </c>
      <c r="K173" s="30" t="n">
        <v>500</v>
      </c>
      <c r="L173" s="30" t="n">
        <v>190</v>
      </c>
      <c r="M173" s="30" t="n">
        <v>40</v>
      </c>
      <c r="N173" s="30" t="n">
        <v>180</v>
      </c>
      <c r="O173" s="30" t="n">
        <v>4</v>
      </c>
      <c r="P173" s="30" t="n">
        <v>0</v>
      </c>
      <c r="Q173" s="30" t="inlineStr">
        <is>
          <t>C/D — estimation par catégorie</t>
        </is>
      </c>
      <c r="R173" s="30" t="inlineStr">
        <is>
          <t>Archétype td; estimation arrondie, marge indicative ±10–20 % ou davantage pour prototypes.</t>
        </is>
      </c>
    </row>
    <row r="174">
      <c r="A174" s="30" t="inlineStr">
        <is>
          <t>VEH-173</t>
        </is>
      </c>
      <c r="B174" s="30" t="inlineStr">
        <is>
          <t>Hummel</t>
        </is>
      </c>
      <c r="C174" s="30" t="inlineStr">
        <is>
          <t>Chasseurs de chars et canons automoteurs</t>
        </is>
      </c>
      <c r="D174" s="30" t="n">
        <v>25000</v>
      </c>
      <c r="E174" s="30" t="n">
        <v>6.5</v>
      </c>
      <c r="F174" s="30" t="n">
        <v>3</v>
      </c>
      <c r="G174" s="30" t="n">
        <v>2.5</v>
      </c>
      <c r="H174" s="30" t="n">
        <v>12</v>
      </c>
      <c r="I174" s="30" t="n">
        <v>400</v>
      </c>
      <c r="J174" s="30" t="inlineStr">
        <is>
          <t>Essence probable</t>
        </is>
      </c>
      <c r="K174" s="30" t="n">
        <v>500</v>
      </c>
      <c r="L174" s="30" t="n">
        <v>190</v>
      </c>
      <c r="M174" s="30" t="n">
        <v>40</v>
      </c>
      <c r="N174" s="30" t="n">
        <v>180</v>
      </c>
      <c r="O174" s="30" t="n">
        <v>4</v>
      </c>
      <c r="P174" s="30" t="n">
        <v>0</v>
      </c>
      <c r="Q174" s="30" t="inlineStr">
        <is>
          <t>C/D — estimation par catégorie</t>
        </is>
      </c>
      <c r="R174" s="30" t="inlineStr">
        <is>
          <t>Archétype td; estimation arrondie, marge indicative ±10–20 % ou davantage pour prototypes.</t>
        </is>
      </c>
    </row>
    <row r="175">
      <c r="A175" s="30" t="inlineStr">
        <is>
          <t>VEH-174</t>
        </is>
      </c>
      <c r="B175" s="30" t="inlineStr">
        <is>
          <t>Marder II</t>
        </is>
      </c>
      <c r="C175" s="30" t="inlineStr">
        <is>
          <t>Chasseurs de chars et canons automoteurs</t>
        </is>
      </c>
      <c r="D175" s="30" t="n">
        <v>25000</v>
      </c>
      <c r="E175" s="30" t="n">
        <v>6.5</v>
      </c>
      <c r="F175" s="30" t="n">
        <v>3</v>
      </c>
      <c r="G175" s="30" t="n">
        <v>2.5</v>
      </c>
      <c r="H175" s="30" t="n">
        <v>12</v>
      </c>
      <c r="I175" s="30" t="n">
        <v>400</v>
      </c>
      <c r="J175" s="30" t="inlineStr">
        <is>
          <t>Essence probable</t>
        </is>
      </c>
      <c r="K175" s="30" t="n">
        <v>500</v>
      </c>
      <c r="L175" s="30" t="n">
        <v>190</v>
      </c>
      <c r="M175" s="30" t="n">
        <v>40</v>
      </c>
      <c r="N175" s="30" t="n">
        <v>180</v>
      </c>
      <c r="O175" s="30" t="n">
        <v>4</v>
      </c>
      <c r="P175" s="30" t="n">
        <v>0</v>
      </c>
      <c r="Q175" s="30" t="inlineStr">
        <is>
          <t>C/D — estimation par catégorie</t>
        </is>
      </c>
      <c r="R175" s="30" t="inlineStr">
        <is>
          <t>Archétype td; estimation arrondie, marge indicative ±10–20 % ou davantage pour prototypes.</t>
        </is>
      </c>
    </row>
    <row r="176">
      <c r="A176" s="30" t="inlineStr">
        <is>
          <t>VEH-175</t>
        </is>
      </c>
      <c r="B176" s="30" t="inlineStr">
        <is>
          <t>Marder III</t>
        </is>
      </c>
      <c r="C176" s="30" t="inlineStr">
        <is>
          <t>Chasseurs de chars et canons automoteurs</t>
        </is>
      </c>
      <c r="D176" s="30" t="n">
        <v>25000</v>
      </c>
      <c r="E176" s="30" t="n">
        <v>6.5</v>
      </c>
      <c r="F176" s="30" t="n">
        <v>3</v>
      </c>
      <c r="G176" s="30" t="n">
        <v>2.5</v>
      </c>
      <c r="H176" s="30" t="n">
        <v>12</v>
      </c>
      <c r="I176" s="30" t="n">
        <v>400</v>
      </c>
      <c r="J176" s="30" t="inlineStr">
        <is>
          <t>Essence probable</t>
        </is>
      </c>
      <c r="K176" s="30" t="n">
        <v>500</v>
      </c>
      <c r="L176" s="30" t="n">
        <v>190</v>
      </c>
      <c r="M176" s="30" t="n">
        <v>40</v>
      </c>
      <c r="N176" s="30" t="n">
        <v>180</v>
      </c>
      <c r="O176" s="30" t="n">
        <v>4</v>
      </c>
      <c r="P176" s="30" t="n">
        <v>0</v>
      </c>
      <c r="Q176" s="30" t="inlineStr">
        <is>
          <t>C/D — estimation par catégorie</t>
        </is>
      </c>
      <c r="R176" s="30" t="inlineStr">
        <is>
          <t>Archétype td; estimation arrondie, marge indicative ±10–20 % ou davantage pour prototypes.</t>
        </is>
      </c>
    </row>
    <row r="177">
      <c r="A177" s="30" t="inlineStr">
        <is>
          <t>VEH-176</t>
        </is>
      </c>
      <c r="B177" s="30" t="inlineStr">
        <is>
          <t>Nashorn / Hornisse</t>
        </is>
      </c>
      <c r="C177" s="30" t="inlineStr">
        <is>
          <t>Chasseurs de chars et canons automoteurs</t>
        </is>
      </c>
      <c r="D177" s="30" t="n">
        <v>25000</v>
      </c>
      <c r="E177" s="30" t="n">
        <v>6.5</v>
      </c>
      <c r="F177" s="30" t="n">
        <v>3</v>
      </c>
      <c r="G177" s="30" t="n">
        <v>2.5</v>
      </c>
      <c r="H177" s="30" t="n">
        <v>12</v>
      </c>
      <c r="I177" s="30" t="n">
        <v>400</v>
      </c>
      <c r="J177" s="30" t="inlineStr">
        <is>
          <t>Essence ou diesel selon variante</t>
        </is>
      </c>
      <c r="K177" s="30" t="n">
        <v>500</v>
      </c>
      <c r="L177" s="30" t="n">
        <v>190</v>
      </c>
      <c r="M177" s="30" t="n">
        <v>40</v>
      </c>
      <c r="N177" s="30" t="n">
        <v>180</v>
      </c>
      <c r="O177" s="30" t="n">
        <v>4</v>
      </c>
      <c r="P177" s="30" t="n">
        <v>0</v>
      </c>
      <c r="Q177" s="30" t="inlineStr">
        <is>
          <t>C/D — estimation par catégorie</t>
        </is>
      </c>
      <c r="R177" s="30" t="inlineStr">
        <is>
          <t>Archétype td; estimation arrondie, marge indicative ±10–20 % ou davantage pour prototypes.</t>
        </is>
      </c>
    </row>
    <row r="178">
      <c r="A178" s="30" t="inlineStr">
        <is>
          <t>VEH-177</t>
        </is>
      </c>
      <c r="B178" s="30" t="inlineStr">
        <is>
          <t>Sturmpanzer I Bison</t>
        </is>
      </c>
      <c r="C178" s="30" t="inlineStr">
        <is>
          <t>Chasseurs de chars et canons automoteurs</t>
        </is>
      </c>
      <c r="D178" s="30" t="n">
        <v>25000</v>
      </c>
      <c r="E178" s="30" t="n">
        <v>6.5</v>
      </c>
      <c r="F178" s="30" t="n">
        <v>3</v>
      </c>
      <c r="G178" s="30" t="n">
        <v>2.5</v>
      </c>
      <c r="H178" s="30" t="n">
        <v>12</v>
      </c>
      <c r="I178" s="30" t="n">
        <v>400</v>
      </c>
      <c r="J178" s="30" t="inlineStr">
        <is>
          <t>Essence probable</t>
        </is>
      </c>
      <c r="K178" s="30" t="n">
        <v>500</v>
      </c>
      <c r="L178" s="30" t="n">
        <v>190</v>
      </c>
      <c r="M178" s="30" t="n">
        <v>40</v>
      </c>
      <c r="N178" s="30" t="n">
        <v>180</v>
      </c>
      <c r="O178" s="30" t="n">
        <v>4</v>
      </c>
      <c r="P178" s="30" t="n">
        <v>0</v>
      </c>
      <c r="Q178" s="30" t="inlineStr">
        <is>
          <t>C/D — estimation par catégorie</t>
        </is>
      </c>
      <c r="R178" s="30" t="inlineStr">
        <is>
          <t>Archétype td; estimation arrondie, marge indicative ±10–20 % ou davantage pour prototypes.</t>
        </is>
      </c>
    </row>
    <row r="179">
      <c r="A179" s="30" t="inlineStr">
        <is>
          <t>VEH-178</t>
        </is>
      </c>
      <c r="B179" s="30" t="inlineStr">
        <is>
          <t>A11 Matilda I</t>
        </is>
      </c>
      <c r="C179" s="30" t="inlineStr">
        <is>
          <t>Chars légers et chars anciens</t>
        </is>
      </c>
      <c r="D179" s="30" t="n">
        <v>9000</v>
      </c>
      <c r="E179" s="30" t="n">
        <v>4.5</v>
      </c>
      <c r="F179" s="30" t="n">
        <v>2.2</v>
      </c>
      <c r="G179" s="30" t="n">
        <v>2.2</v>
      </c>
      <c r="H179" s="30" t="n">
        <v>7</v>
      </c>
      <c r="I179" s="30" t="n">
        <v>150</v>
      </c>
      <c r="J179" s="30" t="inlineStr">
        <is>
          <t>Essence</t>
        </is>
      </c>
      <c r="K179" s="30" t="n">
        <v>300</v>
      </c>
      <c r="L179" s="30" t="n">
        <v>100</v>
      </c>
      <c r="M179" s="30" t="n">
        <v>40</v>
      </c>
      <c r="N179" s="30" t="n">
        <v>180</v>
      </c>
      <c r="O179" s="30" t="n">
        <v>3</v>
      </c>
      <c r="P179" s="30" t="n">
        <v>0</v>
      </c>
      <c r="Q179" s="30" t="inlineStr">
        <is>
          <t>C/D — estimation par catégorie</t>
        </is>
      </c>
      <c r="R179" s="30" t="inlineStr">
        <is>
          <t>Archétype light_tank; estimation arrondie, marge indicative ±10–20 % ou davantage pour prototypes.</t>
        </is>
      </c>
    </row>
    <row r="180">
      <c r="A180" s="30" t="inlineStr">
        <is>
          <t>VEH-179</t>
        </is>
      </c>
      <c r="B180" s="30" t="inlineStr">
        <is>
          <t>A12 Matilda II</t>
        </is>
      </c>
      <c r="C180" s="30" t="inlineStr">
        <is>
          <t>Chars d'infanterie</t>
        </is>
      </c>
      <c r="D180" s="30" t="n">
        <v>45000</v>
      </c>
      <c r="E180" s="30" t="n">
        <v>7</v>
      </c>
      <c r="F180" s="30" t="n">
        <v>3.5</v>
      </c>
      <c r="G180" s="30" t="n">
        <v>3.1</v>
      </c>
      <c r="H180" s="30" t="n">
        <v>18</v>
      </c>
      <c r="I180" s="30" t="n">
        <v>600</v>
      </c>
      <c r="J180" s="30" t="inlineStr">
        <is>
          <t>Essence</t>
        </is>
      </c>
      <c r="K180" s="30" t="n">
        <v>800</v>
      </c>
      <c r="L180" s="30" t="n">
        <v>250</v>
      </c>
      <c r="M180" s="30" t="n">
        <v>30</v>
      </c>
      <c r="N180" s="30" t="n">
        <v>150</v>
      </c>
      <c r="O180" s="30" t="n">
        <v>5</v>
      </c>
      <c r="P180" s="30" t="n">
        <v>0</v>
      </c>
      <c r="Q180" s="30" t="inlineStr">
        <is>
          <t>C/D — estimation par catégorie</t>
        </is>
      </c>
      <c r="R180" s="30" t="inlineStr">
        <is>
          <t>Archétype heavy_tank; estimation arrondie, marge indicative ±10–20 % ou davantage pour prototypes.</t>
        </is>
      </c>
    </row>
    <row r="181">
      <c r="A181" s="30" t="inlineStr">
        <is>
          <t>VEH-180</t>
        </is>
      </c>
      <c r="B181" s="30" t="inlineStr">
        <is>
          <t>A9 Cruiser Mk I</t>
        </is>
      </c>
      <c r="C181" s="30" t="inlineStr">
        <is>
          <t>Chars de croisière</t>
        </is>
      </c>
      <c r="D181" s="30" t="n">
        <v>28000</v>
      </c>
      <c r="E181" s="30" t="n">
        <v>6</v>
      </c>
      <c r="F181" s="30" t="n">
        <v>2.8</v>
      </c>
      <c r="G181" s="30" t="n">
        <v>2.7</v>
      </c>
      <c r="H181" s="30" t="n">
        <v>12</v>
      </c>
      <c r="I181" s="30" t="n">
        <v>400</v>
      </c>
      <c r="J181" s="30" t="inlineStr">
        <is>
          <t>Essence</t>
        </is>
      </c>
      <c r="K181" s="30" t="n">
        <v>500</v>
      </c>
      <c r="L181" s="30" t="n">
        <v>180</v>
      </c>
      <c r="M181" s="30" t="n">
        <v>40</v>
      </c>
      <c r="N181" s="30" t="n">
        <v>200</v>
      </c>
      <c r="O181" s="30" t="n">
        <v>5</v>
      </c>
      <c r="P181" s="30" t="n">
        <v>0</v>
      </c>
      <c r="Q181" s="30" t="inlineStr">
        <is>
          <t>C/D — estimation par catégorie</t>
        </is>
      </c>
      <c r="R181" s="30" t="inlineStr">
        <is>
          <t>Archétype medium_tank; estimation arrondie, marge indicative ±10–20 % ou davantage pour prototypes.</t>
        </is>
      </c>
    </row>
    <row r="182">
      <c r="A182" s="30" t="inlineStr">
        <is>
          <t>VEH-181</t>
        </is>
      </c>
      <c r="B182" s="30" t="inlineStr">
        <is>
          <t>A10 Cruiser Mk II</t>
        </is>
      </c>
      <c r="C182" s="30" t="inlineStr">
        <is>
          <t>Chars de croisière</t>
        </is>
      </c>
      <c r="D182" s="30" t="n">
        <v>28000</v>
      </c>
      <c r="E182" s="30" t="n">
        <v>6</v>
      </c>
      <c r="F182" s="30" t="n">
        <v>2.8</v>
      </c>
      <c r="G182" s="30" t="n">
        <v>2.7</v>
      </c>
      <c r="H182" s="30" t="n">
        <v>12</v>
      </c>
      <c r="I182" s="30" t="n">
        <v>400</v>
      </c>
      <c r="J182" s="30" t="inlineStr">
        <is>
          <t>Essence</t>
        </is>
      </c>
      <c r="K182" s="30" t="n">
        <v>500</v>
      </c>
      <c r="L182" s="30" t="n">
        <v>180</v>
      </c>
      <c r="M182" s="30" t="n">
        <v>40</v>
      </c>
      <c r="N182" s="30" t="n">
        <v>200</v>
      </c>
      <c r="O182" s="30" t="n">
        <v>5</v>
      </c>
      <c r="P182" s="30" t="n">
        <v>0</v>
      </c>
      <c r="Q182" s="30" t="inlineStr">
        <is>
          <t>C/D — estimation par catégorie</t>
        </is>
      </c>
      <c r="R182" s="30" t="inlineStr">
        <is>
          <t>Archétype medium_tank; estimation arrondie, marge indicative ±10–20 % ou davantage pour prototypes.</t>
        </is>
      </c>
    </row>
    <row r="183">
      <c r="A183" s="30" t="inlineStr">
        <is>
          <t>VEH-182</t>
        </is>
      </c>
      <c r="B183" s="30" t="inlineStr">
        <is>
          <t>A13 Cruiser Mk III</t>
        </is>
      </c>
      <c r="C183" s="30" t="inlineStr">
        <is>
          <t>Chars de croisière</t>
        </is>
      </c>
      <c r="D183" s="30" t="n">
        <v>28000</v>
      </c>
      <c r="E183" s="30" t="n">
        <v>6</v>
      </c>
      <c r="F183" s="30" t="n">
        <v>2.8</v>
      </c>
      <c r="G183" s="30" t="n">
        <v>2.7</v>
      </c>
      <c r="H183" s="30" t="n">
        <v>12</v>
      </c>
      <c r="I183" s="30" t="n">
        <v>400</v>
      </c>
      <c r="J183" s="30" t="inlineStr">
        <is>
          <t>Essence</t>
        </is>
      </c>
      <c r="K183" s="30" t="n">
        <v>500</v>
      </c>
      <c r="L183" s="30" t="n">
        <v>180</v>
      </c>
      <c r="M183" s="30" t="n">
        <v>40</v>
      </c>
      <c r="N183" s="30" t="n">
        <v>200</v>
      </c>
      <c r="O183" s="30" t="n">
        <v>5</v>
      </c>
      <c r="P183" s="30" t="n">
        <v>0</v>
      </c>
      <c r="Q183" s="30" t="inlineStr">
        <is>
          <t>C/D — estimation par catégorie</t>
        </is>
      </c>
      <c r="R183" s="30" t="inlineStr">
        <is>
          <t>Archétype medium_tank; estimation arrondie, marge indicative ±10–20 % ou davantage pour prototypes.</t>
        </is>
      </c>
    </row>
    <row r="184">
      <c r="A184" s="30" t="inlineStr">
        <is>
          <t>VEH-183</t>
        </is>
      </c>
      <c r="B184" s="30" t="inlineStr">
        <is>
          <t>A13 Cruiser Mk IV</t>
        </is>
      </c>
      <c r="C184" s="30" t="inlineStr">
        <is>
          <t>Chars de croisière</t>
        </is>
      </c>
      <c r="D184" s="30" t="n">
        <v>28000</v>
      </c>
      <c r="E184" s="30" t="n">
        <v>6</v>
      </c>
      <c r="F184" s="30" t="n">
        <v>2.8</v>
      </c>
      <c r="G184" s="30" t="n">
        <v>2.7</v>
      </c>
      <c r="H184" s="30" t="n">
        <v>12</v>
      </c>
      <c r="I184" s="30" t="n">
        <v>400</v>
      </c>
      <c r="J184" s="30" t="inlineStr">
        <is>
          <t>Essence</t>
        </is>
      </c>
      <c r="K184" s="30" t="n">
        <v>500</v>
      </c>
      <c r="L184" s="30" t="n">
        <v>180</v>
      </c>
      <c r="M184" s="30" t="n">
        <v>40</v>
      </c>
      <c r="N184" s="30" t="n">
        <v>200</v>
      </c>
      <c r="O184" s="30" t="n">
        <v>5</v>
      </c>
      <c r="P184" s="30" t="n">
        <v>0</v>
      </c>
      <c r="Q184" s="30" t="inlineStr">
        <is>
          <t>C/D — estimation par catégorie</t>
        </is>
      </c>
      <c r="R184" s="30" t="inlineStr">
        <is>
          <t>Archétype medium_tank; estimation arrondie, marge indicative ±10–20 % ou davantage pour prototypes.</t>
        </is>
      </c>
    </row>
    <row r="185">
      <c r="A185" s="30" t="inlineStr">
        <is>
          <t>VEH-184</t>
        </is>
      </c>
      <c r="B185" s="30" t="inlineStr">
        <is>
          <t>Covenanter A13 Mk III</t>
        </is>
      </c>
      <c r="C185" s="30" t="inlineStr">
        <is>
          <t>Chars de croisière</t>
        </is>
      </c>
      <c r="D185" s="30" t="n">
        <v>28000</v>
      </c>
      <c r="E185" s="30" t="n">
        <v>6</v>
      </c>
      <c r="F185" s="30" t="n">
        <v>2.8</v>
      </c>
      <c r="G185" s="30" t="n">
        <v>2.7</v>
      </c>
      <c r="H185" s="30" t="n">
        <v>12</v>
      </c>
      <c r="I185" s="30" t="n">
        <v>400</v>
      </c>
      <c r="J185" s="30" t="inlineStr">
        <is>
          <t>Essence</t>
        </is>
      </c>
      <c r="K185" s="30" t="n">
        <v>500</v>
      </c>
      <c r="L185" s="30" t="n">
        <v>180</v>
      </c>
      <c r="M185" s="30" t="n">
        <v>40</v>
      </c>
      <c r="N185" s="30" t="n">
        <v>200</v>
      </c>
      <c r="O185" s="30" t="n">
        <v>5</v>
      </c>
      <c r="P185" s="30" t="n">
        <v>0</v>
      </c>
      <c r="Q185" s="30" t="inlineStr">
        <is>
          <t>C/D — estimation par catégorie</t>
        </is>
      </c>
      <c r="R185" s="30" t="inlineStr">
        <is>
          <t>Archétype medium_tank; estimation arrondie, marge indicative ±10–20 % ou davantage pour prototypes.</t>
        </is>
      </c>
    </row>
    <row r="186">
      <c r="A186" s="30" t="inlineStr">
        <is>
          <t>VEH-185</t>
        </is>
      </c>
      <c r="B186" s="30" t="inlineStr">
        <is>
          <t>Crusader I/II</t>
        </is>
      </c>
      <c r="C186" s="30" t="inlineStr">
        <is>
          <t>Chars de croisière</t>
        </is>
      </c>
      <c r="D186" s="30" t="n">
        <v>28000</v>
      </c>
      <c r="E186" s="30" t="n">
        <v>6</v>
      </c>
      <c r="F186" s="30" t="n">
        <v>2.8</v>
      </c>
      <c r="G186" s="30" t="n">
        <v>2.7</v>
      </c>
      <c r="H186" s="30" t="n">
        <v>12</v>
      </c>
      <c r="I186" s="30" t="n">
        <v>400</v>
      </c>
      <c r="J186" s="30" t="inlineStr">
        <is>
          <t>Essence</t>
        </is>
      </c>
      <c r="K186" s="30" t="n">
        <v>500</v>
      </c>
      <c r="L186" s="30" t="n">
        <v>180</v>
      </c>
      <c r="M186" s="30" t="n">
        <v>40</v>
      </c>
      <c r="N186" s="30" t="n">
        <v>200</v>
      </c>
      <c r="O186" s="30" t="n">
        <v>5</v>
      </c>
      <c r="P186" s="30" t="n">
        <v>0</v>
      </c>
      <c r="Q186" s="30" t="inlineStr">
        <is>
          <t>C/D — estimation par catégorie</t>
        </is>
      </c>
      <c r="R186" s="30" t="inlineStr">
        <is>
          <t>Archétype medium_tank; estimation arrondie, marge indicative ±10–20 % ou davantage pour prototypes.</t>
        </is>
      </c>
    </row>
    <row r="187">
      <c r="A187" s="30" t="inlineStr">
        <is>
          <t>VEH-186</t>
        </is>
      </c>
      <c r="B187" s="30" t="inlineStr">
        <is>
          <t>Crusader III</t>
        </is>
      </c>
      <c r="C187" s="30" t="inlineStr">
        <is>
          <t>Chars de croisière</t>
        </is>
      </c>
      <c r="D187" s="30" t="n">
        <v>28000</v>
      </c>
      <c r="E187" s="30" t="n">
        <v>6</v>
      </c>
      <c r="F187" s="30" t="n">
        <v>2.8</v>
      </c>
      <c r="G187" s="30" t="n">
        <v>2.7</v>
      </c>
      <c r="H187" s="30" t="n">
        <v>12</v>
      </c>
      <c r="I187" s="30" t="n">
        <v>400</v>
      </c>
      <c r="J187" s="30" t="inlineStr">
        <is>
          <t>Essence</t>
        </is>
      </c>
      <c r="K187" s="30" t="n">
        <v>500</v>
      </c>
      <c r="L187" s="30" t="n">
        <v>180</v>
      </c>
      <c r="M187" s="30" t="n">
        <v>40</v>
      </c>
      <c r="N187" s="30" t="n">
        <v>200</v>
      </c>
      <c r="O187" s="30" t="n">
        <v>5</v>
      </c>
      <c r="P187" s="30" t="n">
        <v>0</v>
      </c>
      <c r="Q187" s="30" t="inlineStr">
        <is>
          <t>C/D — estimation par catégorie</t>
        </is>
      </c>
      <c r="R187" s="30" t="inlineStr">
        <is>
          <t>Archétype medium_tank; estimation arrondie, marge indicative ±10–20 % ou davantage pour prototypes.</t>
        </is>
      </c>
    </row>
    <row r="188">
      <c r="A188" t="inlineStr">
        <is>
          <t>VEH-187</t>
        </is>
      </c>
      <c r="B188" t="inlineStr">
        <is>
          <t>Churchill Mk I–III</t>
        </is>
      </c>
      <c r="C188" t="inlineStr">
        <is>
          <t>Chars d'infanterie</t>
        </is>
      </c>
      <c r="D188" t="n">
        <v>39000</v>
      </c>
      <c r="E188" t="n">
        <v>7.4</v>
      </c>
      <c r="F188" t="n">
        <v>3.3</v>
      </c>
      <c r="G188" t="n">
        <v>2.8</v>
      </c>
      <c r="H188" t="n">
        <v>21</v>
      </c>
      <c r="I188" t="n">
        <v>350</v>
      </c>
      <c r="J188" t="inlineStr">
        <is>
          <t>Essence</t>
        </is>
      </c>
      <c r="K188" t="n">
        <v>680</v>
      </c>
      <c r="L188" t="n">
        <v>250</v>
      </c>
      <c r="M188" t="n">
        <v>25</v>
      </c>
      <c r="N188" t="n">
        <v>120</v>
      </c>
      <c r="O188" t="n">
        <v>5</v>
      </c>
      <c r="P188" t="n">
        <v>0</v>
      </c>
      <c r="Q188" t="inlineStr">
        <is>
          <t>B — modèle courant</t>
        </is>
      </c>
      <c r="R188" t="inlineStr">
        <is>
          <t>Valeurs arrondies d'un modèle connu; les variantes peuvent diverger.</t>
        </is>
      </c>
    </row>
    <row r="189">
      <c r="A189" t="inlineStr">
        <is>
          <t>VEH-188</t>
        </is>
      </c>
      <c r="B189" t="inlineStr">
        <is>
          <t>Churchill Mk IV–VII</t>
        </is>
      </c>
      <c r="C189" t="inlineStr">
        <is>
          <t>Chars d'infanterie</t>
        </is>
      </c>
      <c r="D189" t="n">
        <v>40000</v>
      </c>
      <c r="E189" t="n">
        <v>7.4</v>
      </c>
      <c r="F189" t="n">
        <v>3.3</v>
      </c>
      <c r="G189" t="n">
        <v>2.8</v>
      </c>
      <c r="H189" t="n">
        <v>21</v>
      </c>
      <c r="I189" t="n">
        <v>350</v>
      </c>
      <c r="J189" t="inlineStr">
        <is>
          <t>Essence</t>
        </is>
      </c>
      <c r="K189" t="n">
        <v>680</v>
      </c>
      <c r="L189" t="n">
        <v>250</v>
      </c>
      <c r="M189" t="n">
        <v>25</v>
      </c>
      <c r="N189" t="n">
        <v>120</v>
      </c>
      <c r="O189" t="n">
        <v>5</v>
      </c>
      <c r="P189" t="n">
        <v>0</v>
      </c>
      <c r="Q189" t="inlineStr">
        <is>
          <t>B — modèle courant</t>
        </is>
      </c>
      <c r="R189" t="inlineStr">
        <is>
          <t>Valeurs arrondies d'un modèle connu; les variantes peuvent diverger.</t>
        </is>
      </c>
    </row>
    <row r="190">
      <c r="A190" s="30" t="inlineStr">
        <is>
          <t>VEH-189</t>
        </is>
      </c>
      <c r="B190" s="30" t="inlineStr">
        <is>
          <t>Cromwell IV</t>
        </is>
      </c>
      <c r="C190" s="30" t="inlineStr">
        <is>
          <t>Chars de croisière</t>
        </is>
      </c>
      <c r="D190" s="30" t="n">
        <v>28000</v>
      </c>
      <c r="E190" s="30" t="n">
        <v>6</v>
      </c>
      <c r="F190" s="30" t="n">
        <v>2.8</v>
      </c>
      <c r="G190" s="30" t="n">
        <v>2.7</v>
      </c>
      <c r="H190" s="30" t="n">
        <v>12</v>
      </c>
      <c r="I190" s="30" t="n">
        <v>400</v>
      </c>
      <c r="J190" s="30" t="inlineStr">
        <is>
          <t>Essence</t>
        </is>
      </c>
      <c r="K190" s="30" t="n">
        <v>500</v>
      </c>
      <c r="L190" s="30" t="n">
        <v>180</v>
      </c>
      <c r="M190" s="30" t="n">
        <v>40</v>
      </c>
      <c r="N190" s="30" t="n">
        <v>200</v>
      </c>
      <c r="O190" s="30" t="n">
        <v>5</v>
      </c>
      <c r="P190" s="30" t="n">
        <v>0</v>
      </c>
      <c r="Q190" s="30" t="inlineStr">
        <is>
          <t>C/D — estimation par catégorie</t>
        </is>
      </c>
      <c r="R190" s="30" t="inlineStr">
        <is>
          <t>Archétype medium_tank; estimation arrondie, marge indicative ±10–20 % ou davantage pour prototypes.</t>
        </is>
      </c>
    </row>
    <row r="191">
      <c r="A191" s="30" t="inlineStr">
        <is>
          <t>VEH-190</t>
        </is>
      </c>
      <c r="B191" s="30" t="inlineStr">
        <is>
          <t>Centaur IV</t>
        </is>
      </c>
      <c r="C191" s="30" t="inlineStr">
        <is>
          <t>Chars de croisière</t>
        </is>
      </c>
      <c r="D191" s="30" t="n">
        <v>28000</v>
      </c>
      <c r="E191" s="30" t="n">
        <v>6</v>
      </c>
      <c r="F191" s="30" t="n">
        <v>2.8</v>
      </c>
      <c r="G191" s="30" t="n">
        <v>2.7</v>
      </c>
      <c r="H191" s="30" t="n">
        <v>12</v>
      </c>
      <c r="I191" s="30" t="n">
        <v>400</v>
      </c>
      <c r="J191" s="30" t="inlineStr">
        <is>
          <t>Essence</t>
        </is>
      </c>
      <c r="K191" s="30" t="n">
        <v>500</v>
      </c>
      <c r="L191" s="30" t="n">
        <v>180</v>
      </c>
      <c r="M191" s="30" t="n">
        <v>40</v>
      </c>
      <c r="N191" s="30" t="n">
        <v>200</v>
      </c>
      <c r="O191" s="30" t="n">
        <v>5</v>
      </c>
      <c r="P191" s="30" t="n">
        <v>0</v>
      </c>
      <c r="Q191" s="30" t="inlineStr">
        <is>
          <t>C/D — estimation par catégorie</t>
        </is>
      </c>
      <c r="R191" s="30" t="inlineStr">
        <is>
          <t>Archétype medium_tank; estimation arrondie, marge indicative ±10–20 % ou davantage pour prototypes.</t>
        </is>
      </c>
    </row>
    <row r="192">
      <c r="A192" s="30" t="inlineStr">
        <is>
          <t>VEH-191</t>
        </is>
      </c>
      <c r="B192" s="30" t="inlineStr">
        <is>
          <t>Comet A34</t>
        </is>
      </c>
      <c r="C192" s="30" t="inlineStr">
        <is>
          <t>Chars de croisière</t>
        </is>
      </c>
      <c r="D192" s="30" t="n">
        <v>28000</v>
      </c>
      <c r="E192" s="30" t="n">
        <v>6</v>
      </c>
      <c r="F192" s="30" t="n">
        <v>2.8</v>
      </c>
      <c r="G192" s="30" t="n">
        <v>2.7</v>
      </c>
      <c r="H192" s="30" t="n">
        <v>12</v>
      </c>
      <c r="I192" s="30" t="n">
        <v>400</v>
      </c>
      <c r="J192" s="30" t="inlineStr">
        <is>
          <t>Essence</t>
        </is>
      </c>
      <c r="K192" s="30" t="n">
        <v>500</v>
      </c>
      <c r="L192" s="30" t="n">
        <v>180</v>
      </c>
      <c r="M192" s="30" t="n">
        <v>40</v>
      </c>
      <c r="N192" s="30" t="n">
        <v>200</v>
      </c>
      <c r="O192" s="30" t="n">
        <v>5</v>
      </c>
      <c r="P192" s="30" t="n">
        <v>0</v>
      </c>
      <c r="Q192" s="30" t="inlineStr">
        <is>
          <t>C/D — estimation par catégorie</t>
        </is>
      </c>
      <c r="R192" s="30" t="inlineStr">
        <is>
          <t>Archétype medium_tank; estimation arrondie, marge indicative ±10–20 % ou davantage pour prototypes.</t>
        </is>
      </c>
    </row>
    <row r="193">
      <c r="A193" s="30" t="inlineStr">
        <is>
          <t>VEH-192</t>
        </is>
      </c>
      <c r="B193" s="30" t="inlineStr">
        <is>
          <t>Tetrarch</t>
        </is>
      </c>
      <c r="C193" s="30" t="inlineStr">
        <is>
          <t>Chars légers et chars anciens</t>
        </is>
      </c>
      <c r="D193" s="30" t="n">
        <v>9000</v>
      </c>
      <c r="E193" s="30" t="n">
        <v>4.5</v>
      </c>
      <c r="F193" s="30" t="n">
        <v>2.2</v>
      </c>
      <c r="G193" s="30" t="n">
        <v>2.2</v>
      </c>
      <c r="H193" s="30" t="n">
        <v>7</v>
      </c>
      <c r="I193" s="30" t="n">
        <v>150</v>
      </c>
      <c r="J193" s="30" t="inlineStr">
        <is>
          <t>Essence</t>
        </is>
      </c>
      <c r="K193" s="30" t="n">
        <v>300</v>
      </c>
      <c r="L193" s="30" t="n">
        <v>100</v>
      </c>
      <c r="M193" s="30" t="n">
        <v>40</v>
      </c>
      <c r="N193" s="30" t="n">
        <v>180</v>
      </c>
      <c r="O193" s="30" t="n">
        <v>3</v>
      </c>
      <c r="P193" s="30" t="n">
        <v>0</v>
      </c>
      <c r="Q193" s="30" t="inlineStr">
        <is>
          <t>C/D — estimation par catégorie</t>
        </is>
      </c>
      <c r="R193" s="30" t="inlineStr">
        <is>
          <t>Archétype light_tank; estimation arrondie, marge indicative ±10–20 % ou davantage pour prototypes.</t>
        </is>
      </c>
    </row>
    <row r="194">
      <c r="A194" s="30" t="inlineStr">
        <is>
          <t>VEH-193</t>
        </is>
      </c>
      <c r="B194" s="30" t="inlineStr">
        <is>
          <t>Archer</t>
        </is>
      </c>
      <c r="C194" s="30" t="inlineStr">
        <is>
          <t>Chasseurs de chars et canons automoteurs</t>
        </is>
      </c>
      <c r="D194" s="30" t="n">
        <v>25000</v>
      </c>
      <c r="E194" s="30" t="n">
        <v>6.5</v>
      </c>
      <c r="F194" s="30" t="n">
        <v>3</v>
      </c>
      <c r="G194" s="30" t="n">
        <v>2.5</v>
      </c>
      <c r="H194" s="30" t="n">
        <v>12</v>
      </c>
      <c r="I194" s="30" t="n">
        <v>400</v>
      </c>
      <c r="J194" s="30" t="inlineStr">
        <is>
          <t>Essence ou diesel selon variante</t>
        </is>
      </c>
      <c r="K194" s="30" t="n">
        <v>500</v>
      </c>
      <c r="L194" s="30" t="n">
        <v>190</v>
      </c>
      <c r="M194" s="30" t="n">
        <v>40</v>
      </c>
      <c r="N194" s="30" t="n">
        <v>180</v>
      </c>
      <c r="O194" s="30" t="n">
        <v>4</v>
      </c>
      <c r="P194" s="30" t="n">
        <v>0</v>
      </c>
      <c r="Q194" s="30" t="inlineStr">
        <is>
          <t>C/D — estimation par catégorie</t>
        </is>
      </c>
      <c r="R194" s="30" t="inlineStr">
        <is>
          <t>Archétype td; estimation arrondie, marge indicative ±10–20 % ou davantage pour prototypes.</t>
        </is>
      </c>
    </row>
    <row r="195">
      <c r="A195" s="30" t="inlineStr">
        <is>
          <t>VEH-194</t>
        </is>
      </c>
      <c r="B195" s="30" t="inlineStr">
        <is>
          <t>Bishop</t>
        </is>
      </c>
      <c r="C195" s="30" t="inlineStr">
        <is>
          <t>Chasseurs de chars et canons automoteurs</t>
        </is>
      </c>
      <c r="D195" s="30" t="n">
        <v>25000</v>
      </c>
      <c r="E195" s="30" t="n">
        <v>6.5</v>
      </c>
      <c r="F195" s="30" t="n">
        <v>3</v>
      </c>
      <c r="G195" s="30" t="n">
        <v>2.5</v>
      </c>
      <c r="H195" s="30" t="n">
        <v>12</v>
      </c>
      <c r="I195" s="30" t="n">
        <v>400</v>
      </c>
      <c r="J195" s="30" t="inlineStr">
        <is>
          <t>Essence ou diesel selon variante</t>
        </is>
      </c>
      <c r="K195" s="30" t="n">
        <v>500</v>
      </c>
      <c r="L195" s="30" t="n">
        <v>190</v>
      </c>
      <c r="M195" s="30" t="n">
        <v>40</v>
      </c>
      <c r="N195" s="30" t="n">
        <v>180</v>
      </c>
      <c r="O195" s="30" t="n">
        <v>4</v>
      </c>
      <c r="P195" s="30" t="n">
        <v>0</v>
      </c>
      <c r="Q195" s="30" t="inlineStr">
        <is>
          <t>C/D — estimation par catégorie</t>
        </is>
      </c>
      <c r="R195" s="30" t="inlineStr">
        <is>
          <t>Archétype td; estimation arrondie, marge indicative ±10–20 % ou davantage pour prototypes.</t>
        </is>
      </c>
    </row>
    <row r="196">
      <c r="A196" s="30" t="inlineStr">
        <is>
          <t>VEH-195</t>
        </is>
      </c>
      <c r="B196" s="30" t="inlineStr">
        <is>
          <t>Sexton</t>
        </is>
      </c>
      <c r="C196" s="30" t="inlineStr">
        <is>
          <t>Chasseurs de chars et canons automoteurs</t>
        </is>
      </c>
      <c r="D196" s="30" t="n">
        <v>25000</v>
      </c>
      <c r="E196" s="30" t="n">
        <v>6.5</v>
      </c>
      <c r="F196" s="30" t="n">
        <v>3</v>
      </c>
      <c r="G196" s="30" t="n">
        <v>2.5</v>
      </c>
      <c r="H196" s="30" t="n">
        <v>12</v>
      </c>
      <c r="I196" s="30" t="n">
        <v>400</v>
      </c>
      <c r="J196" s="30" t="inlineStr">
        <is>
          <t>Essence ou diesel selon variante</t>
        </is>
      </c>
      <c r="K196" s="30" t="n">
        <v>500</v>
      </c>
      <c r="L196" s="30" t="n">
        <v>190</v>
      </c>
      <c r="M196" s="30" t="n">
        <v>40</v>
      </c>
      <c r="N196" s="30" t="n">
        <v>180</v>
      </c>
      <c r="O196" s="30" t="n">
        <v>4</v>
      </c>
      <c r="P196" s="30" t="n">
        <v>0</v>
      </c>
      <c r="Q196" s="30" t="inlineStr">
        <is>
          <t>C/D — estimation par catégorie</t>
        </is>
      </c>
      <c r="R196" s="30" t="inlineStr">
        <is>
          <t>Archétype td; estimation arrondie, marge indicative ±10–20 % ou davantage pour prototypes.</t>
        </is>
      </c>
    </row>
    <row r="197">
      <c r="A197" s="30" t="inlineStr">
        <is>
          <t>VEH-196</t>
        </is>
      </c>
      <c r="B197" s="30" t="inlineStr">
        <is>
          <t>M2 Light Tank</t>
        </is>
      </c>
      <c r="C197" s="30" t="inlineStr">
        <is>
          <t>Chars légers et chars anciens</t>
        </is>
      </c>
      <c r="D197" s="30" t="n">
        <v>9000</v>
      </c>
      <c r="E197" s="30" t="n">
        <v>4.5</v>
      </c>
      <c r="F197" s="30" t="n">
        <v>2.2</v>
      </c>
      <c r="G197" s="30" t="n">
        <v>2.2</v>
      </c>
      <c r="H197" s="30" t="n">
        <v>7</v>
      </c>
      <c r="I197" s="30" t="n">
        <v>150</v>
      </c>
      <c r="J197" s="30" t="inlineStr">
        <is>
          <t>Essence</t>
        </is>
      </c>
      <c r="K197" s="30" t="n">
        <v>300</v>
      </c>
      <c r="L197" s="30" t="n">
        <v>100</v>
      </c>
      <c r="M197" s="30" t="n">
        <v>40</v>
      </c>
      <c r="N197" s="30" t="n">
        <v>180</v>
      </c>
      <c r="O197" s="30" t="n">
        <v>3</v>
      </c>
      <c r="P197" s="30" t="n">
        <v>0</v>
      </c>
      <c r="Q197" s="30" t="inlineStr">
        <is>
          <t>C/D — estimation par catégorie</t>
        </is>
      </c>
      <c r="R197" s="30" t="inlineStr">
        <is>
          <t>Archétype light_tank; estimation arrondie, marge indicative ±10–20 % ou davantage pour prototypes.</t>
        </is>
      </c>
    </row>
    <row r="198">
      <c r="A198" s="30" t="inlineStr">
        <is>
          <t>VEH-197</t>
        </is>
      </c>
      <c r="B198" s="30" t="inlineStr">
        <is>
          <t>M2 Medium Tank</t>
        </is>
      </c>
      <c r="C198" s="30" t="inlineStr">
        <is>
          <t>Chars moyens</t>
        </is>
      </c>
      <c r="D198" s="30" t="n">
        <v>28000</v>
      </c>
      <c r="E198" s="30" t="n">
        <v>6</v>
      </c>
      <c r="F198" s="30" t="n">
        <v>2.8</v>
      </c>
      <c r="G198" s="30" t="n">
        <v>2.7</v>
      </c>
      <c r="H198" s="30" t="n">
        <v>12</v>
      </c>
      <c r="I198" s="30" t="n">
        <v>400</v>
      </c>
      <c r="J198" s="30" t="inlineStr">
        <is>
          <t>Essence</t>
        </is>
      </c>
      <c r="K198" s="30" t="n">
        <v>500</v>
      </c>
      <c r="L198" s="30" t="n">
        <v>180</v>
      </c>
      <c r="M198" s="30" t="n">
        <v>40</v>
      </c>
      <c r="N198" s="30" t="n">
        <v>200</v>
      </c>
      <c r="O198" s="30" t="n">
        <v>5</v>
      </c>
      <c r="P198" s="30" t="n">
        <v>0</v>
      </c>
      <c r="Q198" s="30" t="inlineStr">
        <is>
          <t>C/D — estimation par catégorie</t>
        </is>
      </c>
      <c r="R198" s="30" t="inlineStr">
        <is>
          <t>Archétype medium_tank; estimation arrondie, marge indicative ±10–20 % ou davantage pour prototypes.</t>
        </is>
      </c>
    </row>
    <row r="199">
      <c r="A199" t="inlineStr">
        <is>
          <t>VEH-198</t>
        </is>
      </c>
      <c r="B199" t="inlineStr">
        <is>
          <t>M4 Sherman M4/M4A1</t>
        </is>
      </c>
      <c r="C199" t="inlineStr">
        <is>
          <t>Chars moyens</t>
        </is>
      </c>
      <c r="D199" t="n">
        <v>33000</v>
      </c>
      <c r="E199" t="n">
        <v>5.9</v>
      </c>
      <c r="F199" t="n">
        <v>2.6</v>
      </c>
      <c r="G199" t="n">
        <v>2.7</v>
      </c>
      <c r="H199" t="n">
        <v>13</v>
      </c>
      <c r="I199" t="n">
        <v>400</v>
      </c>
      <c r="J199" t="inlineStr">
        <is>
          <t>Essence</t>
        </is>
      </c>
      <c r="K199" t="n">
        <v>660</v>
      </c>
      <c r="L199" t="n">
        <v>200</v>
      </c>
      <c r="M199" t="n">
        <v>40</v>
      </c>
      <c r="N199" t="n">
        <v>190</v>
      </c>
      <c r="O199" t="n">
        <v>5</v>
      </c>
      <c r="P199" t="n">
        <v>0</v>
      </c>
      <c r="Q199" t="inlineStr">
        <is>
          <t>B — modèle courant</t>
        </is>
      </c>
      <c r="R199" t="inlineStr">
        <is>
          <t>Valeurs arrondies d'un modèle connu; les variantes peuvent diverger.</t>
        </is>
      </c>
    </row>
    <row r="200">
      <c r="A200" t="inlineStr">
        <is>
          <t>VEH-199</t>
        </is>
      </c>
      <c r="B200" t="inlineStr">
        <is>
          <t>M4 Sherman M4A2</t>
        </is>
      </c>
      <c r="C200" t="inlineStr">
        <is>
          <t>Chars moyens</t>
        </is>
      </c>
      <c r="D200" t="n">
        <v>33000</v>
      </c>
      <c r="E200" t="n">
        <v>5.9</v>
      </c>
      <c r="F200" t="n">
        <v>2.6</v>
      </c>
      <c r="G200" t="n">
        <v>2.7</v>
      </c>
      <c r="H200" t="n">
        <v>14.7</v>
      </c>
      <c r="I200" t="n">
        <v>375</v>
      </c>
      <c r="J200" t="inlineStr">
        <is>
          <t>Essence</t>
        </is>
      </c>
      <c r="K200" t="n">
        <v>660</v>
      </c>
      <c r="L200" t="n">
        <v>180</v>
      </c>
      <c r="M200" t="n">
        <v>40</v>
      </c>
      <c r="N200" t="n">
        <v>190</v>
      </c>
      <c r="O200" t="n">
        <v>5</v>
      </c>
      <c r="P200" t="n">
        <v>0</v>
      </c>
      <c r="Q200" t="inlineStr">
        <is>
          <t>B — modèle courant</t>
        </is>
      </c>
      <c r="R200" t="inlineStr">
        <is>
          <t>Valeurs arrondies d'un modèle connu; les variantes peuvent diverger.</t>
        </is>
      </c>
    </row>
    <row r="201">
      <c r="A201" t="inlineStr">
        <is>
          <t>VEH-200</t>
        </is>
      </c>
      <c r="B201" t="inlineStr">
        <is>
          <t>M4 Sherman M4A3</t>
        </is>
      </c>
      <c r="C201" t="inlineStr">
        <is>
          <t>Chars moyens</t>
        </is>
      </c>
      <c r="D201" t="n">
        <v>33000</v>
      </c>
      <c r="E201" t="n">
        <v>5.9</v>
      </c>
      <c r="F201" t="n">
        <v>2.6</v>
      </c>
      <c r="G201" t="n">
        <v>2.7</v>
      </c>
      <c r="H201" t="n">
        <v>18</v>
      </c>
      <c r="I201" t="n">
        <v>500</v>
      </c>
      <c r="J201" t="inlineStr">
        <is>
          <t>Essence</t>
        </is>
      </c>
      <c r="K201" t="n">
        <v>660</v>
      </c>
      <c r="L201" t="n">
        <v>200</v>
      </c>
      <c r="M201" t="n">
        <v>40</v>
      </c>
      <c r="N201" t="n">
        <v>190</v>
      </c>
      <c r="O201" t="n">
        <v>5</v>
      </c>
      <c r="P201" t="n">
        <v>0</v>
      </c>
      <c r="Q201" t="inlineStr">
        <is>
          <t>B — modèle courant</t>
        </is>
      </c>
      <c r="R201" t="inlineStr">
        <is>
          <t>Valeurs arrondies d'un modèle connu; les variantes peuvent diverger.</t>
        </is>
      </c>
    </row>
    <row r="202">
      <c r="A202" t="inlineStr">
        <is>
          <t>VEH-201</t>
        </is>
      </c>
      <c r="B202" t="inlineStr">
        <is>
          <t>M4 Sherman M4A4</t>
        </is>
      </c>
      <c r="C202" t="inlineStr">
        <is>
          <t>Chars moyens</t>
        </is>
      </c>
      <c r="D202" t="n">
        <v>34000</v>
      </c>
      <c r="E202" t="n">
        <v>6.1</v>
      </c>
      <c r="F202" t="n">
        <v>2.6</v>
      </c>
      <c r="G202" t="n">
        <v>2.7</v>
      </c>
      <c r="H202" t="n">
        <v>21</v>
      </c>
      <c r="I202" t="n">
        <v>425</v>
      </c>
      <c r="J202" t="inlineStr">
        <is>
          <t>Essence</t>
        </is>
      </c>
      <c r="K202" t="n">
        <v>660</v>
      </c>
      <c r="L202" t="n">
        <v>210</v>
      </c>
      <c r="M202" t="n">
        <v>40</v>
      </c>
      <c r="N202" t="n">
        <v>190</v>
      </c>
      <c r="O202" t="n">
        <v>5</v>
      </c>
      <c r="P202" t="n">
        <v>0</v>
      </c>
      <c r="Q202" t="inlineStr">
        <is>
          <t>B — modèle courant</t>
        </is>
      </c>
      <c r="R202" t="inlineStr">
        <is>
          <t>Valeurs arrondies d'un modèle connu; les variantes peuvent diverger.</t>
        </is>
      </c>
    </row>
    <row r="203">
      <c r="A203" s="30" t="inlineStr">
        <is>
          <t>VEH-202</t>
        </is>
      </c>
      <c r="B203" s="30" t="inlineStr">
        <is>
          <t>M6 Heavy Tank</t>
        </is>
      </c>
      <c r="C203" s="30" t="inlineStr">
        <is>
          <t>Chars lourds et prototypes</t>
        </is>
      </c>
      <c r="D203" s="30" t="n">
        <v>45000</v>
      </c>
      <c r="E203" s="30" t="n">
        <v>7</v>
      </c>
      <c r="F203" s="30" t="n">
        <v>3.5</v>
      </c>
      <c r="G203" s="30" t="n">
        <v>3.1</v>
      </c>
      <c r="H203" s="30" t="n">
        <v>18</v>
      </c>
      <c r="I203" s="30" t="n">
        <v>600</v>
      </c>
      <c r="J203" s="30" t="inlineStr">
        <is>
          <t>Essence</t>
        </is>
      </c>
      <c r="K203" s="30" t="n">
        <v>800</v>
      </c>
      <c r="L203" s="30" t="n">
        <v>250</v>
      </c>
      <c r="M203" s="30" t="n">
        <v>30</v>
      </c>
      <c r="N203" s="30" t="n">
        <v>150</v>
      </c>
      <c r="O203" s="30" t="n">
        <v>5</v>
      </c>
      <c r="P203" s="30" t="n">
        <v>0</v>
      </c>
      <c r="Q203" s="30" t="inlineStr">
        <is>
          <t>C/D — estimation par catégorie</t>
        </is>
      </c>
      <c r="R203" s="30" t="inlineStr">
        <is>
          <t>Archétype heavy_tank; estimation arrondie, marge indicative ±10–20 % ou davantage pour prototypes.</t>
        </is>
      </c>
    </row>
    <row r="204">
      <c r="A204" t="inlineStr">
        <is>
          <t>VEH-203</t>
        </is>
      </c>
      <c r="B204" t="inlineStr">
        <is>
          <t>M26 Pershing</t>
        </is>
      </c>
      <c r="C204" t="inlineStr">
        <is>
          <t>Chars lourds et prototypes</t>
        </is>
      </c>
      <c r="D204" t="n">
        <v>42000</v>
      </c>
      <c r="E204" t="n">
        <v>8.699999999999999</v>
      </c>
      <c r="F204" t="n">
        <v>3.5</v>
      </c>
      <c r="G204" t="n">
        <v>2.8</v>
      </c>
      <c r="H204" t="n">
        <v>18</v>
      </c>
      <c r="I204" t="n">
        <v>500</v>
      </c>
      <c r="J204" t="inlineStr">
        <is>
          <t>Essence</t>
        </is>
      </c>
      <c r="K204" t="n">
        <v>700</v>
      </c>
      <c r="L204" t="n">
        <v>300</v>
      </c>
      <c r="M204" t="n">
        <v>40</v>
      </c>
      <c r="N204" t="n">
        <v>160</v>
      </c>
      <c r="O204" t="n">
        <v>5</v>
      </c>
      <c r="P204" t="n">
        <v>0</v>
      </c>
      <c r="Q204" t="inlineStr">
        <is>
          <t>B — modèle courant</t>
        </is>
      </c>
      <c r="R204" t="inlineStr">
        <is>
          <t>Valeurs arrondies d'un modèle connu; les variantes peuvent diverger.</t>
        </is>
      </c>
    </row>
    <row r="205">
      <c r="A205" s="30" t="inlineStr">
        <is>
          <t>VEH-204</t>
        </is>
      </c>
      <c r="B205" s="30" t="inlineStr">
        <is>
          <t>M7 Priest</t>
        </is>
      </c>
      <c r="C205" s="30" t="inlineStr">
        <is>
          <t>Chasseurs de chars et canons automoteurs</t>
        </is>
      </c>
      <c r="D205" s="30" t="n">
        <v>25000</v>
      </c>
      <c r="E205" s="30" t="n">
        <v>6.5</v>
      </c>
      <c r="F205" s="30" t="n">
        <v>3</v>
      </c>
      <c r="G205" s="30" t="n">
        <v>2.5</v>
      </c>
      <c r="H205" s="30" t="n">
        <v>12</v>
      </c>
      <c r="I205" s="30" t="n">
        <v>400</v>
      </c>
      <c r="J205" s="30" t="inlineStr">
        <is>
          <t>Essence ou diesel selon variante</t>
        </is>
      </c>
      <c r="K205" s="30" t="n">
        <v>500</v>
      </c>
      <c r="L205" s="30" t="n">
        <v>190</v>
      </c>
      <c r="M205" s="30" t="n">
        <v>40</v>
      </c>
      <c r="N205" s="30" t="n">
        <v>180</v>
      </c>
      <c r="O205" s="30" t="n">
        <v>4</v>
      </c>
      <c r="P205" s="30" t="n">
        <v>0</v>
      </c>
      <c r="Q205" s="30" t="inlineStr">
        <is>
          <t>C/D — estimation par catégorie</t>
        </is>
      </c>
      <c r="R205" s="30" t="inlineStr">
        <is>
          <t>Archétype td; estimation arrondie, marge indicative ±10–20 % ou davantage pour prototypes.</t>
        </is>
      </c>
    </row>
    <row r="206">
      <c r="A206" s="30" t="inlineStr">
        <is>
          <t>VEH-205</t>
        </is>
      </c>
      <c r="B206" s="30" t="inlineStr">
        <is>
          <t>M8 Scott</t>
        </is>
      </c>
      <c r="C206" s="30" t="inlineStr">
        <is>
          <t>Chasseurs de chars et canons automoteurs</t>
        </is>
      </c>
      <c r="D206" s="30" t="n">
        <v>25000</v>
      </c>
      <c r="E206" s="30" t="n">
        <v>6.5</v>
      </c>
      <c r="F206" s="30" t="n">
        <v>3</v>
      </c>
      <c r="G206" s="30" t="n">
        <v>2.5</v>
      </c>
      <c r="H206" s="30" t="n">
        <v>12</v>
      </c>
      <c r="I206" s="30" t="n">
        <v>400</v>
      </c>
      <c r="J206" s="30" t="inlineStr">
        <is>
          <t>Essence ou diesel selon variante</t>
        </is>
      </c>
      <c r="K206" s="30" t="n">
        <v>500</v>
      </c>
      <c r="L206" s="30" t="n">
        <v>190</v>
      </c>
      <c r="M206" s="30" t="n">
        <v>40</v>
      </c>
      <c r="N206" s="30" t="n">
        <v>180</v>
      </c>
      <c r="O206" s="30" t="n">
        <v>4</v>
      </c>
      <c r="P206" s="30" t="n">
        <v>0</v>
      </c>
      <c r="Q206" s="30" t="inlineStr">
        <is>
          <t>C/D — estimation par catégorie</t>
        </is>
      </c>
      <c r="R206" s="30" t="inlineStr">
        <is>
          <t>Archétype td; estimation arrondie, marge indicative ±10–20 % ou davantage pour prototypes.</t>
        </is>
      </c>
    </row>
    <row r="207">
      <c r="A207" s="30" t="inlineStr">
        <is>
          <t>VEH-206</t>
        </is>
      </c>
      <c r="B207" s="30" t="inlineStr">
        <is>
          <t>T28 / T95 Super Heavy Tank</t>
        </is>
      </c>
      <c r="C207" s="30" t="inlineStr">
        <is>
          <t>Chars lourds et prototypes</t>
        </is>
      </c>
      <c r="D207" s="30" t="n">
        <v>45000</v>
      </c>
      <c r="E207" s="30" t="n">
        <v>7</v>
      </c>
      <c r="F207" s="30" t="n">
        <v>3.5</v>
      </c>
      <c r="G207" s="30" t="n">
        <v>3.1</v>
      </c>
      <c r="H207" s="30" t="n">
        <v>18</v>
      </c>
      <c r="I207" s="30" t="n">
        <v>600</v>
      </c>
      <c r="J207" s="30" t="inlineStr">
        <is>
          <t>Essence</t>
        </is>
      </c>
      <c r="K207" s="30" t="n">
        <v>800</v>
      </c>
      <c r="L207" s="30" t="n">
        <v>250</v>
      </c>
      <c r="M207" s="30" t="n">
        <v>30</v>
      </c>
      <c r="N207" s="30" t="n">
        <v>150</v>
      </c>
      <c r="O207" s="30" t="n">
        <v>5</v>
      </c>
      <c r="P207" s="30" t="n">
        <v>0</v>
      </c>
      <c r="Q207" s="30" t="inlineStr">
        <is>
          <t>C/D — estimation par catégorie</t>
        </is>
      </c>
      <c r="R207" s="30" t="inlineStr">
        <is>
          <t>Archétype heavy_tank; estimation arrondie, marge indicative ±10–20 % ou davantage pour prototypes.</t>
        </is>
      </c>
    </row>
    <row r="208">
      <c r="A208" s="30" t="inlineStr">
        <is>
          <t>VEH-207</t>
        </is>
      </c>
      <c r="B208" s="30" t="inlineStr">
        <is>
          <t>BT-2</t>
        </is>
      </c>
      <c r="C208" s="30" t="inlineStr">
        <is>
          <t>Chars légers et chars anciens</t>
        </is>
      </c>
      <c r="D208" s="30" t="n">
        <v>9000</v>
      </c>
      <c r="E208" s="30" t="n">
        <v>4.5</v>
      </c>
      <c r="F208" s="30" t="n">
        <v>2.2</v>
      </c>
      <c r="G208" s="30" t="n">
        <v>2.2</v>
      </c>
      <c r="H208" s="30" t="n">
        <v>7</v>
      </c>
      <c r="I208" s="30" t="n">
        <v>150</v>
      </c>
      <c r="J208" s="30" t="inlineStr">
        <is>
          <t>Diesel probable</t>
        </is>
      </c>
      <c r="K208" s="30" t="n">
        <v>300</v>
      </c>
      <c r="L208" s="30" t="n">
        <v>100</v>
      </c>
      <c r="M208" s="30" t="n">
        <v>40</v>
      </c>
      <c r="N208" s="30" t="n">
        <v>180</v>
      </c>
      <c r="O208" s="30" t="n">
        <v>3</v>
      </c>
      <c r="P208" s="30" t="n">
        <v>0</v>
      </c>
      <c r="Q208" s="30" t="inlineStr">
        <is>
          <t>C/D — estimation par catégorie</t>
        </is>
      </c>
      <c r="R208" s="30" t="inlineStr">
        <is>
          <t>Archétype light_tank; estimation arrondie, marge indicative ±10–20 % ou davantage pour prototypes.</t>
        </is>
      </c>
    </row>
    <row r="209">
      <c r="A209" s="30" t="inlineStr">
        <is>
          <t>VEH-208</t>
        </is>
      </c>
      <c r="B209" s="30" t="inlineStr">
        <is>
          <t>BT-5</t>
        </is>
      </c>
      <c r="C209" s="30" t="inlineStr">
        <is>
          <t>Chars légers et chars anciens</t>
        </is>
      </c>
      <c r="D209" s="30" t="n">
        <v>9000</v>
      </c>
      <c r="E209" s="30" t="n">
        <v>4.5</v>
      </c>
      <c r="F209" s="30" t="n">
        <v>2.2</v>
      </c>
      <c r="G209" s="30" t="n">
        <v>2.2</v>
      </c>
      <c r="H209" s="30" t="n">
        <v>7</v>
      </c>
      <c r="I209" s="30" t="n">
        <v>150</v>
      </c>
      <c r="J209" s="30" t="inlineStr">
        <is>
          <t>Diesel probable</t>
        </is>
      </c>
      <c r="K209" s="30" t="n">
        <v>300</v>
      </c>
      <c r="L209" s="30" t="n">
        <v>100</v>
      </c>
      <c r="M209" s="30" t="n">
        <v>40</v>
      </c>
      <c r="N209" s="30" t="n">
        <v>180</v>
      </c>
      <c r="O209" s="30" t="n">
        <v>3</v>
      </c>
      <c r="P209" s="30" t="n">
        <v>0</v>
      </c>
      <c r="Q209" s="30" t="inlineStr">
        <is>
          <t>C/D — estimation par catégorie</t>
        </is>
      </c>
      <c r="R209" s="30" t="inlineStr">
        <is>
          <t>Archétype light_tank; estimation arrondie, marge indicative ±10–20 % ou davantage pour prototypes.</t>
        </is>
      </c>
    </row>
    <row r="210">
      <c r="A210" s="30" t="inlineStr">
        <is>
          <t>VEH-209</t>
        </is>
      </c>
      <c r="B210" s="30" t="inlineStr">
        <is>
          <t>BT-7</t>
        </is>
      </c>
      <c r="C210" s="30" t="inlineStr">
        <is>
          <t>Chars légers et chars anciens</t>
        </is>
      </c>
      <c r="D210" s="30" t="n">
        <v>9000</v>
      </c>
      <c r="E210" s="30" t="n">
        <v>4.5</v>
      </c>
      <c r="F210" s="30" t="n">
        <v>2.2</v>
      </c>
      <c r="G210" s="30" t="n">
        <v>2.2</v>
      </c>
      <c r="H210" s="30" t="n">
        <v>7</v>
      </c>
      <c r="I210" s="30" t="n">
        <v>150</v>
      </c>
      <c r="J210" s="30" t="inlineStr">
        <is>
          <t>Diesel probable</t>
        </is>
      </c>
      <c r="K210" s="30" t="n">
        <v>300</v>
      </c>
      <c r="L210" s="30" t="n">
        <v>100</v>
      </c>
      <c r="M210" s="30" t="n">
        <v>40</v>
      </c>
      <c r="N210" s="30" t="n">
        <v>180</v>
      </c>
      <c r="O210" s="30" t="n">
        <v>3</v>
      </c>
      <c r="P210" s="30" t="n">
        <v>0</v>
      </c>
      <c r="Q210" s="30" t="inlineStr">
        <is>
          <t>C/D — estimation par catégorie</t>
        </is>
      </c>
      <c r="R210" s="30" t="inlineStr">
        <is>
          <t>Archétype light_tank; estimation arrondie, marge indicative ±10–20 % ou davantage pour prototypes.</t>
        </is>
      </c>
    </row>
    <row r="211">
      <c r="A211" s="30" t="inlineStr">
        <is>
          <t>VEH-210</t>
        </is>
      </c>
      <c r="B211" s="30" t="inlineStr">
        <is>
          <t>T-28</t>
        </is>
      </c>
      <c r="C211" s="30" t="inlineStr">
        <is>
          <t>Chars moyens</t>
        </is>
      </c>
      <c r="D211" s="30" t="n">
        <v>28000</v>
      </c>
      <c r="E211" s="30" t="n">
        <v>6</v>
      </c>
      <c r="F211" s="30" t="n">
        <v>2.8</v>
      </c>
      <c r="G211" s="30" t="n">
        <v>2.7</v>
      </c>
      <c r="H211" s="30" t="n">
        <v>12</v>
      </c>
      <c r="I211" s="30" t="n">
        <v>400</v>
      </c>
      <c r="J211" s="30" t="inlineStr">
        <is>
          <t>Essence</t>
        </is>
      </c>
      <c r="K211" s="30" t="n">
        <v>500</v>
      </c>
      <c r="L211" s="30" t="n">
        <v>180</v>
      </c>
      <c r="M211" s="30" t="n">
        <v>40</v>
      </c>
      <c r="N211" s="30" t="n">
        <v>200</v>
      </c>
      <c r="O211" s="30" t="n">
        <v>5</v>
      </c>
      <c r="P211" s="30" t="n">
        <v>0</v>
      </c>
      <c r="Q211" s="30" t="inlineStr">
        <is>
          <t>C/D — estimation par catégorie</t>
        </is>
      </c>
      <c r="R211" s="30" t="inlineStr">
        <is>
          <t>Archétype medium_tank; estimation arrondie, marge indicative ±10–20 % ou davantage pour prototypes.</t>
        </is>
      </c>
    </row>
    <row r="212">
      <c r="A212" s="30" t="inlineStr">
        <is>
          <t>VEH-211</t>
        </is>
      </c>
      <c r="B212" s="30" t="inlineStr">
        <is>
          <t>T-35</t>
        </is>
      </c>
      <c r="C212" s="30" t="inlineStr">
        <is>
          <t>Chars lourds et prototypes</t>
        </is>
      </c>
      <c r="D212" s="30" t="n">
        <v>45000</v>
      </c>
      <c r="E212" s="30" t="n">
        <v>7</v>
      </c>
      <c r="F212" s="30" t="n">
        <v>3.5</v>
      </c>
      <c r="G212" s="30" t="n">
        <v>3.1</v>
      </c>
      <c r="H212" s="30" t="n">
        <v>18</v>
      </c>
      <c r="I212" s="30" t="n">
        <v>600</v>
      </c>
      <c r="J212" s="30" t="inlineStr">
        <is>
          <t>Essence</t>
        </is>
      </c>
      <c r="K212" s="30" t="n">
        <v>800</v>
      </c>
      <c r="L212" s="30" t="n">
        <v>250</v>
      </c>
      <c r="M212" s="30" t="n">
        <v>30</v>
      </c>
      <c r="N212" s="30" t="n">
        <v>150</v>
      </c>
      <c r="O212" s="30" t="n">
        <v>5</v>
      </c>
      <c r="P212" s="30" t="n">
        <v>0</v>
      </c>
      <c r="Q212" s="30" t="inlineStr">
        <is>
          <t>C/D — estimation par catégorie</t>
        </is>
      </c>
      <c r="R212" s="30" t="inlineStr">
        <is>
          <t>Archétype heavy_tank; estimation arrondie, marge indicative ±10–20 % ou davantage pour prototypes.</t>
        </is>
      </c>
    </row>
    <row r="213">
      <c r="A213" s="30" t="inlineStr">
        <is>
          <t>VEH-212</t>
        </is>
      </c>
      <c r="B213" s="30" t="inlineStr">
        <is>
          <t>T-37A</t>
        </is>
      </c>
      <c r="C213" s="30" t="inlineStr">
        <is>
          <t>Chars amphibies et spécialisés</t>
        </is>
      </c>
      <c r="D213" s="30" t="n">
        <v>10000</v>
      </c>
      <c r="E213" s="30" t="n">
        <v>6.5</v>
      </c>
      <c r="F213" s="30" t="n">
        <v>2.5</v>
      </c>
      <c r="G213" s="30" t="n">
        <v>2.8</v>
      </c>
      <c r="H213" s="30" t="n">
        <v>6</v>
      </c>
      <c r="I213" s="30" t="n">
        <v>120</v>
      </c>
      <c r="J213" s="30" t="inlineStr">
        <is>
          <t>Essence ou diesel selon variante</t>
        </is>
      </c>
      <c r="K213" s="30" t="n">
        <v>200</v>
      </c>
      <c r="L213" s="30" t="n">
        <v>55</v>
      </c>
      <c r="M213" s="30" t="n">
        <v>45</v>
      </c>
      <c r="N213" s="30" t="n">
        <v>250</v>
      </c>
      <c r="O213" s="30" t="n">
        <v>3</v>
      </c>
      <c r="P213" s="30" t="n">
        <v>1500</v>
      </c>
      <c r="Q213" s="30" t="inlineStr">
        <is>
          <t>C/D — estimation par catégorie</t>
        </is>
      </c>
      <c r="R213" s="30" t="inlineStr">
        <is>
          <t>Archétype amphib; estimation arrondie, marge indicative ±10–20 % ou davantage pour prototypes.</t>
        </is>
      </c>
    </row>
    <row r="214">
      <c r="A214" s="30" t="inlineStr">
        <is>
          <t>VEH-213</t>
        </is>
      </c>
      <c r="B214" s="30" t="inlineStr">
        <is>
          <t>T-38</t>
        </is>
      </c>
      <c r="C214" s="30" t="inlineStr">
        <is>
          <t>Chars amphibies et spécialisés</t>
        </is>
      </c>
      <c r="D214" s="30" t="n">
        <v>10000</v>
      </c>
      <c r="E214" s="30" t="n">
        <v>6.5</v>
      </c>
      <c r="F214" s="30" t="n">
        <v>2.5</v>
      </c>
      <c r="G214" s="30" t="n">
        <v>2.8</v>
      </c>
      <c r="H214" s="30" t="n">
        <v>6</v>
      </c>
      <c r="I214" s="30" t="n">
        <v>120</v>
      </c>
      <c r="J214" s="30" t="inlineStr">
        <is>
          <t>Essence ou diesel selon variante</t>
        </is>
      </c>
      <c r="K214" s="30" t="n">
        <v>200</v>
      </c>
      <c r="L214" s="30" t="n">
        <v>55</v>
      </c>
      <c r="M214" s="30" t="n">
        <v>45</v>
      </c>
      <c r="N214" s="30" t="n">
        <v>250</v>
      </c>
      <c r="O214" s="30" t="n">
        <v>3</v>
      </c>
      <c r="P214" s="30" t="n">
        <v>1500</v>
      </c>
      <c r="Q214" s="30" t="inlineStr">
        <is>
          <t>C/D — estimation par catégorie</t>
        </is>
      </c>
      <c r="R214" s="30" t="inlineStr">
        <is>
          <t>Archétype amphib; estimation arrondie, marge indicative ±10–20 % ou davantage pour prototypes.</t>
        </is>
      </c>
    </row>
    <row r="215">
      <c r="A215" s="30" t="inlineStr">
        <is>
          <t>VEH-214</t>
        </is>
      </c>
      <c r="B215" s="30" t="inlineStr">
        <is>
          <t>T-40</t>
        </is>
      </c>
      <c r="C215" s="30" t="inlineStr">
        <is>
          <t>Chars amphibies et spécialisés</t>
        </is>
      </c>
      <c r="D215" s="30" t="n">
        <v>10000</v>
      </c>
      <c r="E215" s="30" t="n">
        <v>6.5</v>
      </c>
      <c r="F215" s="30" t="n">
        <v>2.5</v>
      </c>
      <c r="G215" s="30" t="n">
        <v>2.8</v>
      </c>
      <c r="H215" s="30" t="n">
        <v>6</v>
      </c>
      <c r="I215" s="30" t="n">
        <v>120</v>
      </c>
      <c r="J215" s="30" t="inlineStr">
        <is>
          <t>Essence ou diesel selon variante</t>
        </is>
      </c>
      <c r="K215" s="30" t="n">
        <v>200</v>
      </c>
      <c r="L215" s="30" t="n">
        <v>55</v>
      </c>
      <c r="M215" s="30" t="n">
        <v>45</v>
      </c>
      <c r="N215" s="30" t="n">
        <v>250</v>
      </c>
      <c r="O215" s="30" t="n">
        <v>3</v>
      </c>
      <c r="P215" s="30" t="n">
        <v>1500</v>
      </c>
      <c r="Q215" s="30" t="inlineStr">
        <is>
          <t>C/D — estimation par catégorie</t>
        </is>
      </c>
      <c r="R215" s="30" t="inlineStr">
        <is>
          <t>Archétype amphib; estimation arrondie, marge indicative ±10–20 % ou davantage pour prototypes.</t>
        </is>
      </c>
    </row>
    <row r="216">
      <c r="A216" s="30" t="inlineStr">
        <is>
          <t>VEH-215</t>
        </is>
      </c>
      <c r="B216" s="30" t="inlineStr">
        <is>
          <t>T-50</t>
        </is>
      </c>
      <c r="C216" s="30" t="inlineStr">
        <is>
          <t>Chars légers et chars anciens</t>
        </is>
      </c>
      <c r="D216" s="30" t="n">
        <v>9000</v>
      </c>
      <c r="E216" s="30" t="n">
        <v>4.5</v>
      </c>
      <c r="F216" s="30" t="n">
        <v>2.2</v>
      </c>
      <c r="G216" s="30" t="n">
        <v>2.2</v>
      </c>
      <c r="H216" s="30" t="n">
        <v>7</v>
      </c>
      <c r="I216" s="30" t="n">
        <v>150</v>
      </c>
      <c r="J216" s="30" t="inlineStr">
        <is>
          <t>Diesel probable</t>
        </is>
      </c>
      <c r="K216" s="30" t="n">
        <v>300</v>
      </c>
      <c r="L216" s="30" t="n">
        <v>100</v>
      </c>
      <c r="M216" s="30" t="n">
        <v>40</v>
      </c>
      <c r="N216" s="30" t="n">
        <v>180</v>
      </c>
      <c r="O216" s="30" t="n">
        <v>3</v>
      </c>
      <c r="P216" s="30" t="n">
        <v>0</v>
      </c>
      <c r="Q216" s="30" t="inlineStr">
        <is>
          <t>C/D — estimation par catégorie</t>
        </is>
      </c>
      <c r="R216" s="30" t="inlineStr">
        <is>
          <t>Archétype light_tank; estimation arrondie, marge indicative ±10–20 % ou davantage pour prototypes.</t>
        </is>
      </c>
    </row>
    <row r="217">
      <c r="A217" s="30" t="inlineStr">
        <is>
          <t>VEH-216</t>
        </is>
      </c>
      <c r="B217" s="30" t="inlineStr">
        <is>
          <t>T-80 light tank</t>
        </is>
      </c>
      <c r="C217" s="30" t="inlineStr">
        <is>
          <t>Chars légers et chars anciens</t>
        </is>
      </c>
      <c r="D217" s="30" t="n">
        <v>9000</v>
      </c>
      <c r="E217" s="30" t="n">
        <v>4.5</v>
      </c>
      <c r="F217" s="30" t="n">
        <v>2.2</v>
      </c>
      <c r="G217" s="30" t="n">
        <v>2.2</v>
      </c>
      <c r="H217" s="30" t="n">
        <v>7</v>
      </c>
      <c r="I217" s="30" t="n">
        <v>150</v>
      </c>
      <c r="J217" s="30" t="inlineStr">
        <is>
          <t>Diesel probable</t>
        </is>
      </c>
      <c r="K217" s="30" t="n">
        <v>300</v>
      </c>
      <c r="L217" s="30" t="n">
        <v>100</v>
      </c>
      <c r="M217" s="30" t="n">
        <v>40</v>
      </c>
      <c r="N217" s="30" t="n">
        <v>180</v>
      </c>
      <c r="O217" s="30" t="n">
        <v>3</v>
      </c>
      <c r="P217" s="30" t="n">
        <v>0</v>
      </c>
      <c r="Q217" s="30" t="inlineStr">
        <is>
          <t>C/D — estimation par catégorie</t>
        </is>
      </c>
      <c r="R217" s="30" t="inlineStr">
        <is>
          <t>Archétype light_tank; estimation arrondie, marge indicative ±10–20 % ou davantage pour prototypes.</t>
        </is>
      </c>
    </row>
    <row r="218">
      <c r="A218" t="inlineStr">
        <is>
          <t>VEH-217</t>
        </is>
      </c>
      <c r="B218" t="inlineStr">
        <is>
          <t>T-34/76</t>
        </is>
      </c>
      <c r="C218" t="inlineStr">
        <is>
          <t>Chars moyens</t>
        </is>
      </c>
      <c r="D218" t="n">
        <v>27000</v>
      </c>
      <c r="E218" t="n">
        <v>6.7</v>
      </c>
      <c r="F218" t="n">
        <v>3</v>
      </c>
      <c r="G218" t="n">
        <v>2.45</v>
      </c>
      <c r="H218" t="n">
        <v>38.9</v>
      </c>
      <c r="I218" t="n">
        <v>500</v>
      </c>
      <c r="J218" t="inlineStr">
        <is>
          <t>Diesel probable</t>
        </is>
      </c>
      <c r="K218" t="n">
        <v>540</v>
      </c>
      <c r="L218" t="n">
        <v>160</v>
      </c>
      <c r="M218" t="n">
        <v>53</v>
      </c>
      <c r="N218" t="n">
        <v>300</v>
      </c>
      <c r="O218" t="n">
        <v>4</v>
      </c>
      <c r="P218" t="n">
        <v>0</v>
      </c>
      <c r="Q218" t="inlineStr">
        <is>
          <t>B — modèle courant</t>
        </is>
      </c>
      <c r="R218" t="inlineStr">
        <is>
          <t>Valeurs arrondies d'un modèle connu; les variantes peuvent diverger.</t>
        </is>
      </c>
    </row>
    <row r="219">
      <c r="A219" t="inlineStr">
        <is>
          <t>VEH-218</t>
        </is>
      </c>
      <c r="B219" t="inlineStr">
        <is>
          <t>T-34/85</t>
        </is>
      </c>
      <c r="C219" t="inlineStr">
        <is>
          <t>Chars moyens</t>
        </is>
      </c>
      <c r="D219" t="n">
        <v>32000</v>
      </c>
      <c r="E219" t="n">
        <v>8.1</v>
      </c>
      <c r="F219" t="n">
        <v>3</v>
      </c>
      <c r="G219" t="n">
        <v>2.7</v>
      </c>
      <c r="H219" t="n">
        <v>38.9</v>
      </c>
      <c r="I219" t="n">
        <v>500</v>
      </c>
      <c r="J219" t="inlineStr">
        <is>
          <t>Diesel probable</t>
        </is>
      </c>
      <c r="K219" t="n">
        <v>540</v>
      </c>
      <c r="L219" t="n">
        <v>170</v>
      </c>
      <c r="M219" t="n">
        <v>50</v>
      </c>
      <c r="N219" t="n">
        <v>300</v>
      </c>
      <c r="O219" t="n">
        <v>5</v>
      </c>
      <c r="P219" t="n">
        <v>0</v>
      </c>
      <c r="Q219" t="inlineStr">
        <is>
          <t>B — modèle courant</t>
        </is>
      </c>
      <c r="R219" t="inlineStr">
        <is>
          <t>Valeurs arrondies d'un modèle connu; les variantes peuvent diverger.</t>
        </is>
      </c>
    </row>
    <row r="220">
      <c r="A220" s="30" t="inlineStr">
        <is>
          <t>VEH-219</t>
        </is>
      </c>
      <c r="B220" s="30" t="inlineStr">
        <is>
          <t>KV-1</t>
        </is>
      </c>
      <c r="C220" s="30" t="inlineStr">
        <is>
          <t>Chars lourds et prototypes</t>
        </is>
      </c>
      <c r="D220" s="30" t="n">
        <v>45000</v>
      </c>
      <c r="E220" s="30" t="n">
        <v>7</v>
      </c>
      <c r="F220" s="30" t="n">
        <v>3.5</v>
      </c>
      <c r="G220" s="30" t="n">
        <v>3.1</v>
      </c>
      <c r="H220" s="30" t="n">
        <v>18</v>
      </c>
      <c r="I220" s="30" t="n">
        <v>600</v>
      </c>
      <c r="J220" s="30" t="inlineStr">
        <is>
          <t>Diesel probable</t>
        </is>
      </c>
      <c r="K220" s="30" t="n">
        <v>800</v>
      </c>
      <c r="L220" s="30" t="n">
        <v>250</v>
      </c>
      <c r="M220" s="30" t="n">
        <v>30</v>
      </c>
      <c r="N220" s="30" t="n">
        <v>150</v>
      </c>
      <c r="O220" s="30" t="n">
        <v>5</v>
      </c>
      <c r="P220" s="30" t="n">
        <v>0</v>
      </c>
      <c r="Q220" s="30" t="inlineStr">
        <is>
          <t>C/D — estimation par catégorie</t>
        </is>
      </c>
      <c r="R220" s="30" t="inlineStr">
        <is>
          <t>Archétype heavy_tank; estimation arrondie, marge indicative ±10–20 % ou davantage pour prototypes.</t>
        </is>
      </c>
    </row>
    <row r="221">
      <c r="A221" s="30" t="inlineStr">
        <is>
          <t>VEH-220</t>
        </is>
      </c>
      <c r="B221" s="30" t="inlineStr">
        <is>
          <t>KV-2</t>
        </is>
      </c>
      <c r="C221" s="30" t="inlineStr">
        <is>
          <t>Chars lourds et prototypes</t>
        </is>
      </c>
      <c r="D221" s="30" t="n">
        <v>45000</v>
      </c>
      <c r="E221" s="30" t="n">
        <v>7</v>
      </c>
      <c r="F221" s="30" t="n">
        <v>3.5</v>
      </c>
      <c r="G221" s="30" t="n">
        <v>3.1</v>
      </c>
      <c r="H221" s="30" t="n">
        <v>18</v>
      </c>
      <c r="I221" s="30" t="n">
        <v>600</v>
      </c>
      <c r="J221" s="30" t="inlineStr">
        <is>
          <t>Diesel probable</t>
        </is>
      </c>
      <c r="K221" s="30" t="n">
        <v>800</v>
      </c>
      <c r="L221" s="30" t="n">
        <v>250</v>
      </c>
      <c r="M221" s="30" t="n">
        <v>30</v>
      </c>
      <c r="N221" s="30" t="n">
        <v>150</v>
      </c>
      <c r="O221" s="30" t="n">
        <v>5</v>
      </c>
      <c r="P221" s="30" t="n">
        <v>0</v>
      </c>
      <c r="Q221" s="30" t="inlineStr">
        <is>
          <t>C/D — estimation par catégorie</t>
        </is>
      </c>
      <c r="R221" s="30" t="inlineStr">
        <is>
          <t>Archétype heavy_tank; estimation arrondie, marge indicative ±10–20 % ou davantage pour prototypes.</t>
        </is>
      </c>
    </row>
    <row r="222">
      <c r="A222" s="30" t="inlineStr">
        <is>
          <t>VEH-221</t>
        </is>
      </c>
      <c r="B222" s="30" t="inlineStr">
        <is>
          <t>KV-1S</t>
        </is>
      </c>
      <c r="C222" s="30" t="inlineStr">
        <is>
          <t>Chars lourds et prototypes</t>
        </is>
      </c>
      <c r="D222" s="30" t="n">
        <v>45000</v>
      </c>
      <c r="E222" s="30" t="n">
        <v>7</v>
      </c>
      <c r="F222" s="30" t="n">
        <v>3.5</v>
      </c>
      <c r="G222" s="30" t="n">
        <v>3.1</v>
      </c>
      <c r="H222" s="30" t="n">
        <v>18</v>
      </c>
      <c r="I222" s="30" t="n">
        <v>600</v>
      </c>
      <c r="J222" s="30" t="inlineStr">
        <is>
          <t>Diesel probable</t>
        </is>
      </c>
      <c r="K222" s="30" t="n">
        <v>800</v>
      </c>
      <c r="L222" s="30" t="n">
        <v>250</v>
      </c>
      <c r="M222" s="30" t="n">
        <v>30</v>
      </c>
      <c r="N222" s="30" t="n">
        <v>150</v>
      </c>
      <c r="O222" s="30" t="n">
        <v>5</v>
      </c>
      <c r="P222" s="30" t="n">
        <v>0</v>
      </c>
      <c r="Q222" s="30" t="inlineStr">
        <is>
          <t>C/D — estimation par catégorie</t>
        </is>
      </c>
      <c r="R222" s="30" t="inlineStr">
        <is>
          <t>Archétype heavy_tank; estimation arrondie, marge indicative ±10–20 % ou davantage pour prototypes.</t>
        </is>
      </c>
    </row>
    <row r="223">
      <c r="A223" s="30" t="inlineStr">
        <is>
          <t>VEH-222</t>
        </is>
      </c>
      <c r="B223" s="30" t="inlineStr">
        <is>
          <t>KV-85</t>
        </is>
      </c>
      <c r="C223" s="30" t="inlineStr">
        <is>
          <t>Chars lourds et prototypes</t>
        </is>
      </c>
      <c r="D223" s="30" t="n">
        <v>45000</v>
      </c>
      <c r="E223" s="30" t="n">
        <v>7</v>
      </c>
      <c r="F223" s="30" t="n">
        <v>3.5</v>
      </c>
      <c r="G223" s="30" t="n">
        <v>3.1</v>
      </c>
      <c r="H223" s="30" t="n">
        <v>18</v>
      </c>
      <c r="I223" s="30" t="n">
        <v>600</v>
      </c>
      <c r="J223" s="30" t="inlineStr">
        <is>
          <t>Diesel probable</t>
        </is>
      </c>
      <c r="K223" s="30" t="n">
        <v>800</v>
      </c>
      <c r="L223" s="30" t="n">
        <v>250</v>
      </c>
      <c r="M223" s="30" t="n">
        <v>30</v>
      </c>
      <c r="N223" s="30" t="n">
        <v>150</v>
      </c>
      <c r="O223" s="30" t="n">
        <v>5</v>
      </c>
      <c r="P223" s="30" t="n">
        <v>0</v>
      </c>
      <c r="Q223" s="30" t="inlineStr">
        <is>
          <t>C/D — estimation par catégorie</t>
        </is>
      </c>
      <c r="R223" s="30" t="inlineStr">
        <is>
          <t>Archétype heavy_tank; estimation arrondie, marge indicative ±10–20 % ou davantage pour prototypes.</t>
        </is>
      </c>
    </row>
    <row r="224">
      <c r="A224" s="30" t="inlineStr">
        <is>
          <t>VEH-223</t>
        </is>
      </c>
      <c r="B224" s="30" t="inlineStr">
        <is>
          <t>IS-1</t>
        </is>
      </c>
      <c r="C224" s="30" t="inlineStr">
        <is>
          <t>Chars lourds et prototypes</t>
        </is>
      </c>
      <c r="D224" s="30" t="n">
        <v>45000</v>
      </c>
      <c r="E224" s="30" t="n">
        <v>7</v>
      </c>
      <c r="F224" s="30" t="n">
        <v>3.5</v>
      </c>
      <c r="G224" s="30" t="n">
        <v>3.1</v>
      </c>
      <c r="H224" s="30" t="n">
        <v>18</v>
      </c>
      <c r="I224" s="30" t="n">
        <v>600</v>
      </c>
      <c r="J224" s="30" t="inlineStr">
        <is>
          <t>Diesel probable</t>
        </is>
      </c>
      <c r="K224" s="30" t="n">
        <v>800</v>
      </c>
      <c r="L224" s="30" t="n">
        <v>250</v>
      </c>
      <c r="M224" s="30" t="n">
        <v>30</v>
      </c>
      <c r="N224" s="30" t="n">
        <v>150</v>
      </c>
      <c r="O224" s="30" t="n">
        <v>5</v>
      </c>
      <c r="P224" s="30" t="n">
        <v>0</v>
      </c>
      <c r="Q224" s="30" t="inlineStr">
        <is>
          <t>C/D — estimation par catégorie</t>
        </is>
      </c>
      <c r="R224" s="30" t="inlineStr">
        <is>
          <t>Archétype heavy_tank; estimation arrondie, marge indicative ±10–20 % ou davantage pour prototypes.</t>
        </is>
      </c>
    </row>
    <row r="225">
      <c r="A225" s="30" t="inlineStr">
        <is>
          <t>VEH-224</t>
        </is>
      </c>
      <c r="B225" s="30" t="inlineStr">
        <is>
          <t>SU-100</t>
        </is>
      </c>
      <c r="C225" s="30" t="inlineStr">
        <is>
          <t>Chasseurs de chars et canons automoteurs</t>
        </is>
      </c>
      <c r="D225" s="30" t="n">
        <v>25000</v>
      </c>
      <c r="E225" s="30" t="n">
        <v>6.5</v>
      </c>
      <c r="F225" s="30" t="n">
        <v>3</v>
      </c>
      <c r="G225" s="30" t="n">
        <v>2.5</v>
      </c>
      <c r="H225" s="30" t="n">
        <v>12</v>
      </c>
      <c r="I225" s="30" t="n">
        <v>400</v>
      </c>
      <c r="J225" s="30" t="inlineStr">
        <is>
          <t>Diesel probable</t>
        </is>
      </c>
      <c r="K225" s="30" t="n">
        <v>500</v>
      </c>
      <c r="L225" s="30" t="n">
        <v>190</v>
      </c>
      <c r="M225" s="30" t="n">
        <v>40</v>
      </c>
      <c r="N225" s="30" t="n">
        <v>180</v>
      </c>
      <c r="O225" s="30" t="n">
        <v>4</v>
      </c>
      <c r="P225" s="30" t="n">
        <v>0</v>
      </c>
      <c r="Q225" s="30" t="inlineStr">
        <is>
          <t>C/D — estimation par catégorie</t>
        </is>
      </c>
      <c r="R225" s="30" t="inlineStr">
        <is>
          <t>Archétype td; estimation arrondie, marge indicative ±10–20 % ou davantage pour prototypes.</t>
        </is>
      </c>
    </row>
    <row r="226">
      <c r="A226" s="30" t="inlineStr">
        <is>
          <t>VEH-225</t>
        </is>
      </c>
      <c r="B226" s="30" t="inlineStr">
        <is>
          <t>SU-122</t>
        </is>
      </c>
      <c r="C226" s="30" t="inlineStr">
        <is>
          <t>Chasseurs de chars et canons automoteurs</t>
        </is>
      </c>
      <c r="D226" s="30" t="n">
        <v>25000</v>
      </c>
      <c r="E226" s="30" t="n">
        <v>6.5</v>
      </c>
      <c r="F226" s="30" t="n">
        <v>3</v>
      </c>
      <c r="G226" s="30" t="n">
        <v>2.5</v>
      </c>
      <c r="H226" s="30" t="n">
        <v>12</v>
      </c>
      <c r="I226" s="30" t="n">
        <v>400</v>
      </c>
      <c r="J226" s="30" t="inlineStr">
        <is>
          <t>Diesel probable</t>
        </is>
      </c>
      <c r="K226" s="30" t="n">
        <v>500</v>
      </c>
      <c r="L226" s="30" t="n">
        <v>190</v>
      </c>
      <c r="M226" s="30" t="n">
        <v>40</v>
      </c>
      <c r="N226" s="30" t="n">
        <v>180</v>
      </c>
      <c r="O226" s="30" t="n">
        <v>4</v>
      </c>
      <c r="P226" s="30" t="n">
        <v>0</v>
      </c>
      <c r="Q226" s="30" t="inlineStr">
        <is>
          <t>C/D — estimation par catégorie</t>
        </is>
      </c>
      <c r="R226" s="30" t="inlineStr">
        <is>
          <t>Archétype td; estimation arrondie, marge indicative ±10–20 % ou davantage pour prototypes.</t>
        </is>
      </c>
    </row>
    <row r="227">
      <c r="A227" s="30" t="inlineStr">
        <is>
          <t>VEH-226</t>
        </is>
      </c>
      <c r="B227" s="30" t="inlineStr">
        <is>
          <t>SU-152</t>
        </is>
      </c>
      <c r="C227" s="30" t="inlineStr">
        <is>
          <t>Chasseurs de chars et canons automoteurs</t>
        </is>
      </c>
      <c r="D227" s="30" t="n">
        <v>25000</v>
      </c>
      <c r="E227" s="30" t="n">
        <v>6.5</v>
      </c>
      <c r="F227" s="30" t="n">
        <v>3</v>
      </c>
      <c r="G227" s="30" t="n">
        <v>2.5</v>
      </c>
      <c r="H227" s="30" t="n">
        <v>12</v>
      </c>
      <c r="I227" s="30" t="n">
        <v>400</v>
      </c>
      <c r="J227" s="30" t="inlineStr">
        <is>
          <t>Diesel probable</t>
        </is>
      </c>
      <c r="K227" s="30" t="n">
        <v>500</v>
      </c>
      <c r="L227" s="30" t="n">
        <v>190</v>
      </c>
      <c r="M227" s="30" t="n">
        <v>40</v>
      </c>
      <c r="N227" s="30" t="n">
        <v>180</v>
      </c>
      <c r="O227" s="30" t="n">
        <v>4</v>
      </c>
      <c r="P227" s="30" t="n">
        <v>0</v>
      </c>
      <c r="Q227" s="30" t="inlineStr">
        <is>
          <t>C/D — estimation par catégorie</t>
        </is>
      </c>
      <c r="R227" s="30" t="inlineStr">
        <is>
          <t>Archétype td; estimation arrondie, marge indicative ±10–20 % ou davantage pour prototypes.</t>
        </is>
      </c>
    </row>
    <row r="228">
      <c r="A228" s="30" t="inlineStr">
        <is>
          <t>VEH-227</t>
        </is>
      </c>
      <c r="B228" s="30" t="inlineStr">
        <is>
          <t>ISU-122</t>
        </is>
      </c>
      <c r="C228" s="30" t="inlineStr">
        <is>
          <t>Chasseurs de chars et canons automoteurs</t>
        </is>
      </c>
      <c r="D228" s="30" t="n">
        <v>25000</v>
      </c>
      <c r="E228" s="30" t="n">
        <v>6.5</v>
      </c>
      <c r="F228" s="30" t="n">
        <v>3</v>
      </c>
      <c r="G228" s="30" t="n">
        <v>2.5</v>
      </c>
      <c r="H228" s="30" t="n">
        <v>12</v>
      </c>
      <c r="I228" s="30" t="n">
        <v>400</v>
      </c>
      <c r="J228" s="30" t="inlineStr">
        <is>
          <t>Diesel probable</t>
        </is>
      </c>
      <c r="K228" s="30" t="n">
        <v>500</v>
      </c>
      <c r="L228" s="30" t="n">
        <v>190</v>
      </c>
      <c r="M228" s="30" t="n">
        <v>40</v>
      </c>
      <c r="N228" s="30" t="n">
        <v>180</v>
      </c>
      <c r="O228" s="30" t="n">
        <v>4</v>
      </c>
      <c r="P228" s="30" t="n">
        <v>0</v>
      </c>
      <c r="Q228" s="30" t="inlineStr">
        <is>
          <t>C/D — estimation par catégorie</t>
        </is>
      </c>
      <c r="R228" s="30" t="inlineStr">
        <is>
          <t>Archétype td; estimation arrondie, marge indicative ±10–20 % ou davantage pour prototypes.</t>
        </is>
      </c>
    </row>
    <row r="229">
      <c r="A229" s="30" t="inlineStr">
        <is>
          <t>VEH-228</t>
        </is>
      </c>
      <c r="B229" s="30" t="inlineStr">
        <is>
          <t>ISU-152</t>
        </is>
      </c>
      <c r="C229" s="30" t="inlineStr">
        <is>
          <t>Chasseurs de chars et canons automoteurs</t>
        </is>
      </c>
      <c r="D229" s="30" t="n">
        <v>25000</v>
      </c>
      <c r="E229" s="30" t="n">
        <v>6.5</v>
      </c>
      <c r="F229" s="30" t="n">
        <v>3</v>
      </c>
      <c r="G229" s="30" t="n">
        <v>2.5</v>
      </c>
      <c r="H229" s="30" t="n">
        <v>12</v>
      </c>
      <c r="I229" s="30" t="n">
        <v>400</v>
      </c>
      <c r="J229" s="30" t="inlineStr">
        <is>
          <t>Diesel probable</t>
        </is>
      </c>
      <c r="K229" s="30" t="n">
        <v>500</v>
      </c>
      <c r="L229" s="30" t="n">
        <v>190</v>
      </c>
      <c r="M229" s="30" t="n">
        <v>40</v>
      </c>
      <c r="N229" s="30" t="n">
        <v>180</v>
      </c>
      <c r="O229" s="30" t="n">
        <v>4</v>
      </c>
      <c r="P229" s="30" t="n">
        <v>0</v>
      </c>
      <c r="Q229" s="30" t="inlineStr">
        <is>
          <t>C/D — estimation par catégorie</t>
        </is>
      </c>
      <c r="R229" s="30" t="inlineStr">
        <is>
          <t>Archétype td; estimation arrondie, marge indicative ±10–20 % ou davantage pour prototypes.</t>
        </is>
      </c>
    </row>
    <row r="230">
      <c r="A230" s="30" t="inlineStr">
        <is>
          <t>VEH-229</t>
        </is>
      </c>
      <c r="B230" s="30" t="inlineStr">
        <is>
          <t>Type 89 I-Go</t>
        </is>
      </c>
      <c r="C230" s="30" t="inlineStr">
        <is>
          <t>Chars légers et chars anciens</t>
        </is>
      </c>
      <c r="D230" s="30" t="n">
        <v>9000</v>
      </c>
      <c r="E230" s="30" t="n">
        <v>4.5</v>
      </c>
      <c r="F230" s="30" t="n">
        <v>2.2</v>
      </c>
      <c r="G230" s="30" t="n">
        <v>2.2</v>
      </c>
      <c r="H230" s="30" t="n">
        <v>7</v>
      </c>
      <c r="I230" s="30" t="n">
        <v>150</v>
      </c>
      <c r="J230" s="30" t="inlineStr">
        <is>
          <t>Essence</t>
        </is>
      </c>
      <c r="K230" s="30" t="n">
        <v>300</v>
      </c>
      <c r="L230" s="30" t="n">
        <v>100</v>
      </c>
      <c r="M230" s="30" t="n">
        <v>40</v>
      </c>
      <c r="N230" s="30" t="n">
        <v>180</v>
      </c>
      <c r="O230" s="30" t="n">
        <v>3</v>
      </c>
      <c r="P230" s="30" t="n">
        <v>0</v>
      </c>
      <c r="Q230" s="30" t="inlineStr">
        <is>
          <t>C/D — estimation par catégorie</t>
        </is>
      </c>
      <c r="R230" s="30" t="inlineStr">
        <is>
          <t>Archétype light_tank; estimation arrondie, marge indicative ±10–20 % ou davantage pour prototypes.</t>
        </is>
      </c>
    </row>
    <row r="231">
      <c r="A231" s="30" t="inlineStr">
        <is>
          <t>VEH-230</t>
        </is>
      </c>
      <c r="B231" s="30" t="inlineStr">
        <is>
          <t>Type 92 Jyu-Sokosha</t>
        </is>
      </c>
      <c r="C231" s="30" t="inlineStr">
        <is>
          <t>Chars légers et chars anciens</t>
        </is>
      </c>
      <c r="D231" s="30" t="n">
        <v>9000</v>
      </c>
      <c r="E231" s="30" t="n">
        <v>4.5</v>
      </c>
      <c r="F231" s="30" t="n">
        <v>2.2</v>
      </c>
      <c r="G231" s="30" t="n">
        <v>2.2</v>
      </c>
      <c r="H231" s="30" t="n">
        <v>7</v>
      </c>
      <c r="I231" s="30" t="n">
        <v>150</v>
      </c>
      <c r="J231" s="30" t="inlineStr">
        <is>
          <t>Essence</t>
        </is>
      </c>
      <c r="K231" s="30" t="n">
        <v>300</v>
      </c>
      <c r="L231" s="30" t="n">
        <v>100</v>
      </c>
      <c r="M231" s="30" t="n">
        <v>40</v>
      </c>
      <c r="N231" s="30" t="n">
        <v>180</v>
      </c>
      <c r="O231" s="30" t="n">
        <v>3</v>
      </c>
      <c r="P231" s="30" t="n">
        <v>0</v>
      </c>
      <c r="Q231" s="30" t="inlineStr">
        <is>
          <t>C/D — estimation par catégorie</t>
        </is>
      </c>
      <c r="R231" s="30" t="inlineStr">
        <is>
          <t>Archétype light_tank; estimation arrondie, marge indicative ±10–20 % ou davantage pour prototypes.</t>
        </is>
      </c>
    </row>
    <row r="232">
      <c r="A232" s="30" t="inlineStr">
        <is>
          <t>VEH-231</t>
        </is>
      </c>
      <c r="B232" s="30" t="inlineStr">
        <is>
          <t>Type 94 tankette</t>
        </is>
      </c>
      <c r="C232" s="30" t="inlineStr">
        <is>
          <t>Chars légers et chars anciens</t>
        </is>
      </c>
      <c r="D232" s="30" t="n">
        <v>9000</v>
      </c>
      <c r="E232" s="30" t="n">
        <v>4.5</v>
      </c>
      <c r="F232" s="30" t="n">
        <v>2.2</v>
      </c>
      <c r="G232" s="30" t="n">
        <v>2.2</v>
      </c>
      <c r="H232" s="30" t="n">
        <v>7</v>
      </c>
      <c r="I232" s="30" t="n">
        <v>150</v>
      </c>
      <c r="J232" s="30" t="inlineStr">
        <is>
          <t>Essence</t>
        </is>
      </c>
      <c r="K232" s="30" t="n">
        <v>300</v>
      </c>
      <c r="L232" s="30" t="n">
        <v>100</v>
      </c>
      <c r="M232" s="30" t="n">
        <v>40</v>
      </c>
      <c r="N232" s="30" t="n">
        <v>180</v>
      </c>
      <c r="O232" s="30" t="n">
        <v>3</v>
      </c>
      <c r="P232" s="30" t="n">
        <v>0</v>
      </c>
      <c r="Q232" s="30" t="inlineStr">
        <is>
          <t>C/D — estimation par catégorie</t>
        </is>
      </c>
      <c r="R232" s="30" t="inlineStr">
        <is>
          <t>Archétype light_tank; estimation arrondie, marge indicative ±10–20 % ou davantage pour prototypes.</t>
        </is>
      </c>
    </row>
    <row r="233">
      <c r="A233" s="30" t="inlineStr">
        <is>
          <t>VEH-232</t>
        </is>
      </c>
      <c r="B233" s="30" t="inlineStr">
        <is>
          <t>Type 95 Ha-Go</t>
        </is>
      </c>
      <c r="C233" s="30" t="inlineStr">
        <is>
          <t>Chars légers et chars anciens</t>
        </is>
      </c>
      <c r="D233" s="30" t="n">
        <v>9000</v>
      </c>
      <c r="E233" s="30" t="n">
        <v>4.5</v>
      </c>
      <c r="F233" s="30" t="n">
        <v>2.2</v>
      </c>
      <c r="G233" s="30" t="n">
        <v>2.2</v>
      </c>
      <c r="H233" s="30" t="n">
        <v>7</v>
      </c>
      <c r="I233" s="30" t="n">
        <v>150</v>
      </c>
      <c r="J233" s="30" t="inlineStr">
        <is>
          <t>Essence</t>
        </is>
      </c>
      <c r="K233" s="30" t="n">
        <v>300</v>
      </c>
      <c r="L233" s="30" t="n">
        <v>100</v>
      </c>
      <c r="M233" s="30" t="n">
        <v>40</v>
      </c>
      <c r="N233" s="30" t="n">
        <v>180</v>
      </c>
      <c r="O233" s="30" t="n">
        <v>3</v>
      </c>
      <c r="P233" s="30" t="n">
        <v>0</v>
      </c>
      <c r="Q233" s="30" t="inlineStr">
        <is>
          <t>C/D — estimation par catégorie</t>
        </is>
      </c>
      <c r="R233" s="30" t="inlineStr">
        <is>
          <t>Archétype light_tank; estimation arrondie, marge indicative ±10–20 % ou davantage pour prototypes.</t>
        </is>
      </c>
    </row>
    <row r="234">
      <c r="A234" s="30" t="inlineStr">
        <is>
          <t>VEH-233</t>
        </is>
      </c>
      <c r="B234" s="30" t="inlineStr">
        <is>
          <t>Type 97 Shinhoto Chi-Ha</t>
        </is>
      </c>
      <c r="C234" s="30" t="inlineStr">
        <is>
          <t>Chars moyens</t>
        </is>
      </c>
      <c r="D234" s="30" t="n">
        <v>28000</v>
      </c>
      <c r="E234" s="30" t="n">
        <v>6</v>
      </c>
      <c r="F234" s="30" t="n">
        <v>2.8</v>
      </c>
      <c r="G234" s="30" t="n">
        <v>2.7</v>
      </c>
      <c r="H234" s="30" t="n">
        <v>12</v>
      </c>
      <c r="I234" s="30" t="n">
        <v>400</v>
      </c>
      <c r="J234" s="30" t="inlineStr">
        <is>
          <t>Essence</t>
        </is>
      </c>
      <c r="K234" s="30" t="n">
        <v>500</v>
      </c>
      <c r="L234" s="30" t="n">
        <v>180</v>
      </c>
      <c r="M234" s="30" t="n">
        <v>40</v>
      </c>
      <c r="N234" s="30" t="n">
        <v>200</v>
      </c>
      <c r="O234" s="30" t="n">
        <v>5</v>
      </c>
      <c r="P234" s="30" t="n">
        <v>0</v>
      </c>
      <c r="Q234" s="30" t="inlineStr">
        <is>
          <t>C/D — estimation par catégorie</t>
        </is>
      </c>
      <c r="R234" s="30" t="inlineStr">
        <is>
          <t>Archétype medium_tank; estimation arrondie, marge indicative ±10–20 % ou davantage pour prototypes.</t>
        </is>
      </c>
    </row>
    <row r="235">
      <c r="A235" s="30" t="inlineStr">
        <is>
          <t>VEH-234</t>
        </is>
      </c>
      <c r="B235" s="30" t="inlineStr">
        <is>
          <t>Type 1 Chi-He</t>
        </is>
      </c>
      <c r="C235" s="30" t="inlineStr">
        <is>
          <t>Chars moyens</t>
        </is>
      </c>
      <c r="D235" s="30" t="n">
        <v>28000</v>
      </c>
      <c r="E235" s="30" t="n">
        <v>6</v>
      </c>
      <c r="F235" s="30" t="n">
        <v>2.8</v>
      </c>
      <c r="G235" s="30" t="n">
        <v>2.7</v>
      </c>
      <c r="H235" s="30" t="n">
        <v>12</v>
      </c>
      <c r="I235" s="30" t="n">
        <v>400</v>
      </c>
      <c r="J235" s="30" t="inlineStr">
        <is>
          <t>Essence</t>
        </is>
      </c>
      <c r="K235" s="30" t="n">
        <v>500</v>
      </c>
      <c r="L235" s="30" t="n">
        <v>180</v>
      </c>
      <c r="M235" s="30" t="n">
        <v>40</v>
      </c>
      <c r="N235" s="30" t="n">
        <v>200</v>
      </c>
      <c r="O235" s="30" t="n">
        <v>5</v>
      </c>
      <c r="P235" s="30" t="n">
        <v>0</v>
      </c>
      <c r="Q235" s="30" t="inlineStr">
        <is>
          <t>C/D — estimation par catégorie</t>
        </is>
      </c>
      <c r="R235" s="30" t="inlineStr">
        <is>
          <t>Archétype medium_tank; estimation arrondie, marge indicative ±10–20 % ou davantage pour prototypes.</t>
        </is>
      </c>
    </row>
    <row r="236">
      <c r="A236" s="30" t="inlineStr">
        <is>
          <t>VEH-235</t>
        </is>
      </c>
      <c r="B236" s="30" t="inlineStr">
        <is>
          <t>Type 2 Ho-I</t>
        </is>
      </c>
      <c r="C236" s="30" t="inlineStr">
        <is>
          <t>Chasseurs de chars et canons automoteurs</t>
        </is>
      </c>
      <c r="D236" s="30" t="n">
        <v>25000</v>
      </c>
      <c r="E236" s="30" t="n">
        <v>6.5</v>
      </c>
      <c r="F236" s="30" t="n">
        <v>3</v>
      </c>
      <c r="G236" s="30" t="n">
        <v>2.5</v>
      </c>
      <c r="H236" s="30" t="n">
        <v>12</v>
      </c>
      <c r="I236" s="30" t="n">
        <v>400</v>
      </c>
      <c r="J236" s="30" t="inlineStr">
        <is>
          <t>Essence ou diesel selon variante</t>
        </is>
      </c>
      <c r="K236" s="30" t="n">
        <v>500</v>
      </c>
      <c r="L236" s="30" t="n">
        <v>190</v>
      </c>
      <c r="M236" s="30" t="n">
        <v>40</v>
      </c>
      <c r="N236" s="30" t="n">
        <v>180</v>
      </c>
      <c r="O236" s="30" t="n">
        <v>4</v>
      </c>
      <c r="P236" s="30" t="n">
        <v>0</v>
      </c>
      <c r="Q236" s="30" t="inlineStr">
        <is>
          <t>C/D — estimation par catégorie</t>
        </is>
      </c>
      <c r="R236" s="30" t="inlineStr">
        <is>
          <t>Archétype td; estimation arrondie, marge indicative ±10–20 % ou davantage pour prototypes.</t>
        </is>
      </c>
    </row>
    <row r="237">
      <c r="A237" s="30" t="inlineStr">
        <is>
          <t>VEH-236</t>
        </is>
      </c>
      <c r="B237" s="30" t="inlineStr">
        <is>
          <t>Type 3 Chi-Nu</t>
        </is>
      </c>
      <c r="C237" s="30" t="inlineStr">
        <is>
          <t>Chars moyens</t>
        </is>
      </c>
      <c r="D237" s="30" t="n">
        <v>28000</v>
      </c>
      <c r="E237" s="30" t="n">
        <v>6</v>
      </c>
      <c r="F237" s="30" t="n">
        <v>2.8</v>
      </c>
      <c r="G237" s="30" t="n">
        <v>2.7</v>
      </c>
      <c r="H237" s="30" t="n">
        <v>12</v>
      </c>
      <c r="I237" s="30" t="n">
        <v>400</v>
      </c>
      <c r="J237" s="30" t="inlineStr">
        <is>
          <t>Essence</t>
        </is>
      </c>
      <c r="K237" s="30" t="n">
        <v>500</v>
      </c>
      <c r="L237" s="30" t="n">
        <v>180</v>
      </c>
      <c r="M237" s="30" t="n">
        <v>40</v>
      </c>
      <c r="N237" s="30" t="n">
        <v>200</v>
      </c>
      <c r="O237" s="30" t="n">
        <v>5</v>
      </c>
      <c r="P237" s="30" t="n">
        <v>0</v>
      </c>
      <c r="Q237" s="30" t="inlineStr">
        <is>
          <t>C/D — estimation par catégorie</t>
        </is>
      </c>
      <c r="R237" s="30" t="inlineStr">
        <is>
          <t>Archétype medium_tank; estimation arrondie, marge indicative ±10–20 % ou davantage pour prototypes.</t>
        </is>
      </c>
    </row>
    <row r="238">
      <c r="A238" s="30" t="inlineStr">
        <is>
          <t>VEH-237</t>
        </is>
      </c>
      <c r="B238" s="30" t="inlineStr">
        <is>
          <t>Type 4 Chi-To</t>
        </is>
      </c>
      <c r="C238" s="30" t="inlineStr">
        <is>
          <t>Chars moyens</t>
        </is>
      </c>
      <c r="D238" s="30" t="n">
        <v>28000</v>
      </c>
      <c r="E238" s="30" t="n">
        <v>6</v>
      </c>
      <c r="F238" s="30" t="n">
        <v>2.8</v>
      </c>
      <c r="G238" s="30" t="n">
        <v>2.7</v>
      </c>
      <c r="H238" s="30" t="n">
        <v>12</v>
      </c>
      <c r="I238" s="30" t="n">
        <v>400</v>
      </c>
      <c r="J238" s="30" t="inlineStr">
        <is>
          <t>Essence</t>
        </is>
      </c>
      <c r="K238" s="30" t="n">
        <v>500</v>
      </c>
      <c r="L238" s="30" t="n">
        <v>180</v>
      </c>
      <c r="M238" s="30" t="n">
        <v>40</v>
      </c>
      <c r="N238" s="30" t="n">
        <v>200</v>
      </c>
      <c r="O238" s="30" t="n">
        <v>5</v>
      </c>
      <c r="P238" s="30" t="n">
        <v>0</v>
      </c>
      <c r="Q238" s="30" t="inlineStr">
        <is>
          <t>C/D — estimation par catégorie</t>
        </is>
      </c>
      <c r="R238" s="30" t="inlineStr">
        <is>
          <t>Archétype medium_tank; estimation arrondie, marge indicative ±10–20 % ou davantage pour prototypes.</t>
        </is>
      </c>
    </row>
    <row r="239">
      <c r="A239" s="30" t="inlineStr">
        <is>
          <t>VEH-238</t>
        </is>
      </c>
      <c r="B239" s="30" t="inlineStr">
        <is>
          <t>Type 5 Chi-Ri</t>
        </is>
      </c>
      <c r="C239" s="30" t="inlineStr">
        <is>
          <t>Chars lourds et prototypes</t>
        </is>
      </c>
      <c r="D239" s="30" t="n">
        <v>45000</v>
      </c>
      <c r="E239" s="30" t="n">
        <v>7</v>
      </c>
      <c r="F239" s="30" t="n">
        <v>3.5</v>
      </c>
      <c r="G239" s="30" t="n">
        <v>3.1</v>
      </c>
      <c r="H239" s="30" t="n">
        <v>18</v>
      </c>
      <c r="I239" s="30" t="n">
        <v>600</v>
      </c>
      <c r="J239" s="30" t="inlineStr">
        <is>
          <t>Essence</t>
        </is>
      </c>
      <c r="K239" s="30" t="n">
        <v>800</v>
      </c>
      <c r="L239" s="30" t="n">
        <v>250</v>
      </c>
      <c r="M239" s="30" t="n">
        <v>30</v>
      </c>
      <c r="N239" s="30" t="n">
        <v>150</v>
      </c>
      <c r="O239" s="30" t="n">
        <v>5</v>
      </c>
      <c r="P239" s="30" t="n">
        <v>0</v>
      </c>
      <c r="Q239" s="30" t="inlineStr">
        <is>
          <t>C/D — estimation par catégorie</t>
        </is>
      </c>
      <c r="R239" s="30" t="inlineStr">
        <is>
          <t>Archétype heavy_tank; estimation arrondie, marge indicative ±10–20 % ou davantage pour prototypes.</t>
        </is>
      </c>
    </row>
    <row r="240">
      <c r="A240" s="30" t="inlineStr">
        <is>
          <t>VEH-239</t>
        </is>
      </c>
      <c r="B240" s="30" t="inlineStr">
        <is>
          <t>Type 2 Ka-Mi</t>
        </is>
      </c>
      <c r="C240" s="30" t="inlineStr">
        <is>
          <t>Chars amphibies et spécialisés</t>
        </is>
      </c>
      <c r="D240" s="30" t="n">
        <v>10000</v>
      </c>
      <c r="E240" s="30" t="n">
        <v>6.5</v>
      </c>
      <c r="F240" s="30" t="n">
        <v>2.5</v>
      </c>
      <c r="G240" s="30" t="n">
        <v>2.8</v>
      </c>
      <c r="H240" s="30" t="n">
        <v>6</v>
      </c>
      <c r="I240" s="30" t="n">
        <v>120</v>
      </c>
      <c r="J240" s="30" t="inlineStr">
        <is>
          <t>Essence ou diesel selon variante</t>
        </is>
      </c>
      <c r="K240" s="30" t="n">
        <v>200</v>
      </c>
      <c r="L240" s="30" t="n">
        <v>55</v>
      </c>
      <c r="M240" s="30" t="n">
        <v>45</v>
      </c>
      <c r="N240" s="30" t="n">
        <v>250</v>
      </c>
      <c r="O240" s="30" t="n">
        <v>3</v>
      </c>
      <c r="P240" s="30" t="n">
        <v>1500</v>
      </c>
      <c r="Q240" s="30" t="inlineStr">
        <is>
          <t>C/D — estimation par catégorie</t>
        </is>
      </c>
      <c r="R240" s="30" t="inlineStr">
        <is>
          <t>Archétype amphib; estimation arrondie, marge indicative ±10–20 % ou davantage pour prototypes.</t>
        </is>
      </c>
    </row>
    <row r="241">
      <c r="A241" s="30" t="inlineStr">
        <is>
          <t>VEH-240</t>
        </is>
      </c>
      <c r="B241" s="30" t="inlineStr">
        <is>
          <t>Type 3 Ka-Chi</t>
        </is>
      </c>
      <c r="C241" s="30" t="inlineStr">
        <is>
          <t>Chars amphibies et spécialisés</t>
        </is>
      </c>
      <c r="D241" s="30" t="n">
        <v>10000</v>
      </c>
      <c r="E241" s="30" t="n">
        <v>6.5</v>
      </c>
      <c r="F241" s="30" t="n">
        <v>2.5</v>
      </c>
      <c r="G241" s="30" t="n">
        <v>2.8</v>
      </c>
      <c r="H241" s="30" t="n">
        <v>6</v>
      </c>
      <c r="I241" s="30" t="n">
        <v>120</v>
      </c>
      <c r="J241" s="30" t="inlineStr">
        <is>
          <t>Essence ou diesel selon variante</t>
        </is>
      </c>
      <c r="K241" s="30" t="n">
        <v>200</v>
      </c>
      <c r="L241" s="30" t="n">
        <v>55</v>
      </c>
      <c r="M241" s="30" t="n">
        <v>45</v>
      </c>
      <c r="N241" s="30" t="n">
        <v>250</v>
      </c>
      <c r="O241" s="30" t="n">
        <v>3</v>
      </c>
      <c r="P241" s="30" t="n">
        <v>1500</v>
      </c>
      <c r="Q241" s="30" t="inlineStr">
        <is>
          <t>C/D — estimation par catégorie</t>
        </is>
      </c>
      <c r="R241" s="30" t="inlineStr">
        <is>
          <t>Archétype amphib; estimation arrondie, marge indicative ±10–20 % ou davantage pour prototypes.</t>
        </is>
      </c>
    </row>
    <row r="242">
      <c r="A242" s="30" t="inlineStr">
        <is>
          <t>VEH-241</t>
        </is>
      </c>
      <c r="B242" s="30" t="inlineStr">
        <is>
          <t>Ho-Ni I</t>
        </is>
      </c>
      <c r="C242" s="30" t="inlineStr">
        <is>
          <t>Chasseurs de chars et canons automoteurs</t>
        </is>
      </c>
      <c r="D242" s="30" t="n">
        <v>25000</v>
      </c>
      <c r="E242" s="30" t="n">
        <v>6.5</v>
      </c>
      <c r="F242" s="30" t="n">
        <v>3</v>
      </c>
      <c r="G242" s="30" t="n">
        <v>2.5</v>
      </c>
      <c r="H242" s="30" t="n">
        <v>12</v>
      </c>
      <c r="I242" s="30" t="n">
        <v>400</v>
      </c>
      <c r="J242" s="30" t="inlineStr">
        <is>
          <t>Essence ou diesel selon variante</t>
        </is>
      </c>
      <c r="K242" s="30" t="n">
        <v>500</v>
      </c>
      <c r="L242" s="30" t="n">
        <v>190</v>
      </c>
      <c r="M242" s="30" t="n">
        <v>40</v>
      </c>
      <c r="N242" s="30" t="n">
        <v>180</v>
      </c>
      <c r="O242" s="30" t="n">
        <v>4</v>
      </c>
      <c r="P242" s="30" t="n">
        <v>0</v>
      </c>
      <c r="Q242" s="30" t="inlineStr">
        <is>
          <t>C/D — estimation par catégorie</t>
        </is>
      </c>
      <c r="R242" s="30" t="inlineStr">
        <is>
          <t>Archétype td; estimation arrondie, marge indicative ±10–20 % ou davantage pour prototypes.</t>
        </is>
      </c>
    </row>
    <row r="243">
      <c r="A243" s="30" t="inlineStr">
        <is>
          <t>VEH-242</t>
        </is>
      </c>
      <c r="B243" s="30" t="inlineStr">
        <is>
          <t>L3/33</t>
        </is>
      </c>
      <c r="C243" s="30" t="inlineStr">
        <is>
          <t>Chars légers et chars anciens</t>
        </is>
      </c>
      <c r="D243" s="30" t="n">
        <v>9000</v>
      </c>
      <c r="E243" s="30" t="n">
        <v>4.5</v>
      </c>
      <c r="F243" s="30" t="n">
        <v>2.2</v>
      </c>
      <c r="G243" s="30" t="n">
        <v>2.2</v>
      </c>
      <c r="H243" s="30" t="n">
        <v>7</v>
      </c>
      <c r="I243" s="30" t="n">
        <v>150</v>
      </c>
      <c r="J243" s="30" t="inlineStr">
        <is>
          <t>Essence</t>
        </is>
      </c>
      <c r="K243" s="30" t="n">
        <v>300</v>
      </c>
      <c r="L243" s="30" t="n">
        <v>100</v>
      </c>
      <c r="M243" s="30" t="n">
        <v>40</v>
      </c>
      <c r="N243" s="30" t="n">
        <v>180</v>
      </c>
      <c r="O243" s="30" t="n">
        <v>3</v>
      </c>
      <c r="P243" s="30" t="n">
        <v>0</v>
      </c>
      <c r="Q243" s="30" t="inlineStr">
        <is>
          <t>C/D — estimation par catégorie</t>
        </is>
      </c>
      <c r="R243" s="30" t="inlineStr">
        <is>
          <t>Archétype light_tank; estimation arrondie, marge indicative ±10–20 % ou davantage pour prototypes.</t>
        </is>
      </c>
    </row>
    <row r="244">
      <c r="A244" s="30" t="inlineStr">
        <is>
          <t>VEH-243</t>
        </is>
      </c>
      <c r="B244" s="30" t="inlineStr">
        <is>
          <t>L3/35</t>
        </is>
      </c>
      <c r="C244" s="30" t="inlineStr">
        <is>
          <t>Chars légers et chars anciens</t>
        </is>
      </c>
      <c r="D244" s="30" t="n">
        <v>9000</v>
      </c>
      <c r="E244" s="30" t="n">
        <v>4.5</v>
      </c>
      <c r="F244" s="30" t="n">
        <v>2.2</v>
      </c>
      <c r="G244" s="30" t="n">
        <v>2.2</v>
      </c>
      <c r="H244" s="30" t="n">
        <v>7</v>
      </c>
      <c r="I244" s="30" t="n">
        <v>150</v>
      </c>
      <c r="J244" s="30" t="inlineStr">
        <is>
          <t>Essence</t>
        </is>
      </c>
      <c r="K244" s="30" t="n">
        <v>300</v>
      </c>
      <c r="L244" s="30" t="n">
        <v>100</v>
      </c>
      <c r="M244" s="30" t="n">
        <v>40</v>
      </c>
      <c r="N244" s="30" t="n">
        <v>180</v>
      </c>
      <c r="O244" s="30" t="n">
        <v>3</v>
      </c>
      <c r="P244" s="30" t="n">
        <v>0</v>
      </c>
      <c r="Q244" s="30" t="inlineStr">
        <is>
          <t>C/D — estimation par catégorie</t>
        </is>
      </c>
      <c r="R244" s="30" t="inlineStr">
        <is>
          <t>Archétype light_tank; estimation arrondie, marge indicative ±10–20 % ou davantage pour prototypes.</t>
        </is>
      </c>
    </row>
    <row r="245">
      <c r="A245" s="30" t="inlineStr">
        <is>
          <t>VEH-244</t>
        </is>
      </c>
      <c r="B245" s="30" t="inlineStr">
        <is>
          <t>L6/40</t>
        </is>
      </c>
      <c r="C245" s="30" t="inlineStr">
        <is>
          <t>Chars légers et chars anciens</t>
        </is>
      </c>
      <c r="D245" s="30" t="n">
        <v>9000</v>
      </c>
      <c r="E245" s="30" t="n">
        <v>4.5</v>
      </c>
      <c r="F245" s="30" t="n">
        <v>2.2</v>
      </c>
      <c r="G245" s="30" t="n">
        <v>2.2</v>
      </c>
      <c r="H245" s="30" t="n">
        <v>7</v>
      </c>
      <c r="I245" s="30" t="n">
        <v>150</v>
      </c>
      <c r="J245" s="30" t="inlineStr">
        <is>
          <t>Essence</t>
        </is>
      </c>
      <c r="K245" s="30" t="n">
        <v>300</v>
      </c>
      <c r="L245" s="30" t="n">
        <v>100</v>
      </c>
      <c r="M245" s="30" t="n">
        <v>40</v>
      </c>
      <c r="N245" s="30" t="n">
        <v>180</v>
      </c>
      <c r="O245" s="30" t="n">
        <v>3</v>
      </c>
      <c r="P245" s="30" t="n">
        <v>0</v>
      </c>
      <c r="Q245" s="30" t="inlineStr">
        <is>
          <t>C/D — estimation par catégorie</t>
        </is>
      </c>
      <c r="R245" s="30" t="inlineStr">
        <is>
          <t>Archétype light_tank; estimation arrondie, marge indicative ±10–20 % ou davantage pour prototypes.</t>
        </is>
      </c>
    </row>
    <row r="246">
      <c r="A246" s="30" t="inlineStr">
        <is>
          <t>VEH-245</t>
        </is>
      </c>
      <c r="B246" s="30" t="inlineStr">
        <is>
          <t>M11/39</t>
        </is>
      </c>
      <c r="C246" s="30" t="inlineStr">
        <is>
          <t>Chars moyens</t>
        </is>
      </c>
      <c r="D246" s="30" t="n">
        <v>28000</v>
      </c>
      <c r="E246" s="30" t="n">
        <v>6</v>
      </c>
      <c r="F246" s="30" t="n">
        <v>2.8</v>
      </c>
      <c r="G246" s="30" t="n">
        <v>2.7</v>
      </c>
      <c r="H246" s="30" t="n">
        <v>12</v>
      </c>
      <c r="I246" s="30" t="n">
        <v>400</v>
      </c>
      <c r="J246" s="30" t="inlineStr">
        <is>
          <t>Essence</t>
        </is>
      </c>
      <c r="K246" s="30" t="n">
        <v>500</v>
      </c>
      <c r="L246" s="30" t="n">
        <v>180</v>
      </c>
      <c r="M246" s="30" t="n">
        <v>40</v>
      </c>
      <c r="N246" s="30" t="n">
        <v>200</v>
      </c>
      <c r="O246" s="30" t="n">
        <v>5</v>
      </c>
      <c r="P246" s="30" t="n">
        <v>0</v>
      </c>
      <c r="Q246" s="30" t="inlineStr">
        <is>
          <t>C/D — estimation par catégorie</t>
        </is>
      </c>
      <c r="R246" s="30" t="inlineStr">
        <is>
          <t>Archétype medium_tank; estimation arrondie, marge indicative ±10–20 % ou davantage pour prototypes.</t>
        </is>
      </c>
    </row>
    <row r="247">
      <c r="A247" s="30" t="inlineStr">
        <is>
          <t>VEH-246</t>
        </is>
      </c>
      <c r="B247" s="30" t="inlineStr">
        <is>
          <t>M14/41</t>
        </is>
      </c>
      <c r="C247" s="30" t="inlineStr">
        <is>
          <t>Chars moyens</t>
        </is>
      </c>
      <c r="D247" s="30" t="n">
        <v>28000</v>
      </c>
      <c r="E247" s="30" t="n">
        <v>6</v>
      </c>
      <c r="F247" s="30" t="n">
        <v>2.8</v>
      </c>
      <c r="G247" s="30" t="n">
        <v>2.7</v>
      </c>
      <c r="H247" s="30" t="n">
        <v>12</v>
      </c>
      <c r="I247" s="30" t="n">
        <v>400</v>
      </c>
      <c r="J247" s="30" t="inlineStr">
        <is>
          <t>Essence</t>
        </is>
      </c>
      <c r="K247" s="30" t="n">
        <v>500</v>
      </c>
      <c r="L247" s="30" t="n">
        <v>180</v>
      </c>
      <c r="M247" s="30" t="n">
        <v>40</v>
      </c>
      <c r="N247" s="30" t="n">
        <v>200</v>
      </c>
      <c r="O247" s="30" t="n">
        <v>5</v>
      </c>
      <c r="P247" s="30" t="n">
        <v>0</v>
      </c>
      <c r="Q247" s="30" t="inlineStr">
        <is>
          <t>C/D — estimation par catégorie</t>
        </is>
      </c>
      <c r="R247" s="30" t="inlineStr">
        <is>
          <t>Archétype medium_tank; estimation arrondie, marge indicative ±10–20 % ou davantage pour prototypes.</t>
        </is>
      </c>
    </row>
    <row r="248">
      <c r="A248" s="30" t="inlineStr">
        <is>
          <t>VEH-247</t>
        </is>
      </c>
      <c r="B248" s="30" t="inlineStr">
        <is>
          <t>P26/40</t>
        </is>
      </c>
      <c r="C248" s="30" t="inlineStr">
        <is>
          <t>Chars lourds et prototypes</t>
        </is>
      </c>
      <c r="D248" s="30" t="n">
        <v>45000</v>
      </c>
      <c r="E248" s="30" t="n">
        <v>7</v>
      </c>
      <c r="F248" s="30" t="n">
        <v>3.5</v>
      </c>
      <c r="G248" s="30" t="n">
        <v>3.1</v>
      </c>
      <c r="H248" s="30" t="n">
        <v>18</v>
      </c>
      <c r="I248" s="30" t="n">
        <v>600</v>
      </c>
      <c r="J248" s="30" t="inlineStr">
        <is>
          <t>Essence</t>
        </is>
      </c>
      <c r="K248" s="30" t="n">
        <v>800</v>
      </c>
      <c r="L248" s="30" t="n">
        <v>250</v>
      </c>
      <c r="M248" s="30" t="n">
        <v>30</v>
      </c>
      <c r="N248" s="30" t="n">
        <v>150</v>
      </c>
      <c r="O248" s="30" t="n">
        <v>5</v>
      </c>
      <c r="P248" s="30" t="n">
        <v>0</v>
      </c>
      <c r="Q248" s="30" t="inlineStr">
        <is>
          <t>C/D — estimation par catégorie</t>
        </is>
      </c>
      <c r="R248" s="30" t="inlineStr">
        <is>
          <t>Archétype heavy_tank; estimation arrondie, marge indicative ±10–20 % ou davantage pour prototypes.</t>
        </is>
      </c>
    </row>
    <row r="249">
      <c r="A249" s="30" t="inlineStr">
        <is>
          <t>VEH-248</t>
        </is>
      </c>
      <c r="B249" s="30" t="inlineStr">
        <is>
          <t>Semovente L40 da 47/32</t>
        </is>
      </c>
      <c r="C249" s="30" t="inlineStr">
        <is>
          <t>Chasseurs de chars et canons automoteurs</t>
        </is>
      </c>
      <c r="D249" s="30" t="n">
        <v>25000</v>
      </c>
      <c r="E249" s="30" t="n">
        <v>6.5</v>
      </c>
      <c r="F249" s="30" t="n">
        <v>3</v>
      </c>
      <c r="G249" s="30" t="n">
        <v>2.5</v>
      </c>
      <c r="H249" s="30" t="n">
        <v>12</v>
      </c>
      <c r="I249" s="30" t="n">
        <v>400</v>
      </c>
      <c r="J249" s="30" t="inlineStr">
        <is>
          <t>Essence ou diesel selon variante</t>
        </is>
      </c>
      <c r="K249" s="30" t="n">
        <v>500</v>
      </c>
      <c r="L249" s="30" t="n">
        <v>190</v>
      </c>
      <c r="M249" s="30" t="n">
        <v>40</v>
      </c>
      <c r="N249" s="30" t="n">
        <v>180</v>
      </c>
      <c r="O249" s="30" t="n">
        <v>4</v>
      </c>
      <c r="P249" s="30" t="n">
        <v>0</v>
      </c>
      <c r="Q249" s="30" t="inlineStr">
        <is>
          <t>C/D — estimation par catégorie</t>
        </is>
      </c>
      <c r="R249" s="30" t="inlineStr">
        <is>
          <t>Archétype td; estimation arrondie, marge indicative ±10–20 % ou davantage pour prototypes.</t>
        </is>
      </c>
    </row>
    <row r="250">
      <c r="A250" s="30" t="inlineStr">
        <is>
          <t>VEH-249</t>
        </is>
      </c>
      <c r="B250" s="30" t="inlineStr">
        <is>
          <t>Semovente M40/M41 da 75/18</t>
        </is>
      </c>
      <c r="C250" s="30" t="inlineStr">
        <is>
          <t>Chasseurs de chars et canons automoteurs</t>
        </is>
      </c>
      <c r="D250" s="30" t="n">
        <v>25000</v>
      </c>
      <c r="E250" s="30" t="n">
        <v>6.5</v>
      </c>
      <c r="F250" s="30" t="n">
        <v>3</v>
      </c>
      <c r="G250" s="30" t="n">
        <v>2.5</v>
      </c>
      <c r="H250" s="30" t="n">
        <v>12</v>
      </c>
      <c r="I250" s="30" t="n">
        <v>400</v>
      </c>
      <c r="J250" s="30" t="inlineStr">
        <is>
          <t>Essence ou diesel selon variante</t>
        </is>
      </c>
      <c r="K250" s="30" t="n">
        <v>500</v>
      </c>
      <c r="L250" s="30" t="n">
        <v>190</v>
      </c>
      <c r="M250" s="30" t="n">
        <v>40</v>
      </c>
      <c r="N250" s="30" t="n">
        <v>180</v>
      </c>
      <c r="O250" s="30" t="n">
        <v>4</v>
      </c>
      <c r="P250" s="30" t="n">
        <v>0</v>
      </c>
      <c r="Q250" s="30" t="inlineStr">
        <is>
          <t>C/D — estimation par catégorie</t>
        </is>
      </c>
      <c r="R250" s="30" t="inlineStr">
        <is>
          <t>Archétype td; estimation arrondie, marge indicative ±10–20 % ou davantage pour prototypes.</t>
        </is>
      </c>
    </row>
    <row r="251">
      <c r="A251" s="30" t="inlineStr">
        <is>
          <t>VEH-250</t>
        </is>
      </c>
      <c r="B251" s="30" t="inlineStr">
        <is>
          <t>Semovente M42 da 75/34</t>
        </is>
      </c>
      <c r="C251" s="30" t="inlineStr">
        <is>
          <t>Chasseurs de chars et canons automoteurs</t>
        </is>
      </c>
      <c r="D251" s="30" t="n">
        <v>25000</v>
      </c>
      <c r="E251" s="30" t="n">
        <v>6.5</v>
      </c>
      <c r="F251" s="30" t="n">
        <v>3</v>
      </c>
      <c r="G251" s="30" t="n">
        <v>2.5</v>
      </c>
      <c r="H251" s="30" t="n">
        <v>12</v>
      </c>
      <c r="I251" s="30" t="n">
        <v>400</v>
      </c>
      <c r="J251" s="30" t="inlineStr">
        <is>
          <t>Essence ou diesel selon variante</t>
        </is>
      </c>
      <c r="K251" s="30" t="n">
        <v>500</v>
      </c>
      <c r="L251" s="30" t="n">
        <v>190</v>
      </c>
      <c r="M251" s="30" t="n">
        <v>40</v>
      </c>
      <c r="N251" s="30" t="n">
        <v>180</v>
      </c>
      <c r="O251" s="30" t="n">
        <v>4</v>
      </c>
      <c r="P251" s="30" t="n">
        <v>0</v>
      </c>
      <c r="Q251" s="30" t="inlineStr">
        <is>
          <t>C/D — estimation par catégorie</t>
        </is>
      </c>
      <c r="R251" s="30" t="inlineStr">
        <is>
          <t>Archétype td; estimation arrondie, marge indicative ±10–20 % ou davantage pour prototypes.</t>
        </is>
      </c>
    </row>
    <row r="252">
      <c r="A252" s="30" t="inlineStr">
        <is>
          <t>VEH-251</t>
        </is>
      </c>
      <c r="B252" s="30" t="inlineStr">
        <is>
          <t>Semovente M43 da 105/25</t>
        </is>
      </c>
      <c r="C252" s="30" t="inlineStr">
        <is>
          <t>Chasseurs de chars et canons automoteurs</t>
        </is>
      </c>
      <c r="D252" s="30" t="n">
        <v>25000</v>
      </c>
      <c r="E252" s="30" t="n">
        <v>6.5</v>
      </c>
      <c r="F252" s="30" t="n">
        <v>3</v>
      </c>
      <c r="G252" s="30" t="n">
        <v>2.5</v>
      </c>
      <c r="H252" s="30" t="n">
        <v>12</v>
      </c>
      <c r="I252" s="30" t="n">
        <v>400</v>
      </c>
      <c r="J252" s="30" t="inlineStr">
        <is>
          <t>Essence ou diesel selon variante</t>
        </is>
      </c>
      <c r="K252" s="30" t="n">
        <v>500</v>
      </c>
      <c r="L252" s="30" t="n">
        <v>190</v>
      </c>
      <c r="M252" s="30" t="n">
        <v>40</v>
      </c>
      <c r="N252" s="30" t="n">
        <v>180</v>
      </c>
      <c r="O252" s="30" t="n">
        <v>4</v>
      </c>
      <c r="P252" s="30" t="n">
        <v>0</v>
      </c>
      <c r="Q252" s="30" t="inlineStr">
        <is>
          <t>C/D — estimation par catégorie</t>
        </is>
      </c>
      <c r="R252" s="30" t="inlineStr">
        <is>
          <t>Archétype td; estimation arrondie, marge indicative ±10–20 % ou davantage pour prototypes.</t>
        </is>
      </c>
    </row>
    <row r="253">
      <c r="A253" s="30" t="inlineStr">
        <is>
          <t>VEH-252</t>
        </is>
      </c>
      <c r="B253" s="30" t="inlineStr">
        <is>
          <t>TK-3</t>
        </is>
      </c>
      <c r="C253" s="30" t="inlineStr">
        <is>
          <t>Chars légers et chars anciens</t>
        </is>
      </c>
      <c r="D253" s="30" t="n">
        <v>9000</v>
      </c>
      <c r="E253" s="30" t="n">
        <v>4.5</v>
      </c>
      <c r="F253" s="30" t="n">
        <v>2.2</v>
      </c>
      <c r="G253" s="30" t="n">
        <v>2.2</v>
      </c>
      <c r="H253" s="30" t="n">
        <v>7</v>
      </c>
      <c r="I253" s="30" t="n">
        <v>150</v>
      </c>
      <c r="J253" s="30" t="inlineStr">
        <is>
          <t>Essence</t>
        </is>
      </c>
      <c r="K253" s="30" t="n">
        <v>300</v>
      </c>
      <c r="L253" s="30" t="n">
        <v>100</v>
      </c>
      <c r="M253" s="30" t="n">
        <v>40</v>
      </c>
      <c r="N253" s="30" t="n">
        <v>180</v>
      </c>
      <c r="O253" s="30" t="n">
        <v>3</v>
      </c>
      <c r="P253" s="30" t="n">
        <v>0</v>
      </c>
      <c r="Q253" s="30" t="inlineStr">
        <is>
          <t>C/D — estimation par catégorie</t>
        </is>
      </c>
      <c r="R253" s="30" t="inlineStr">
        <is>
          <t>Archétype light_tank; estimation arrondie, marge indicative ±10–20 % ou davantage pour prototypes.</t>
        </is>
      </c>
    </row>
    <row r="254">
      <c r="A254" s="30" t="inlineStr">
        <is>
          <t>VEH-253</t>
        </is>
      </c>
      <c r="B254" s="30" t="inlineStr">
        <is>
          <t>TKS</t>
        </is>
      </c>
      <c r="C254" s="30" t="inlineStr">
        <is>
          <t>Chars légers et chars anciens</t>
        </is>
      </c>
      <c r="D254" s="30" t="n">
        <v>9000</v>
      </c>
      <c r="E254" s="30" t="n">
        <v>4.5</v>
      </c>
      <c r="F254" s="30" t="n">
        <v>2.2</v>
      </c>
      <c r="G254" s="30" t="n">
        <v>2.2</v>
      </c>
      <c r="H254" s="30" t="n">
        <v>7</v>
      </c>
      <c r="I254" s="30" t="n">
        <v>150</v>
      </c>
      <c r="J254" s="30" t="inlineStr">
        <is>
          <t>Essence</t>
        </is>
      </c>
      <c r="K254" s="30" t="n">
        <v>300</v>
      </c>
      <c r="L254" s="30" t="n">
        <v>100</v>
      </c>
      <c r="M254" s="30" t="n">
        <v>40</v>
      </c>
      <c r="N254" s="30" t="n">
        <v>180</v>
      </c>
      <c r="O254" s="30" t="n">
        <v>3</v>
      </c>
      <c r="P254" s="30" t="n">
        <v>0</v>
      </c>
      <c r="Q254" s="30" t="inlineStr">
        <is>
          <t>C/D — estimation par catégorie</t>
        </is>
      </c>
      <c r="R254" s="30" t="inlineStr">
        <is>
          <t>Archétype light_tank; estimation arrondie, marge indicative ±10–20 % ou davantage pour prototypes.</t>
        </is>
      </c>
    </row>
    <row r="255">
      <c r="A255" s="30" t="inlineStr">
        <is>
          <t>VEH-254</t>
        </is>
      </c>
      <c r="B255" s="30" t="inlineStr">
        <is>
          <t>7TP</t>
        </is>
      </c>
      <c r="C255" s="30" t="inlineStr">
        <is>
          <t>Chars légers et chars anciens</t>
        </is>
      </c>
      <c r="D255" s="30" t="n">
        <v>9000</v>
      </c>
      <c r="E255" s="30" t="n">
        <v>4.5</v>
      </c>
      <c r="F255" s="30" t="n">
        <v>2.2</v>
      </c>
      <c r="G255" s="30" t="n">
        <v>2.2</v>
      </c>
      <c r="H255" s="30" t="n">
        <v>7</v>
      </c>
      <c r="I255" s="30" t="n">
        <v>150</v>
      </c>
      <c r="J255" s="30" t="inlineStr">
        <is>
          <t>Essence</t>
        </is>
      </c>
      <c r="K255" s="30" t="n">
        <v>300</v>
      </c>
      <c r="L255" s="30" t="n">
        <v>100</v>
      </c>
      <c r="M255" s="30" t="n">
        <v>40</v>
      </c>
      <c r="N255" s="30" t="n">
        <v>180</v>
      </c>
      <c r="O255" s="30" t="n">
        <v>3</v>
      </c>
      <c r="P255" s="30" t="n">
        <v>0</v>
      </c>
      <c r="Q255" s="30" t="inlineStr">
        <is>
          <t>C/D — estimation par catégorie</t>
        </is>
      </c>
      <c r="R255" s="30" t="inlineStr">
        <is>
          <t>Archétype light_tank; estimation arrondie, marge indicative ±10–20 % ou davantage pour prototypes.</t>
        </is>
      </c>
    </row>
    <row r="256">
      <c r="A256" s="30" t="inlineStr">
        <is>
          <t>VEH-255</t>
        </is>
      </c>
      <c r="B256" s="30" t="inlineStr">
        <is>
          <t>10TP</t>
        </is>
      </c>
      <c r="C256" s="30" t="inlineStr">
        <is>
          <t>Chars de cavalerie et prototypes</t>
        </is>
      </c>
      <c r="D256" s="30" t="n">
        <v>90000</v>
      </c>
      <c r="E256" s="30" t="n">
        <v>10</v>
      </c>
      <c r="F256" s="30" t="n">
        <v>4</v>
      </c>
      <c r="G256" s="30" t="n">
        <v>3.6</v>
      </c>
      <c r="H256" s="30" t="n">
        <v>30</v>
      </c>
      <c r="I256" s="30" t="n">
        <v>1000</v>
      </c>
      <c r="J256" s="30" t="inlineStr">
        <is>
          <t>Essence</t>
        </is>
      </c>
      <c r="K256" s="30" t="n">
        <v>1500</v>
      </c>
      <c r="L256" s="30" t="n">
        <v>400</v>
      </c>
      <c r="M256" s="30" t="n">
        <v>20</v>
      </c>
      <c r="N256" s="30" t="n">
        <v>100</v>
      </c>
      <c r="O256" s="30" t="n">
        <v>6</v>
      </c>
      <c r="P256" s="30" t="n">
        <v>0</v>
      </c>
      <c r="Q256" s="30" t="inlineStr">
        <is>
          <t>C/D — estimation par catégorie</t>
        </is>
      </c>
      <c r="R256" s="30" t="inlineStr">
        <is>
          <t>Archétype superheavy; estimation arrondie, marge indicative ±10–20 % ou davantage pour prototypes.</t>
        </is>
      </c>
    </row>
    <row r="257">
      <c r="A257" s="30" t="inlineStr">
        <is>
          <t>VEH-256</t>
        </is>
      </c>
      <c r="B257" s="30" t="inlineStr">
        <is>
          <t>14TP</t>
        </is>
      </c>
      <c r="C257" s="30" t="inlineStr">
        <is>
          <t>Chars de cavalerie et prototypes</t>
        </is>
      </c>
      <c r="D257" s="30" t="n">
        <v>90000</v>
      </c>
      <c r="E257" s="30" t="n">
        <v>10</v>
      </c>
      <c r="F257" s="30" t="n">
        <v>4</v>
      </c>
      <c r="G257" s="30" t="n">
        <v>3.6</v>
      </c>
      <c r="H257" s="30" t="n">
        <v>30</v>
      </c>
      <c r="I257" s="30" t="n">
        <v>1000</v>
      </c>
      <c r="J257" s="30" t="inlineStr">
        <is>
          <t>Essence</t>
        </is>
      </c>
      <c r="K257" s="30" t="n">
        <v>1500</v>
      </c>
      <c r="L257" s="30" t="n">
        <v>400</v>
      </c>
      <c r="M257" s="30" t="n">
        <v>20</v>
      </c>
      <c r="N257" s="30" t="n">
        <v>100</v>
      </c>
      <c r="O257" s="30" t="n">
        <v>6</v>
      </c>
      <c r="P257" s="30" t="n">
        <v>0</v>
      </c>
      <c r="Q257" s="30" t="inlineStr">
        <is>
          <t>C/D — estimation par catégorie</t>
        </is>
      </c>
      <c r="R257" s="30" t="inlineStr">
        <is>
          <t>Archétype superheavy; estimation arrondie, marge indicative ±10–20 % ou davantage pour prototypes.</t>
        </is>
      </c>
    </row>
    <row r="258">
      <c r="A258" s="30" t="inlineStr">
        <is>
          <t>VEH-257</t>
        </is>
      </c>
      <c r="B258" s="30" t="inlineStr">
        <is>
          <t>LT vz. 34</t>
        </is>
      </c>
      <c r="C258" s="30" t="inlineStr">
        <is>
          <t>Chars légers et chars anciens</t>
        </is>
      </c>
      <c r="D258" s="30" t="n">
        <v>9000</v>
      </c>
      <c r="E258" s="30" t="n">
        <v>4.5</v>
      </c>
      <c r="F258" s="30" t="n">
        <v>2.2</v>
      </c>
      <c r="G258" s="30" t="n">
        <v>2.2</v>
      </c>
      <c r="H258" s="30" t="n">
        <v>7</v>
      </c>
      <c r="I258" s="30" t="n">
        <v>150</v>
      </c>
      <c r="J258" s="30" t="inlineStr">
        <is>
          <t>Essence</t>
        </is>
      </c>
      <c r="K258" s="30" t="n">
        <v>300</v>
      </c>
      <c r="L258" s="30" t="n">
        <v>100</v>
      </c>
      <c r="M258" s="30" t="n">
        <v>40</v>
      </c>
      <c r="N258" s="30" t="n">
        <v>180</v>
      </c>
      <c r="O258" s="30" t="n">
        <v>3</v>
      </c>
      <c r="P258" s="30" t="n">
        <v>0</v>
      </c>
      <c r="Q258" s="30" t="inlineStr">
        <is>
          <t>C/D — estimation par catégorie</t>
        </is>
      </c>
      <c r="R258" s="30" t="inlineStr">
        <is>
          <t>Archétype light_tank; estimation arrondie, marge indicative ±10–20 % ou davantage pour prototypes.</t>
        </is>
      </c>
    </row>
    <row r="259">
      <c r="A259" s="30" t="inlineStr">
        <is>
          <t>VEH-258</t>
        </is>
      </c>
      <c r="B259" s="30" t="inlineStr">
        <is>
          <t>LT vz. 35 / Panzer 35(t)</t>
        </is>
      </c>
      <c r="C259" s="30" t="inlineStr">
        <is>
          <t>Chars légers et chars anciens</t>
        </is>
      </c>
      <c r="D259" s="30" t="n">
        <v>9000</v>
      </c>
      <c r="E259" s="30" t="n">
        <v>4.5</v>
      </c>
      <c r="F259" s="30" t="n">
        <v>2.2</v>
      </c>
      <c r="G259" s="30" t="n">
        <v>2.2</v>
      </c>
      <c r="H259" s="30" t="n">
        <v>7</v>
      </c>
      <c r="I259" s="30" t="n">
        <v>150</v>
      </c>
      <c r="J259" s="30" t="inlineStr">
        <is>
          <t>Essence probable</t>
        </is>
      </c>
      <c r="K259" s="30" t="n">
        <v>300</v>
      </c>
      <c r="L259" s="30" t="n">
        <v>100</v>
      </c>
      <c r="M259" s="30" t="n">
        <v>40</v>
      </c>
      <c r="N259" s="30" t="n">
        <v>180</v>
      </c>
      <c r="O259" s="30" t="n">
        <v>3</v>
      </c>
      <c r="P259" s="30" t="n">
        <v>0</v>
      </c>
      <c r="Q259" s="30" t="inlineStr">
        <is>
          <t>C/D — estimation par catégorie</t>
        </is>
      </c>
      <c r="R259" s="30" t="inlineStr">
        <is>
          <t>Archétype light_tank; estimation arrondie, marge indicative ±10–20 % ou davantage pour prototypes.</t>
        </is>
      </c>
    </row>
    <row r="260">
      <c r="A260" s="30" t="inlineStr">
        <is>
          <t>VEH-259</t>
        </is>
      </c>
      <c r="B260" s="30" t="inlineStr">
        <is>
          <t>LT vz. 38 / Panzer 38(t)</t>
        </is>
      </c>
      <c r="C260" s="30" t="inlineStr">
        <is>
          <t>Chars légers et chars anciens</t>
        </is>
      </c>
      <c r="D260" s="30" t="n">
        <v>9000</v>
      </c>
      <c r="E260" s="30" t="n">
        <v>4.5</v>
      </c>
      <c r="F260" s="30" t="n">
        <v>2.2</v>
      </c>
      <c r="G260" s="30" t="n">
        <v>2.2</v>
      </c>
      <c r="H260" s="30" t="n">
        <v>7</v>
      </c>
      <c r="I260" s="30" t="n">
        <v>150</v>
      </c>
      <c r="J260" s="30" t="inlineStr">
        <is>
          <t>Essence probable</t>
        </is>
      </c>
      <c r="K260" s="30" t="n">
        <v>300</v>
      </c>
      <c r="L260" s="30" t="n">
        <v>100</v>
      </c>
      <c r="M260" s="30" t="n">
        <v>40</v>
      </c>
      <c r="N260" s="30" t="n">
        <v>180</v>
      </c>
      <c r="O260" s="30" t="n">
        <v>3</v>
      </c>
      <c r="P260" s="30" t="n">
        <v>0</v>
      </c>
      <c r="Q260" s="30" t="inlineStr">
        <is>
          <t>C/D — estimation par catégorie</t>
        </is>
      </c>
      <c r="R260" s="30" t="inlineStr">
        <is>
          <t>Archétype light_tank; estimation arrondie, marge indicative ±10–20 % ou davantage pour prototypes.</t>
        </is>
      </c>
    </row>
    <row r="261">
      <c r="A261" s="30" t="inlineStr">
        <is>
          <t>VEH-260</t>
        </is>
      </c>
      <c r="B261" s="30" t="inlineStr">
        <is>
          <t>AH-IV</t>
        </is>
      </c>
      <c r="C261" s="30" t="inlineStr">
        <is>
          <t>Chars légers et chars anciens</t>
        </is>
      </c>
      <c r="D261" s="30" t="n">
        <v>9000</v>
      </c>
      <c r="E261" s="30" t="n">
        <v>4.5</v>
      </c>
      <c r="F261" s="30" t="n">
        <v>2.2</v>
      </c>
      <c r="G261" s="30" t="n">
        <v>2.2</v>
      </c>
      <c r="H261" s="30" t="n">
        <v>7</v>
      </c>
      <c r="I261" s="30" t="n">
        <v>150</v>
      </c>
      <c r="J261" s="30" t="inlineStr">
        <is>
          <t>Essence</t>
        </is>
      </c>
      <c r="K261" s="30" t="n">
        <v>300</v>
      </c>
      <c r="L261" s="30" t="n">
        <v>100</v>
      </c>
      <c r="M261" s="30" t="n">
        <v>40</v>
      </c>
      <c r="N261" s="30" t="n">
        <v>180</v>
      </c>
      <c r="O261" s="30" t="n">
        <v>3</v>
      </c>
      <c r="P261" s="30" t="n">
        <v>0</v>
      </c>
      <c r="Q261" s="30" t="inlineStr">
        <is>
          <t>C/D — estimation par catégorie</t>
        </is>
      </c>
      <c r="R261" s="30" t="inlineStr">
        <is>
          <t>Archétype light_tank; estimation arrondie, marge indicative ±10–20 % ou davantage pour prototypes.</t>
        </is>
      </c>
    </row>
    <row r="262">
      <c r="A262" s="30" t="inlineStr">
        <is>
          <t>VEH-261</t>
        </is>
      </c>
      <c r="B262" s="30" t="inlineStr">
        <is>
          <t>Strv m/38 (L-60)</t>
        </is>
      </c>
      <c r="C262" s="30" t="inlineStr">
        <is>
          <t>Chars légers et chars anciens</t>
        </is>
      </c>
      <c r="D262" s="30" t="n">
        <v>9000</v>
      </c>
      <c r="E262" s="30" t="n">
        <v>4.5</v>
      </c>
      <c r="F262" s="30" t="n">
        <v>2.2</v>
      </c>
      <c r="G262" s="30" t="n">
        <v>2.2</v>
      </c>
      <c r="H262" s="30" t="n">
        <v>7</v>
      </c>
      <c r="I262" s="30" t="n">
        <v>150</v>
      </c>
      <c r="J262" s="30" t="inlineStr">
        <is>
          <t>Essence</t>
        </is>
      </c>
      <c r="K262" s="30" t="n">
        <v>300</v>
      </c>
      <c r="L262" s="30" t="n">
        <v>100</v>
      </c>
      <c r="M262" s="30" t="n">
        <v>40</v>
      </c>
      <c r="N262" s="30" t="n">
        <v>180</v>
      </c>
      <c r="O262" s="30" t="n">
        <v>3</v>
      </c>
      <c r="P262" s="30" t="n">
        <v>0</v>
      </c>
      <c r="Q262" s="30" t="inlineStr">
        <is>
          <t>C/D — estimation par catégorie</t>
        </is>
      </c>
      <c r="R262" s="30" t="inlineStr">
        <is>
          <t>Archétype light_tank; estimation arrondie, marge indicative ±10–20 % ou davantage pour prototypes.</t>
        </is>
      </c>
    </row>
    <row r="263">
      <c r="A263" s="30" t="inlineStr">
        <is>
          <t>VEH-262</t>
        </is>
      </c>
      <c r="B263" s="30" t="inlineStr">
        <is>
          <t>Strv m/39</t>
        </is>
      </c>
      <c r="C263" s="30" t="inlineStr">
        <is>
          <t>Chars légers et chars anciens</t>
        </is>
      </c>
      <c r="D263" s="30" t="n">
        <v>9000</v>
      </c>
      <c r="E263" s="30" t="n">
        <v>4.5</v>
      </c>
      <c r="F263" s="30" t="n">
        <v>2.2</v>
      </c>
      <c r="G263" s="30" t="n">
        <v>2.2</v>
      </c>
      <c r="H263" s="30" t="n">
        <v>7</v>
      </c>
      <c r="I263" s="30" t="n">
        <v>150</v>
      </c>
      <c r="J263" s="30" t="inlineStr">
        <is>
          <t>Essence</t>
        </is>
      </c>
      <c r="K263" s="30" t="n">
        <v>300</v>
      </c>
      <c r="L263" s="30" t="n">
        <v>100</v>
      </c>
      <c r="M263" s="30" t="n">
        <v>40</v>
      </c>
      <c r="N263" s="30" t="n">
        <v>180</v>
      </c>
      <c r="O263" s="30" t="n">
        <v>3</v>
      </c>
      <c r="P263" s="30" t="n">
        <v>0</v>
      </c>
      <c r="Q263" s="30" t="inlineStr">
        <is>
          <t>C/D — estimation par catégorie</t>
        </is>
      </c>
      <c r="R263" s="30" t="inlineStr">
        <is>
          <t>Archétype light_tank; estimation arrondie, marge indicative ±10–20 % ou davantage pour prototypes.</t>
        </is>
      </c>
    </row>
    <row r="264">
      <c r="A264" s="30" t="inlineStr">
        <is>
          <t>VEH-263</t>
        </is>
      </c>
      <c r="B264" s="30" t="inlineStr">
        <is>
          <t>Strv m/40</t>
        </is>
      </c>
      <c r="C264" s="30" t="inlineStr">
        <is>
          <t>Chars légers et chars anciens</t>
        </is>
      </c>
      <c r="D264" s="30" t="n">
        <v>9000</v>
      </c>
      <c r="E264" s="30" t="n">
        <v>4.5</v>
      </c>
      <c r="F264" s="30" t="n">
        <v>2.2</v>
      </c>
      <c r="G264" s="30" t="n">
        <v>2.2</v>
      </c>
      <c r="H264" s="30" t="n">
        <v>7</v>
      </c>
      <c r="I264" s="30" t="n">
        <v>150</v>
      </c>
      <c r="J264" s="30" t="inlineStr">
        <is>
          <t>Essence</t>
        </is>
      </c>
      <c r="K264" s="30" t="n">
        <v>300</v>
      </c>
      <c r="L264" s="30" t="n">
        <v>100</v>
      </c>
      <c r="M264" s="30" t="n">
        <v>40</v>
      </c>
      <c r="N264" s="30" t="n">
        <v>180</v>
      </c>
      <c r="O264" s="30" t="n">
        <v>3</v>
      </c>
      <c r="P264" s="30" t="n">
        <v>0</v>
      </c>
      <c r="Q264" s="30" t="inlineStr">
        <is>
          <t>C/D — estimation par catégorie</t>
        </is>
      </c>
      <c r="R264" s="30" t="inlineStr">
        <is>
          <t>Archétype light_tank; estimation arrondie, marge indicative ±10–20 % ou davantage pour prototypes.</t>
        </is>
      </c>
    </row>
    <row r="265">
      <c r="A265" s="30" t="inlineStr">
        <is>
          <t>VEH-264</t>
        </is>
      </c>
      <c r="B265" s="30" t="inlineStr">
        <is>
          <t>Strv m/42</t>
        </is>
      </c>
      <c r="C265" s="30" t="inlineStr">
        <is>
          <t>Chars moyens</t>
        </is>
      </c>
      <c r="D265" s="30" t="n">
        <v>28000</v>
      </c>
      <c r="E265" s="30" t="n">
        <v>6</v>
      </c>
      <c r="F265" s="30" t="n">
        <v>2.8</v>
      </c>
      <c r="G265" s="30" t="n">
        <v>2.7</v>
      </c>
      <c r="H265" s="30" t="n">
        <v>12</v>
      </c>
      <c r="I265" s="30" t="n">
        <v>400</v>
      </c>
      <c r="J265" s="30" t="inlineStr">
        <is>
          <t>Essence</t>
        </is>
      </c>
      <c r="K265" s="30" t="n">
        <v>500</v>
      </c>
      <c r="L265" s="30" t="n">
        <v>180</v>
      </c>
      <c r="M265" s="30" t="n">
        <v>40</v>
      </c>
      <c r="N265" s="30" t="n">
        <v>200</v>
      </c>
      <c r="O265" s="30" t="n">
        <v>5</v>
      </c>
      <c r="P265" s="30" t="n">
        <v>0</v>
      </c>
      <c r="Q265" s="30" t="inlineStr">
        <is>
          <t>C/D — estimation par catégorie</t>
        </is>
      </c>
      <c r="R265" s="30" t="inlineStr">
        <is>
          <t>Archétype medium_tank; estimation arrondie, marge indicative ±10–20 % ou davantage pour prototypes.</t>
        </is>
      </c>
    </row>
    <row r="266">
      <c r="A266" s="30" t="inlineStr">
        <is>
          <t>VEH-265</t>
        </is>
      </c>
      <c r="B266" s="30" t="inlineStr">
        <is>
          <t>Toldi I / II / III</t>
        </is>
      </c>
      <c r="C266" s="30" t="inlineStr">
        <is>
          <t>Chars légers et chars anciens</t>
        </is>
      </c>
      <c r="D266" s="30" t="n">
        <v>9000</v>
      </c>
      <c r="E266" s="30" t="n">
        <v>4.5</v>
      </c>
      <c r="F266" s="30" t="n">
        <v>2.2</v>
      </c>
      <c r="G266" s="30" t="n">
        <v>2.2</v>
      </c>
      <c r="H266" s="30" t="n">
        <v>7</v>
      </c>
      <c r="I266" s="30" t="n">
        <v>150</v>
      </c>
      <c r="J266" s="30" t="inlineStr">
        <is>
          <t>Essence</t>
        </is>
      </c>
      <c r="K266" s="30" t="n">
        <v>300</v>
      </c>
      <c r="L266" s="30" t="n">
        <v>100</v>
      </c>
      <c r="M266" s="30" t="n">
        <v>40</v>
      </c>
      <c r="N266" s="30" t="n">
        <v>180</v>
      </c>
      <c r="O266" s="30" t="n">
        <v>3</v>
      </c>
      <c r="P266" s="30" t="n">
        <v>0</v>
      </c>
      <c r="Q266" s="30" t="inlineStr">
        <is>
          <t>C/D — estimation par catégorie</t>
        </is>
      </c>
      <c r="R266" s="30" t="inlineStr">
        <is>
          <t>Archétype light_tank; estimation arrondie, marge indicative ±10–20 % ou davantage pour prototypes.</t>
        </is>
      </c>
    </row>
    <row r="267">
      <c r="A267" s="30" t="inlineStr">
        <is>
          <t>VEH-266</t>
        </is>
      </c>
      <c r="B267" s="30" t="inlineStr">
        <is>
          <t>Turan I / II</t>
        </is>
      </c>
      <c r="C267" s="30" t="inlineStr">
        <is>
          <t>Chars moyens</t>
        </is>
      </c>
      <c r="D267" s="30" t="n">
        <v>28000</v>
      </c>
      <c r="E267" s="30" t="n">
        <v>6</v>
      </c>
      <c r="F267" s="30" t="n">
        <v>2.8</v>
      </c>
      <c r="G267" s="30" t="n">
        <v>2.7</v>
      </c>
      <c r="H267" s="30" t="n">
        <v>12</v>
      </c>
      <c r="I267" s="30" t="n">
        <v>400</v>
      </c>
      <c r="J267" s="30" t="inlineStr">
        <is>
          <t>Essence</t>
        </is>
      </c>
      <c r="K267" s="30" t="n">
        <v>500</v>
      </c>
      <c r="L267" s="30" t="n">
        <v>180</v>
      </c>
      <c r="M267" s="30" t="n">
        <v>40</v>
      </c>
      <c r="N267" s="30" t="n">
        <v>200</v>
      </c>
      <c r="O267" s="30" t="n">
        <v>5</v>
      </c>
      <c r="P267" s="30" t="n">
        <v>0</v>
      </c>
      <c r="Q267" s="30" t="inlineStr">
        <is>
          <t>C/D — estimation par catégorie</t>
        </is>
      </c>
      <c r="R267" s="30" t="inlineStr">
        <is>
          <t>Archétype medium_tank; estimation arrondie, marge indicative ±10–20 % ou davantage pour prototypes.</t>
        </is>
      </c>
    </row>
    <row r="268">
      <c r="A268" s="30" t="inlineStr">
        <is>
          <t>VEH-267</t>
        </is>
      </c>
      <c r="B268" s="30" t="inlineStr">
        <is>
          <t>Zrínyi II</t>
        </is>
      </c>
      <c r="C268" s="30" t="inlineStr">
        <is>
          <t>Chasseurs de chars et canons automoteurs</t>
        </is>
      </c>
      <c r="D268" s="30" t="n">
        <v>25000</v>
      </c>
      <c r="E268" s="30" t="n">
        <v>6.5</v>
      </c>
      <c r="F268" s="30" t="n">
        <v>3</v>
      </c>
      <c r="G268" s="30" t="n">
        <v>2.5</v>
      </c>
      <c r="H268" s="30" t="n">
        <v>12</v>
      </c>
      <c r="I268" s="30" t="n">
        <v>400</v>
      </c>
      <c r="J268" s="30" t="inlineStr">
        <is>
          <t>Essence ou diesel selon variante</t>
        </is>
      </c>
      <c r="K268" s="30" t="n">
        <v>500</v>
      </c>
      <c r="L268" s="30" t="n">
        <v>190</v>
      </c>
      <c r="M268" s="30" t="n">
        <v>40</v>
      </c>
      <c r="N268" s="30" t="n">
        <v>180</v>
      </c>
      <c r="O268" s="30" t="n">
        <v>4</v>
      </c>
      <c r="P268" s="30" t="n">
        <v>0</v>
      </c>
      <c r="Q268" s="30" t="inlineStr">
        <is>
          <t>C/D — estimation par catégorie</t>
        </is>
      </c>
      <c r="R268" s="30" t="inlineStr">
        <is>
          <t>Archétype td; estimation arrondie, marge indicative ±10–20 % ou davantage pour prototypes.</t>
        </is>
      </c>
    </row>
    <row r="269">
      <c r="A269" s="30" t="inlineStr">
        <is>
          <t>VEH-268</t>
        </is>
      </c>
      <c r="B269" s="30" t="inlineStr">
        <is>
          <t>Nimród</t>
        </is>
      </c>
      <c r="C269" s="30" t="inlineStr">
        <is>
          <t>Chasseurs de chars et canons automoteurs</t>
        </is>
      </c>
      <c r="D269" s="30" t="n">
        <v>25000</v>
      </c>
      <c r="E269" s="30" t="n">
        <v>6.5</v>
      </c>
      <c r="F269" s="30" t="n">
        <v>3</v>
      </c>
      <c r="G269" s="30" t="n">
        <v>2.5</v>
      </c>
      <c r="H269" s="30" t="n">
        <v>12</v>
      </c>
      <c r="I269" s="30" t="n">
        <v>400</v>
      </c>
      <c r="J269" s="30" t="inlineStr">
        <is>
          <t>Essence ou diesel selon variante</t>
        </is>
      </c>
      <c r="K269" s="30" t="n">
        <v>500</v>
      </c>
      <c r="L269" s="30" t="n">
        <v>190</v>
      </c>
      <c r="M269" s="30" t="n">
        <v>40</v>
      </c>
      <c r="N269" s="30" t="n">
        <v>180</v>
      </c>
      <c r="O269" s="30" t="n">
        <v>4</v>
      </c>
      <c r="P269" s="30" t="n">
        <v>0</v>
      </c>
      <c r="Q269" s="30" t="inlineStr">
        <is>
          <t>C/D — estimation par catégorie</t>
        </is>
      </c>
      <c r="R269" s="30" t="inlineStr">
        <is>
          <t>Archétype td; estimation arrondie, marge indicative ±10–20 % ou davantage pour prototypes.</t>
        </is>
      </c>
    </row>
    <row r="270">
      <c r="A270" s="30" t="inlineStr">
        <is>
          <t>VEH-269</t>
        </is>
      </c>
      <c r="B270" s="30" t="inlineStr">
        <is>
          <t>TACAM R-2</t>
        </is>
      </c>
      <c r="C270" s="30" t="inlineStr">
        <is>
          <t>Chasseurs de chars et canons automoteurs</t>
        </is>
      </c>
      <c r="D270" s="30" t="n">
        <v>25000</v>
      </c>
      <c r="E270" s="30" t="n">
        <v>6.5</v>
      </c>
      <c r="F270" s="30" t="n">
        <v>3</v>
      </c>
      <c r="G270" s="30" t="n">
        <v>2.5</v>
      </c>
      <c r="H270" s="30" t="n">
        <v>12</v>
      </c>
      <c r="I270" s="30" t="n">
        <v>400</v>
      </c>
      <c r="J270" s="30" t="inlineStr">
        <is>
          <t>Essence ou diesel selon variante</t>
        </is>
      </c>
      <c r="K270" s="30" t="n">
        <v>500</v>
      </c>
      <c r="L270" s="30" t="n">
        <v>190</v>
      </c>
      <c r="M270" s="30" t="n">
        <v>40</v>
      </c>
      <c r="N270" s="30" t="n">
        <v>180</v>
      </c>
      <c r="O270" s="30" t="n">
        <v>4</v>
      </c>
      <c r="P270" s="30" t="n">
        <v>0</v>
      </c>
      <c r="Q270" s="30" t="inlineStr">
        <is>
          <t>C/D — estimation par catégorie</t>
        </is>
      </c>
      <c r="R270" s="30" t="inlineStr">
        <is>
          <t>Archétype td; estimation arrondie, marge indicative ±10–20 % ou davantage pour prototypes.</t>
        </is>
      </c>
    </row>
    <row r="271">
      <c r="A271" s="30" t="inlineStr">
        <is>
          <t>VEH-270</t>
        </is>
      </c>
      <c r="B271" s="30" t="inlineStr">
        <is>
          <t>TACAM T-60</t>
        </is>
      </c>
      <c r="C271" s="30" t="inlineStr">
        <is>
          <t>Chasseurs de chars et canons automoteurs</t>
        </is>
      </c>
      <c r="D271" s="30" t="n">
        <v>25000</v>
      </c>
      <c r="E271" s="30" t="n">
        <v>6.5</v>
      </c>
      <c r="F271" s="30" t="n">
        <v>3</v>
      </c>
      <c r="G271" s="30" t="n">
        <v>2.5</v>
      </c>
      <c r="H271" s="30" t="n">
        <v>12</v>
      </c>
      <c r="I271" s="30" t="n">
        <v>400</v>
      </c>
      <c r="J271" s="30" t="inlineStr">
        <is>
          <t>Diesel probable</t>
        </is>
      </c>
      <c r="K271" s="30" t="n">
        <v>500</v>
      </c>
      <c r="L271" s="30" t="n">
        <v>190</v>
      </c>
      <c r="M271" s="30" t="n">
        <v>40</v>
      </c>
      <c r="N271" s="30" t="n">
        <v>180</v>
      </c>
      <c r="O271" s="30" t="n">
        <v>4</v>
      </c>
      <c r="P271" s="30" t="n">
        <v>0</v>
      </c>
      <c r="Q271" s="30" t="inlineStr">
        <is>
          <t>C/D — estimation par catégorie</t>
        </is>
      </c>
      <c r="R271" s="30" t="inlineStr">
        <is>
          <t>Archétype td; estimation arrondie, marge indicative ±10–20 % ou davantage pour prototypes.</t>
        </is>
      </c>
    </row>
    <row r="272">
      <c r="A272" s="30" t="inlineStr">
        <is>
          <t>VEH-271</t>
        </is>
      </c>
      <c r="B272" s="30" t="inlineStr">
        <is>
          <t>Vanatorul de care R-35</t>
        </is>
      </c>
      <c r="C272" s="30" t="inlineStr">
        <is>
          <t>Chasseurs de chars et canons automoteurs</t>
        </is>
      </c>
      <c r="D272" s="30" t="n">
        <v>25000</v>
      </c>
      <c r="E272" s="30" t="n">
        <v>6.5</v>
      </c>
      <c r="F272" s="30" t="n">
        <v>3</v>
      </c>
      <c r="G272" s="30" t="n">
        <v>2.5</v>
      </c>
      <c r="H272" s="30" t="n">
        <v>12</v>
      </c>
      <c r="I272" s="30" t="n">
        <v>400</v>
      </c>
      <c r="J272" s="30" t="inlineStr">
        <is>
          <t>Essence ou diesel selon variante</t>
        </is>
      </c>
      <c r="K272" s="30" t="n">
        <v>500</v>
      </c>
      <c r="L272" s="30" t="n">
        <v>190</v>
      </c>
      <c r="M272" s="30" t="n">
        <v>40</v>
      </c>
      <c r="N272" s="30" t="n">
        <v>180</v>
      </c>
      <c r="O272" s="30" t="n">
        <v>4</v>
      </c>
      <c r="P272" s="30" t="n">
        <v>0</v>
      </c>
      <c r="Q272" s="30" t="inlineStr">
        <is>
          <t>C/D — estimation par catégorie</t>
        </is>
      </c>
      <c r="R272" s="30" t="inlineStr">
        <is>
          <t>Archétype td; estimation arrondie, marge indicative ±10–20 % ou davantage pour prototypes.</t>
        </is>
      </c>
    </row>
    <row r="273">
      <c r="A273" s="30" t="inlineStr">
        <is>
          <t>VEH-272</t>
        </is>
      </c>
      <c r="B273" s="30" t="inlineStr">
        <is>
          <t>BT-42</t>
        </is>
      </c>
      <c r="C273" s="30" t="inlineStr">
        <is>
          <t>Chasseurs de chars et canons automoteurs</t>
        </is>
      </c>
      <c r="D273" s="30" t="n">
        <v>25000</v>
      </c>
      <c r="E273" s="30" t="n">
        <v>6.5</v>
      </c>
      <c r="F273" s="30" t="n">
        <v>3</v>
      </c>
      <c r="G273" s="30" t="n">
        <v>2.5</v>
      </c>
      <c r="H273" s="30" t="n">
        <v>12</v>
      </c>
      <c r="I273" s="30" t="n">
        <v>400</v>
      </c>
      <c r="J273" s="30" t="inlineStr">
        <is>
          <t>Diesel probable</t>
        </is>
      </c>
      <c r="K273" s="30" t="n">
        <v>500</v>
      </c>
      <c r="L273" s="30" t="n">
        <v>190</v>
      </c>
      <c r="M273" s="30" t="n">
        <v>40</v>
      </c>
      <c r="N273" s="30" t="n">
        <v>180</v>
      </c>
      <c r="O273" s="30" t="n">
        <v>4</v>
      </c>
      <c r="P273" s="30" t="n">
        <v>0</v>
      </c>
      <c r="Q273" s="30" t="inlineStr">
        <is>
          <t>C/D — estimation par catégorie</t>
        </is>
      </c>
      <c r="R273" s="30" t="inlineStr">
        <is>
          <t>Archétype td; estimation arrondie, marge indicative ±10–20 % ou davantage pour prototypes.</t>
        </is>
      </c>
    </row>
    <row r="274">
      <c r="A274" s="30" t="inlineStr">
        <is>
          <t>VEH-273</t>
        </is>
      </c>
      <c r="B274" s="30" t="inlineStr">
        <is>
          <t>Vickers 6-Ton</t>
        </is>
      </c>
      <c r="C274" s="30" t="inlineStr">
        <is>
          <t>Chars légers et chars anciens</t>
        </is>
      </c>
      <c r="D274" s="30" t="n">
        <v>9000</v>
      </c>
      <c r="E274" s="30" t="n">
        <v>4.5</v>
      </c>
      <c r="F274" s="30" t="n">
        <v>2.2</v>
      </c>
      <c r="G274" s="30" t="n">
        <v>2.2</v>
      </c>
      <c r="H274" s="30" t="n">
        <v>7</v>
      </c>
      <c r="I274" s="30" t="n">
        <v>150</v>
      </c>
      <c r="J274" s="30" t="inlineStr">
        <is>
          <t>Essence</t>
        </is>
      </c>
      <c r="K274" s="30" t="n">
        <v>300</v>
      </c>
      <c r="L274" s="30" t="n">
        <v>100</v>
      </c>
      <c r="M274" s="30" t="n">
        <v>40</v>
      </c>
      <c r="N274" s="30" t="n">
        <v>180</v>
      </c>
      <c r="O274" s="30" t="n">
        <v>3</v>
      </c>
      <c r="P274" s="30" t="n">
        <v>0</v>
      </c>
      <c r="Q274" s="30" t="inlineStr">
        <is>
          <t>C/D — estimation par catégorie</t>
        </is>
      </c>
      <c r="R274" s="30" t="inlineStr">
        <is>
          <t>Archétype light_tank; estimation arrondie, marge indicative ±10–20 % ou davantage pour prototypes.</t>
        </is>
      </c>
    </row>
    <row r="275">
      <c r="A275" s="30" t="inlineStr">
        <is>
          <t>VEH-274</t>
        </is>
      </c>
      <c r="B275" s="30" t="inlineStr">
        <is>
          <t>T-13 B1/B2</t>
        </is>
      </c>
      <c r="C275" s="30" t="inlineStr">
        <is>
          <t>Chasseurs de chars et canons automoteurs</t>
        </is>
      </c>
      <c r="D275" s="30" t="n">
        <v>25000</v>
      </c>
      <c r="E275" s="30" t="n">
        <v>6.5</v>
      </c>
      <c r="F275" s="30" t="n">
        <v>3</v>
      </c>
      <c r="G275" s="30" t="n">
        <v>2.5</v>
      </c>
      <c r="H275" s="30" t="n">
        <v>12</v>
      </c>
      <c r="I275" s="30" t="n">
        <v>400</v>
      </c>
      <c r="J275" s="30" t="inlineStr">
        <is>
          <t>Essence ou diesel selon variante</t>
        </is>
      </c>
      <c r="K275" s="30" t="n">
        <v>500</v>
      </c>
      <c r="L275" s="30" t="n">
        <v>190</v>
      </c>
      <c r="M275" s="30" t="n">
        <v>40</v>
      </c>
      <c r="N275" s="30" t="n">
        <v>180</v>
      </c>
      <c r="O275" s="30" t="n">
        <v>4</v>
      </c>
      <c r="P275" s="30" t="n">
        <v>0</v>
      </c>
      <c r="Q275" s="30" t="inlineStr">
        <is>
          <t>C/D — estimation par catégorie</t>
        </is>
      </c>
      <c r="R275" s="30" t="inlineStr">
        <is>
          <t>Archétype td; estimation arrondie, marge indicative ±10–20 % ou davantage pour prototypes.</t>
        </is>
      </c>
    </row>
    <row r="276">
      <c r="A276" s="30" t="inlineStr">
        <is>
          <t>VEH-275</t>
        </is>
      </c>
      <c r="B276" s="30" t="inlineStr">
        <is>
          <t>T-15</t>
        </is>
      </c>
      <c r="C276" s="30" t="inlineStr">
        <is>
          <t>Chars légers et chars anciens</t>
        </is>
      </c>
      <c r="D276" s="30" t="n">
        <v>9000</v>
      </c>
      <c r="E276" s="30" t="n">
        <v>4.5</v>
      </c>
      <c r="F276" s="30" t="n">
        <v>2.2</v>
      </c>
      <c r="G276" s="30" t="n">
        <v>2.2</v>
      </c>
      <c r="H276" s="30" t="n">
        <v>7</v>
      </c>
      <c r="I276" s="30" t="n">
        <v>150</v>
      </c>
      <c r="J276" s="30" t="inlineStr">
        <is>
          <t>Essence</t>
        </is>
      </c>
      <c r="K276" s="30" t="n">
        <v>300</v>
      </c>
      <c r="L276" s="30" t="n">
        <v>100</v>
      </c>
      <c r="M276" s="30" t="n">
        <v>40</v>
      </c>
      <c r="N276" s="30" t="n">
        <v>180</v>
      </c>
      <c r="O276" s="30" t="n">
        <v>3</v>
      </c>
      <c r="P276" s="30" t="n">
        <v>0</v>
      </c>
      <c r="Q276" s="30" t="inlineStr">
        <is>
          <t>C/D — estimation par catégorie</t>
        </is>
      </c>
      <c r="R276" s="30" t="inlineStr">
        <is>
          <t>Archétype light_tank; estimation arrondie, marge indicative ±10–20 % ou davantage pour prototypes.</t>
        </is>
      </c>
    </row>
  </sheetData>
  <autoFilter ref="A1:R276"/>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12" customWidth="1" min="3" max="3"/>
    <col width="22" customWidth="1" min="4" max="4"/>
    <col width="44" customWidth="1" min="5" max="5"/>
    <col width="28" customWidth="1" min="6" max="6"/>
    <col width="27" customWidth="1" min="7" max="7"/>
    <col width="44" customWidth="1" min="8" max="8"/>
    <col width="12" customWidth="1" min="9" max="9"/>
    <col width="14" customWidth="1" min="10" max="10"/>
    <col width="33" customWidth="1" min="11" max="11"/>
    <col width="44" customWidth="1" min="12" max="12"/>
  </cols>
  <sheetData>
    <row r="1" ht="36" customHeight="1">
      <c r="A1" s="28" t="inlineStr">
        <is>
          <t>ID</t>
        </is>
      </c>
      <c r="B1" s="28" t="inlineStr">
        <is>
          <t>Bâtiment</t>
        </is>
      </c>
      <c r="C1" s="28" t="inlineStr">
        <is>
          <t>Niveau</t>
        </is>
      </c>
      <c r="D1" s="28" t="inlineStr">
        <is>
          <t>Construction (jours)</t>
        </is>
      </c>
      <c r="E1" s="28" t="inlineStr">
        <is>
          <t>Coût construction JSON</t>
        </is>
      </c>
      <c r="F1" s="28" t="inlineStr">
        <is>
          <t>Entrées/jour</t>
        </is>
      </c>
      <c r="G1" s="28" t="inlineStr">
        <is>
          <t>Sorties/jour</t>
        </is>
      </c>
      <c r="H1" s="28" t="inlineStr">
        <is>
          <t>Capacité stockage</t>
        </is>
      </c>
      <c r="I1" s="28" t="inlineStr">
        <is>
          <t>Effectif</t>
        </is>
      </c>
      <c r="J1" s="28" t="inlineStr">
        <is>
          <t>Énergie/jour</t>
        </is>
      </c>
      <c r="K1" s="28" t="inlineStr">
        <is>
          <t>Emplacement/prérequis</t>
        </is>
      </c>
      <c r="L1" s="28" t="inlineStr">
        <is>
          <t>Notes</t>
        </is>
      </c>
    </row>
    <row r="2">
      <c r="A2" t="inlineStr">
        <is>
          <t>BLD-FARM</t>
        </is>
      </c>
      <c r="B2" t="inlineStr">
        <is>
          <t>Potager protégé</t>
        </is>
      </c>
      <c r="C2" t="n">
        <v>1</v>
      </c>
      <c r="D2" t="inlineStr">
        <is>
          <t>2</t>
        </is>
      </c>
      <c r="E2" t="inlineStr">
        <is>
          <t>{"scrap": 20, "wood": 35}</t>
        </is>
      </c>
      <c r="F2" t="inlineStr">
        <is>
          <t>{"water_l": 20}</t>
        </is>
      </c>
      <c r="G2" t="inlineStr">
        <is>
          <t>{"food": 8}</t>
        </is>
      </c>
      <c r="H2" t="inlineStr">
        <is>
          <t>{"food": 40}</t>
        </is>
      </c>
      <c r="I2" t="n">
        <v>1</v>
      </c>
      <c r="J2" t="n">
        <v>0</v>
      </c>
      <c r="K2" t="inlineStr">
        <is>
          <t>Surface ou sous-sol ventilé</t>
        </is>
      </c>
      <c r="L2" t="inlineStr">
        <is>
          <t>Production faible, vulnérable aux raids si en surface.</t>
        </is>
      </c>
    </row>
    <row r="3">
      <c r="A3" t="inlineStr">
        <is>
          <t>BLD-WELL</t>
        </is>
      </c>
      <c r="B3" t="inlineStr">
        <is>
          <t>Puits / captage</t>
        </is>
      </c>
      <c r="C3" t="n">
        <v>1</v>
      </c>
      <c r="D3" t="inlineStr">
        <is>
          <t>3</t>
        </is>
      </c>
      <c r="E3" t="inlineStr">
        <is>
          <t>{"scrap": 25, "wood": 15, "metal": 10}</t>
        </is>
      </c>
      <c r="F3" t="inlineStr">
        <is>
          <t>{}</t>
        </is>
      </c>
      <c r="G3" t="inlineStr">
        <is>
          <t>{"water_l": 80}</t>
        </is>
      </c>
      <c r="H3" t="inlineStr">
        <is>
          <t>{"water_l": 200}</t>
        </is>
      </c>
      <c r="I3" t="n">
        <v>1</v>
      </c>
      <c r="J3" t="n">
        <v>0</v>
      </c>
      <c r="K3" t="inlineStr">
        <is>
          <t>Terrain avec nappe ou captage</t>
        </is>
      </c>
      <c r="L3" t="inlineStr">
        <is>
          <t>Débit réduit en sécheresse; peut être contaminé lors d'événements.</t>
        </is>
      </c>
    </row>
    <row r="4">
      <c r="A4" t="inlineStr">
        <is>
          <t>BLD-WORKSHOP-L</t>
        </is>
      </c>
      <c r="B4" t="inlineStr">
        <is>
          <t>Atelier léger</t>
        </is>
      </c>
      <c r="C4" t="n">
        <v>1</v>
      </c>
      <c r="D4" t="inlineStr">
        <is>
          <t>3</t>
        </is>
      </c>
      <c r="E4" t="inlineStr">
        <is>
          <t>{"scrap": 45, "wood": 20, "metal": 20}</t>
        </is>
      </c>
      <c r="F4" t="inlineStr">
        <is>
          <t>{"scrap": 2}</t>
        </is>
      </c>
      <c r="G4" t="inlineStr">
        <is>
          <t>{"parts": 2}</t>
        </is>
      </c>
      <c r="H4" t="inlineStr">
        <is>
          <t>{"parts": 12}</t>
        </is>
      </c>
      <c r="I4" t="n">
        <v>2</v>
      </c>
      <c r="J4" t="n">
        <v>2</v>
      </c>
      <c r="K4" t="inlineStr">
        <is>
          <t>Surface ou niveau -1</t>
        </is>
      </c>
      <c r="L4" t="inlineStr">
        <is>
          <t>Nécessite pièces brutes et travailleurs; sortie plafonnée par stockage.</t>
        </is>
      </c>
    </row>
    <row r="5">
      <c r="A5" t="inlineStr">
        <is>
          <t>BLD-WORKSHOP-H</t>
        </is>
      </c>
      <c r="B5" t="inlineStr">
        <is>
          <t>Atelier lourd</t>
        </is>
      </c>
      <c r="C5" t="n">
        <v>1</v>
      </c>
      <c r="D5" t="inlineStr">
        <is>
          <t>6</t>
        </is>
      </c>
      <c r="E5" t="inlineStr">
        <is>
          <t>{"scrap": 90, "metal": 70, "electronics": 5}</t>
        </is>
      </c>
      <c r="F5" t="inlineStr">
        <is>
          <t>{"scrap": 4, "metal": 1}</t>
        </is>
      </c>
      <c r="G5" t="inlineStr">
        <is>
          <t>{"parts": 5}</t>
        </is>
      </c>
      <c r="H5" t="inlineStr">
        <is>
          <t>{"parts": 20}</t>
        </is>
      </c>
      <c r="I5" t="n">
        <v>4</v>
      </c>
      <c r="J5" t="n">
        <v>5</v>
      </c>
      <c r="K5" t="inlineStr">
        <is>
          <t>Niveau -2 conseillé</t>
        </is>
      </c>
      <c r="L5" t="inlineStr">
        <is>
          <t>Pièces plus complexes; dépend fortement de l'énergie.</t>
        </is>
      </c>
    </row>
    <row r="6">
      <c r="A6" t="inlineStr">
        <is>
          <t>BLD-SCRAP</t>
        </is>
      </c>
      <c r="B6" t="inlineStr">
        <is>
          <t>Démontage d'épaves</t>
        </is>
      </c>
      <c r="C6" t="n">
        <v>1</v>
      </c>
      <c r="D6" t="inlineStr">
        <is>
          <t>2</t>
        </is>
      </c>
      <c r="E6" t="inlineStr">
        <is>
          <t>{"scrap": 35, "wood": 10, "metal": 15}</t>
        </is>
      </c>
      <c r="F6" t="inlineStr">
        <is>
          <t>{}</t>
        </is>
      </c>
      <c r="G6" t="inlineStr">
        <is>
          <t>{"scrap": 12, "metal": 3}</t>
        </is>
      </c>
      <c r="H6" t="inlineStr">
        <is>
          <t>{"scrap": 60, "metal": 20}</t>
        </is>
      </c>
      <c r="I6" t="n">
        <v>2</v>
      </c>
      <c r="J6" t="n">
        <v>1</v>
      </c>
      <c r="K6" t="inlineStr">
        <is>
          <t>Cour de récupération</t>
        </is>
      </c>
      <c r="L6" t="inlineStr">
        <is>
          <t>Consomme une épave/lot d'entrée; pas de production gratuite.</t>
        </is>
      </c>
    </row>
    <row r="7">
      <c r="A7" t="inlineStr">
        <is>
          <t>BLD-GENERATOR</t>
        </is>
      </c>
      <c r="B7" t="inlineStr">
        <is>
          <t>Générateur</t>
        </is>
      </c>
      <c r="C7" t="n">
        <v>1</v>
      </c>
      <c r="D7" t="inlineStr">
        <is>
          <t>3</t>
        </is>
      </c>
      <c r="E7" t="inlineStr">
        <is>
          <t>{"scrap": 35, "metal": 25, "parts": 5}</t>
        </is>
      </c>
      <c r="F7" t="inlineStr">
        <is>
          <t>{"fuel_l": 8}</t>
        </is>
      </c>
      <c r="G7" t="inlineStr">
        <is>
          <t>{"power": 30}</t>
        </is>
      </c>
      <c r="H7" t="inlineStr">
        <is>
          <t>{"fuel_l": 80}</t>
        </is>
      </c>
      <c r="I7" t="n">
        <v>1</v>
      </c>
      <c r="J7" t="n">
        <v>0</v>
      </c>
      <c r="K7" t="inlineStr">
        <is>
          <t>Local ventilé</t>
        </is>
      </c>
      <c r="L7" t="inlineStr">
        <is>
          <t>Produit 30 unités d'énergie/jour; le carburant est prélevé du stock unique.</t>
        </is>
      </c>
    </row>
    <row r="8">
      <c r="A8" t="inlineStr">
        <is>
          <t>BLD-MED</t>
        </is>
      </c>
      <c r="B8" t="inlineStr">
        <is>
          <t>Infirmerie</t>
        </is>
      </c>
      <c r="C8" t="n">
        <v>1</v>
      </c>
      <c r="D8" t="inlineStr">
        <is>
          <t>4</t>
        </is>
      </c>
      <c r="E8" t="inlineStr">
        <is>
          <t>{"scrap": 55, "wood": 20, "metal": 25, "medicine": 5}</t>
        </is>
      </c>
      <c r="F8" t="inlineStr">
        <is>
          <t>{"medicine": 1}</t>
        </is>
      </c>
      <c r="G8" t="inlineStr">
        <is>
          <t>{"injury_recovery": 2}</t>
        </is>
      </c>
      <c r="H8" t="inlineStr">
        <is>
          <t>{"medicine": 15}</t>
        </is>
      </c>
      <c r="I8" t="n">
        <v>2</v>
      </c>
      <c r="J8" t="n">
        <v>2</v>
      </c>
      <c r="K8" t="inlineStr">
        <is>
          <t>Niveau -1 ou -2</t>
        </is>
      </c>
      <c r="L8" t="inlineStr">
        <is>
          <t>Accélère la récupération; ne ressuscite pas et ne supprime pas les blessures instantanément.</t>
        </is>
      </c>
    </row>
    <row r="9">
      <c r="A9" t="inlineStr">
        <is>
          <t>BLD-STORE</t>
        </is>
      </c>
      <c r="B9" t="inlineStr">
        <is>
          <t>Entrepôt protégé</t>
        </is>
      </c>
      <c r="C9" t="n">
        <v>1</v>
      </c>
      <c r="D9" t="inlineStr">
        <is>
          <t>3</t>
        </is>
      </c>
      <c r="E9" t="inlineStr">
        <is>
          <t>{"scrap": 40, "wood": 25, "metal": 15}</t>
        </is>
      </c>
      <c r="F9" t="inlineStr">
        <is>
          <t>{}</t>
        </is>
      </c>
      <c r="G9" t="inlineStr">
        <is>
          <t>{}</t>
        </is>
      </c>
      <c r="H9" t="inlineStr">
        <is>
          <t>{"food": 100, "water_l": 500, "scrap": 200, "wood": 120, "metal": 100, "electronics": 40, "parts": 40, "ammo_small": 500, "ammo_heavy": 120}</t>
        </is>
      </c>
      <c r="I9" t="n">
        <v>1</v>
      </c>
      <c r="J9" t="n">
        <v>1</v>
      </c>
      <c r="K9" t="inlineStr">
        <is>
          <t>Surface ou sous-sol</t>
        </is>
      </c>
      <c r="L9" t="inlineStr">
        <is>
          <t>Augmente capacité; les stocks ne dépassent jamais la capacité disponible.</t>
        </is>
      </c>
    </row>
    <row r="10">
      <c r="A10" t="inlineStr">
        <is>
          <t>BLD-DET</t>
        </is>
      </c>
      <c r="B10" t="inlineStr">
        <is>
          <t>Bloc de détention</t>
        </is>
      </c>
      <c r="C10" t="n">
        <v>1</v>
      </c>
      <c r="D10" t="inlineStr">
        <is>
          <t>3</t>
        </is>
      </c>
      <c r="E10" t="inlineStr">
        <is>
          <t>{"scrap": 90, "wood": 20, "metal": 55, "electronics": 5}</t>
        </is>
      </c>
      <c r="F10" t="inlineStr">
        <is>
          <t>{"food": 8, "water_l": 32}</t>
        </is>
      </c>
      <c r="G10" t="inlineStr">
        <is>
          <t>{"security": 1}</t>
        </is>
      </c>
      <c r="H10" t="inlineStr">
        <is>
          <t>{"food": 40, "water_l": 160}</t>
        </is>
      </c>
      <c r="I10" t="n">
        <v>1</v>
      </c>
      <c r="J10" t="n">
        <v>1</v>
      </c>
      <c r="K10" t="inlineStr">
        <is>
          <t>Niveau -1 recommandé</t>
        </is>
      </c>
      <c r="L10" t="inlineStr">
        <is>
          <t>8 places; besoins par captif à appliquer en plus selon occupation.</t>
        </is>
      </c>
    </row>
    <row r="11">
      <c r="A11" t="inlineStr">
        <is>
          <t>BLD-VENT</t>
        </is>
      </c>
      <c r="B11" t="inlineStr">
        <is>
          <t>Ventilation</t>
        </is>
      </c>
      <c r="C11" t="n">
        <v>1</v>
      </c>
      <c r="D11" t="inlineStr">
        <is>
          <t>2</t>
        </is>
      </c>
      <c r="E11" t="inlineStr">
        <is>
          <t>{"scrap": 25, "metal": 15, "electronics": 8}</t>
        </is>
      </c>
      <c r="F11" t="inlineStr">
        <is>
          <t>{"power": 3}</t>
        </is>
      </c>
      <c r="G11" t="inlineStr">
        <is>
          <t>{}</t>
        </is>
      </c>
      <c r="H11" t="inlineStr">
        <is>
          <t>{"airflow": 1}</t>
        </is>
      </c>
      <c r="I11" t="n">
        <v>1</v>
      </c>
      <c r="J11" t="n">
        <v>1</v>
      </c>
      <c r="K11" t="inlineStr">
        <is>
          <t>Chaque niveau souterrain habité</t>
        </is>
      </c>
      <c r="L11" t="inlineStr">
        <is>
          <t>Module requis pour atelier, générateur, détention et soins en sous-sol.</t>
        </is>
      </c>
    </row>
    <row r="12">
      <c r="A12" t="inlineStr">
        <is>
          <t>BLD-DRAIN</t>
        </is>
      </c>
      <c r="B12" t="inlineStr">
        <is>
          <t>Pompe de drainage</t>
        </is>
      </c>
      <c r="C12" t="n">
        <v>1</v>
      </c>
      <c r="D12" t="inlineStr">
        <is>
          <t>2</t>
        </is>
      </c>
      <c r="E12" t="inlineStr">
        <is>
          <t>{"scrap": 25, "metal": 25, "electronics": 3}</t>
        </is>
      </c>
      <c r="F12" t="inlineStr">
        <is>
          <t>{"power": 2}</t>
        </is>
      </c>
      <c r="G12" t="inlineStr">
        <is>
          <t>{}</t>
        </is>
      </c>
      <c r="H12" t="inlineStr">
        <is>
          <t>{"drainage": 1}</t>
        </is>
      </c>
      <c r="I12" t="n">
        <v>1</v>
      </c>
      <c r="J12" t="n">
        <v>1</v>
      </c>
      <c r="K12" t="inlineStr">
        <is>
          <t>Niveau -1 et plus profond</t>
        </is>
      </c>
      <c r="L12" t="inlineStr">
        <is>
          <t>Panne : accumulation d'eau progressive après avertissement.</t>
        </is>
      </c>
    </row>
    <row r="13">
      <c r="A13" t="inlineStr">
        <is>
          <t>BLD-TRADE</t>
        </is>
      </c>
      <c r="B13" t="inlineStr">
        <is>
          <t>Comptoir de commerce</t>
        </is>
      </c>
      <c r="C13" t="n">
        <v>1</v>
      </c>
      <c r="D13" t="inlineStr">
        <is>
          <t>2</t>
        </is>
      </c>
      <c r="E13" t="inlineStr">
        <is>
          <t>{"scrap": 25, "wood": 25, "metal": 10}</t>
        </is>
      </c>
      <c r="F13" t="inlineStr">
        <is>
          <t>{"food": 1}</t>
        </is>
      </c>
      <c r="G13" t="inlineStr">
        <is>
          <t>{"trade_access": 1}</t>
        </is>
      </c>
      <c r="H13" t="inlineStr">
        <is>
          <t>{"trade_capacity": 20}</t>
        </is>
      </c>
      <c r="I13" t="n">
        <v>1</v>
      </c>
      <c r="J13" t="n">
        <v>0</v>
      </c>
      <c r="K13" t="inlineStr">
        <is>
          <t>Entrée de surface sécurisée</t>
        </is>
      </c>
      <c r="L13" t="inlineStr">
        <is>
          <t>Le commerce dépend de la réputation et de la présence de partenaires.</t>
        </is>
      </c>
    </row>
  </sheetData>
  <autoFilter ref="A1:L13"/>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4" customWidth="1" min="3" max="3"/>
    <col width="44" customWidth="1" min="4" max="4"/>
  </cols>
  <sheetData>
    <row r="1" ht="36" customHeight="1">
      <c r="A1" s="28" t="inlineStr">
        <is>
          <t>ID phase</t>
        </is>
      </c>
      <c r="B1" s="28" t="inlineStr">
        <is>
          <t>Phase</t>
        </is>
      </c>
      <c r="C1" s="28" t="inlineStr">
        <is>
          <t>Décisions joueur</t>
        </is>
      </c>
      <c r="D1" s="28" t="inlineStr">
        <is>
          <t>Règle de résolution</t>
        </is>
      </c>
    </row>
    <row r="2">
      <c r="A2" t="inlineStr">
        <is>
          <t>EXP-01</t>
        </is>
      </c>
      <c r="B2" t="inlineStr">
        <is>
          <t>Préparation</t>
        </is>
      </c>
      <c r="C2" t="inlineStr">
        <is>
          <t>Choisir équipage, véhicule, charge utile, carburant, eau, nourriture, munitions et objectif.</t>
        </is>
      </c>
      <c r="D2" t="inlineStr">
        <is>
          <t>Aucun départ si ressources négatives; avertissement si autonomie estimée &lt; aller-retour + 25% réserve.</t>
        </is>
      </c>
    </row>
    <row r="3">
      <c r="A3" t="inlineStr">
        <is>
          <t>EXP-02</t>
        </is>
      </c>
      <c r="B3" t="inlineStr">
        <is>
          <t>Détection</t>
        </is>
      </c>
      <c r="C3" t="inlineStr">
        <is>
          <t>Observer, contourner, embusquer ou poursuivre.</t>
        </is>
      </c>
      <c r="D3" t="inlineStr">
        <is>
          <t>L'observation coûte du temps; peut réduire l'incertitude du risque.</t>
        </is>
      </c>
    </row>
    <row r="4">
      <c r="A4" t="inlineStr">
        <is>
          <t>EXP-03</t>
        </is>
      </c>
      <c r="B4" t="inlineStr">
        <is>
          <t>Contact</t>
        </is>
      </c>
      <c r="C4" t="inlineStr">
        <is>
          <t>Afficher classe de menace, terrain, lignes de vue et risque estimé.</t>
        </is>
      </c>
      <c r="D4" t="inlineStr">
        <is>
          <t>Afficher une bande de risque plutôt qu'une fausse précision.</t>
        </is>
      </c>
    </row>
    <row r="5">
      <c r="A5" t="inlineStr">
        <is>
          <t>EXP-04</t>
        </is>
      </c>
      <c r="B5" t="inlineStr">
        <is>
          <t>Engagement</t>
        </is>
      </c>
      <c r="C5" t="inlineStr">
        <is>
          <t>Tirer, se couvrir, manœuvrer, compétence, rompre le contact.</t>
        </is>
      </c>
      <c r="D5" t="inlineStr">
        <is>
          <t>Munitions par type; tir impossible sans munitions compatibles.</t>
        </is>
      </c>
    </row>
    <row r="6">
      <c r="A6" t="inlineStr">
        <is>
          <t>EXP-05</t>
        </is>
      </c>
      <c r="B6" t="inlineStr">
        <is>
          <t>Dégâts</t>
        </is>
      </c>
      <c r="C6" t="inlineStr">
        <is>
          <t>Appliquer dégâts localisés à moteur, refroidissement, transmission, roues/chenilles, suspension, carburant, blindage, arme et équipage.</t>
        </is>
      </c>
      <c r="D6" t="inlineStr">
        <is>
          <t>État &gt;=70% opérationnel; 30–69% dégradé; &lt;30% désactivé.</t>
        </is>
      </c>
    </row>
    <row r="7">
      <c r="A7" t="inlineStr">
        <is>
          <t>EXP-06</t>
        </is>
      </c>
      <c r="B7" t="inlineStr">
        <is>
          <t>Objectif</t>
        </is>
      </c>
      <c r="C7" t="inlineStr">
        <is>
          <t>Fouiller, secourir, récupérer épave, prendre captifs, négocier ou repartir.</t>
        </is>
      </c>
      <c r="D7" t="inlineStr">
        <is>
          <t>Chaque action consomme temps; le bruit et la visibilité peuvent attirer une rencontre.</t>
        </is>
      </c>
    </row>
    <row r="8">
      <c r="A8" t="inlineStr">
        <is>
          <t>EXP-07</t>
        </is>
      </c>
      <c r="B8" t="inlineStr">
        <is>
          <t>Retraite</t>
        </is>
      </c>
      <c r="C8" t="inlineStr">
        <is>
          <t>Se replier avec butin partiel, tenter remorquage ou lancer secours.</t>
        </is>
      </c>
      <c r="D8" t="inlineStr">
        <is>
          <t>Consomme temps et carburant; risque de poursuite; butin peut être abandonné.</t>
        </is>
      </c>
    </row>
    <row r="9">
      <c r="A9" t="inlineStr">
        <is>
          <t>EXP-08</t>
        </is>
      </c>
      <c r="B9" t="inlineStr">
        <is>
          <t>Retour</t>
        </is>
      </c>
      <c r="C9" t="inlineStr">
        <is>
          <t>Bilan de consommation, blessures, dégâts, butin, réputation et menaces futures.</t>
        </is>
      </c>
      <c r="D9" t="inlineStr">
        <is>
          <t>Événement résolu ne doit jamais se rejouer au rechargement.</t>
        </is>
      </c>
    </row>
  </sheetData>
  <autoFilter ref="A1:D9"/>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9" customWidth="1" min="1" max="1"/>
    <col width="15" customWidth="1" min="2" max="2"/>
    <col width="44" customWidth="1" min="3" max="3"/>
    <col width="44" customWidth="1" min="4" max="4"/>
  </cols>
  <sheetData>
    <row r="1" ht="36" customHeight="1">
      <c r="A1" s="28" t="inlineStr">
        <is>
          <t>Composant</t>
        </is>
      </c>
      <c r="B1" s="28" t="inlineStr">
        <is>
          <t>ID stable</t>
        </is>
      </c>
      <c r="C1" s="28" t="inlineStr">
        <is>
          <t>Effet gameplay</t>
        </is>
      </c>
      <c r="D1" s="28" t="inlineStr">
        <is>
          <t>Réparation / contrainte</t>
        </is>
      </c>
    </row>
    <row r="2">
      <c r="A2" t="inlineStr">
        <is>
          <t>Moteur</t>
        </is>
      </c>
      <c r="B2" t="inlineStr">
        <is>
          <t>engine</t>
        </is>
      </c>
      <c r="C2" t="inlineStr">
        <is>
          <t>Panne moteur, baisse de mobilité ou arrêt</t>
        </is>
      </c>
      <c r="D2" t="inlineStr">
        <is>
          <t>Réparation moteur/pièces; remorquage si immobilisé</t>
        </is>
      </c>
    </row>
    <row r="3">
      <c r="A3" t="inlineStr">
        <is>
          <t>Refroidissement</t>
        </is>
      </c>
      <c r="B3" t="inlineStr">
        <is>
          <t>cooling</t>
        </is>
      </c>
      <c r="C3" t="inlineStr">
        <is>
          <t>Surchauffe; risque d'arrêt si poursuivi</t>
        </is>
      </c>
      <c r="D3" t="inlineStr">
        <is>
          <t>Un seul module de refroidissement avec états fonctionnel/endommagé/absent</t>
        </is>
      </c>
    </row>
    <row r="4">
      <c r="A4" t="inlineStr">
        <is>
          <t>Transmission</t>
        </is>
      </c>
      <c r="B4" t="inlineStr">
        <is>
          <t>transmission</t>
        </is>
      </c>
      <c r="C4" t="inlineStr">
        <is>
          <t>Accélération ou changement de vitesse dégradés; immobilisation sévère</t>
        </is>
      </c>
      <c r="D4" t="inlineStr">
        <is>
          <t>Kit générique ou compatibilité directe; pas d'inventaire de micro-pièces</t>
        </is>
      </c>
    </row>
    <row r="5">
      <c r="A5" t="inlineStr">
        <is>
          <t>Roues / chenilles</t>
        </is>
      </c>
      <c r="B5" t="inlineStr">
        <is>
          <t>wheels_tracks</t>
        </is>
      </c>
      <c r="C5" t="inlineStr">
        <is>
          <t>Mobilité réduite, immobilisation si critique</t>
        </is>
      </c>
      <c r="D5" t="inlineStr">
        <is>
          <t>Pneus/chenilles classés par famille; pièces consommées lors réparation</t>
        </is>
      </c>
    </row>
    <row r="6">
      <c r="A6" t="inlineStr">
        <is>
          <t>Suspension</t>
        </is>
      </c>
      <c r="B6" t="inlineStr">
        <is>
          <t>suspension</t>
        </is>
      </c>
      <c r="C6" t="inlineStr">
        <is>
          <t>Vitesse tout-terrain et stabilité réduites</t>
        </is>
      </c>
      <c r="D6" t="inlineStr">
        <is>
          <t>Réparation selon classe et niveau de dégâts</t>
        </is>
      </c>
    </row>
    <row r="7">
      <c r="A7" t="inlineStr">
        <is>
          <t>Circuit carburant</t>
        </is>
      </c>
      <c r="B7" t="inlineStr">
        <is>
          <t>fuel_system</t>
        </is>
      </c>
      <c r="C7" t="inlineStr">
        <is>
          <t>Fuite simulée, consommation accrue ou moteur coupé</t>
        </is>
      </c>
      <c r="D7" t="inlineStr">
        <is>
          <t>Réparation prioritaire; pas de mélange des stocks carburant</t>
        </is>
      </c>
    </row>
    <row r="8">
      <c r="A8" t="inlineStr">
        <is>
          <t>Caisse / blindage</t>
        </is>
      </c>
      <c r="B8" t="inlineStr">
        <is>
          <t>hull_armor</t>
        </is>
      </c>
      <c r="C8" t="inlineStr">
        <is>
          <t>Blessures plus probables si protection dégradée</t>
        </is>
      </c>
      <c r="D8" t="inlineStr">
        <is>
          <t>Blindage n'annule pas les dégâts; impact dépend de l'arme</t>
        </is>
      </c>
    </row>
    <row r="9">
      <c r="A9" t="inlineStr">
        <is>
          <t>Armement</t>
        </is>
      </c>
      <c r="B9" t="inlineStr">
        <is>
          <t>weapon</t>
        </is>
      </c>
      <c r="C9" t="inlineStr">
        <is>
          <t>Précision/cadence réduite ou arme indisponible</t>
        </is>
      </c>
      <c r="D9" t="inlineStr">
        <is>
          <t>Munitions et état de l'arme séparés</t>
        </is>
      </c>
    </row>
    <row r="10">
      <c r="A10" t="inlineStr">
        <is>
          <t>Équipage</t>
        </is>
      </c>
      <c r="B10" t="inlineStr">
        <is>
          <t>crew</t>
        </is>
      </c>
      <c r="C10" t="inlineStr">
        <is>
          <t>Blessé, neutralisé ou tué</t>
        </is>
      </c>
      <c r="D10" t="inlineStr">
        <is>
          <t>Infirmerie et repos soignent selon gravité; mort seulement dans expédition active et risque annoncé</t>
        </is>
      </c>
    </row>
  </sheetData>
  <autoFilter ref="A1:D10"/>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9" customWidth="1" min="1" max="1"/>
    <col width="44" customWidth="1" min="2" max="2"/>
    <col width="44" customWidth="1" min="3" max="3"/>
    <col width="44" customWidth="1" min="4" max="4"/>
  </cols>
  <sheetData>
    <row r="1" ht="36" customHeight="1">
      <c r="A1" s="28" t="inlineStr">
        <is>
          <t>Objet</t>
        </is>
      </c>
      <c r="B1" s="28" t="inlineStr">
        <is>
          <t>Champs obligatoires</t>
        </is>
      </c>
      <c r="C1" s="28" t="inlineStr">
        <is>
          <t>Responsabilité</t>
        </is>
      </c>
      <c r="D1" s="28" t="inlineStr">
        <is>
          <t>Invariant</t>
        </is>
      </c>
    </row>
    <row r="2">
      <c r="A2" t="inlineStr">
        <is>
          <t>vehicle_instance</t>
        </is>
      </c>
      <c r="B2" t="inlineStr">
        <is>
          <t>id, model_id, condition, component_states, fuel_l, location_id, owner_state, crew_ids, cargo, version</t>
        </is>
      </c>
      <c r="C2" t="inlineStr">
        <is>
          <t>Instance persistante distincte du modèle catalogue.</t>
        </is>
      </c>
      <c r="D2" t="inlineStr">
        <is>
          <t>Un véhicule récupéré ne modifie jamais la fiche canonique.</t>
        </is>
      </c>
    </row>
    <row r="3">
      <c r="A3" t="inlineStr">
        <is>
          <t>crew_member</t>
        </is>
      </c>
      <c r="B3" t="inlineStr">
        <is>
          <t>id, skills, health_state, morale, loyalty, assigned_role, location_id, version</t>
        </is>
      </c>
      <c r="C3" t="inlineStr">
        <is>
          <t>Personne, compétences, état, rôle et emplacement.</t>
        </is>
      </c>
      <c r="D3" t="inlineStr">
        <is>
          <t>Un soldat affecté à la défense ne peut pas être en expédition.</t>
        </is>
      </c>
    </row>
    <row r="4">
      <c r="A4" t="inlineStr">
        <is>
          <t>building_instance</t>
        </is>
      </c>
      <c r="B4" t="inlineStr">
        <is>
          <t>id, building_type_id, level, condition, workers, input_buffer, output_buffer, storage, powered, version</t>
        </is>
      </c>
      <c r="C4" t="inlineStr">
        <is>
          <t>Bâtiment construit et son état.</t>
        </is>
      </c>
      <c r="D4" t="inlineStr">
        <is>
          <t>Panne, amélioration et stockage doivent survivre au rechargement.</t>
        </is>
      </c>
    </row>
    <row r="5">
      <c r="A5" t="inlineStr">
        <is>
          <t>captive_group</t>
        </is>
      </c>
      <c r="B5" t="inlineStr">
        <is>
          <t>id, origin_faction_id, count, facility_id, status, needs, security_level, version</t>
        </is>
      </c>
      <c r="C5" t="inlineStr">
        <is>
          <t>Groupe de captifs et son origine.</t>
        </is>
      </c>
      <c r="D5" t="inlineStr">
        <is>
          <t>Besoins et incidents suivent la capacité et la sécurité de la détention.</t>
        </is>
      </c>
    </row>
    <row r="6">
      <c r="A6" t="inlineStr">
        <is>
          <t>faction_state</t>
        </is>
      </c>
      <c r="B6" t="inlineStr">
        <is>
          <t>id, reputation, threat, trust, fear, trade_access, known_events, version</t>
        </is>
      </c>
      <c r="C6" t="inlineStr">
        <is>
          <t>État diplomatique par faction.</t>
        </is>
      </c>
      <c r="D6" t="inlineStr">
        <is>
          <t>Événements témoins peuvent être découverts avec retard.</t>
        </is>
      </c>
    </row>
    <row r="7">
      <c r="A7" t="inlineStr">
        <is>
          <t>expedition</t>
        </is>
      </c>
      <c r="B7" t="inlineStr">
        <is>
          <t>id, seed, stage, vehicle_ids, crew_ids, resources_committed, encounter_ids, resolved_events, version</t>
        </is>
      </c>
      <c r="C7" t="inlineStr">
        <is>
          <t>Expédition active ou archivée.</t>
        </is>
      </c>
      <c r="D7" t="inlineStr">
        <is>
          <t>Seed et événements résolus empêchent de relancer le hasard au rechargement.</t>
        </is>
      </c>
    </row>
    <row r="8">
      <c r="A8" t="inlineStr">
        <is>
          <t>command_journal</t>
        </is>
      </c>
      <c r="B8" t="inlineStr">
        <is>
          <t>command_id, event_id, timestamp, entity_ids, before_hash, after_hash, status</t>
        </is>
      </c>
      <c r="C8" t="inlineStr">
        <is>
          <t>Journal d'événements idempotent.</t>
        </is>
      </c>
      <c r="D8" t="inlineStr">
        <is>
          <t>Un command_id déjà validé ne peut pas être appliqué une seconde fois.</t>
        </is>
      </c>
    </row>
    <row r="9">
      <c r="A9" t="inlineStr">
        <is>
          <t>save_meta</t>
        </is>
      </c>
      <c r="B9" t="inlineStr">
        <is>
          <t>schema_version, save_version, checksum, checkpoint_id, created_at</t>
        </is>
      </c>
      <c r="C9" t="inlineStr">
        <is>
          <t>Métadonnées et intégrité de sauvegarde.</t>
        </is>
      </c>
      <c r="D9" t="inlineStr">
        <is>
          <t>Migration déterministe obligatoire à chaque changement de schéma.</t>
        </is>
      </c>
    </row>
  </sheetData>
  <autoFilter ref="A1:D9"/>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43" customWidth="1" min="3" max="3"/>
    <col width="44" customWidth="1" min="4" max="4"/>
    <col width="44" customWidth="1" min="5" max="5"/>
  </cols>
  <sheetData>
    <row r="1" ht="36" customHeight="1">
      <c r="A1" s="28" t="inlineStr">
        <is>
          <t>ID</t>
        </is>
      </c>
      <c r="B1" s="28" t="inlineStr">
        <is>
          <t>Archétype</t>
        </is>
      </c>
      <c r="C1" s="28" t="inlineStr">
        <is>
          <t>Priorité</t>
        </is>
      </c>
      <c r="D1" s="28" t="inlineStr">
        <is>
          <t>Déclencheurs de réaction</t>
        </is>
      </c>
      <c r="E1" s="28" t="inlineStr">
        <is>
          <t>Effets systémiques</t>
        </is>
      </c>
    </row>
    <row r="2">
      <c r="A2" t="inlineStr">
        <is>
          <t>FACTION-SETTLERS</t>
        </is>
      </c>
      <c r="B2" t="inlineStr">
        <is>
          <t>Communautés</t>
        </is>
      </c>
      <c r="C2" t="inlineStr">
        <is>
          <t>Survie, commerce, protection</t>
        </is>
      </c>
      <c r="D2" t="inlineStr">
        <is>
          <t>Commerce équitable; aide; attaque de village; traitement des captifs</t>
        </is>
      </c>
      <c r="E2" t="inlineStr">
        <is>
          <t>Réputation, confiance, accès aux échanges, informations</t>
        </is>
      </c>
    </row>
    <row r="3">
      <c r="A3" t="inlineStr">
        <is>
          <t>FACTION-RAIDERS</t>
        </is>
      </c>
      <c r="B3" t="inlineStr">
        <is>
          <t>Pilleurs</t>
        </is>
      </c>
      <c r="C3" t="inlineStr">
        <is>
          <t>Butin, faiblesse, représailles</t>
        </is>
      </c>
      <c r="D3" t="inlineStr">
        <is>
          <t>Valeur du convoi, pertes infligées, intimidations, embuscades</t>
        </is>
      </c>
      <c r="E3" t="inlineStr">
        <is>
          <t>Menace, raids, poursuites et vol de cargaison</t>
        </is>
      </c>
    </row>
    <row r="4">
      <c r="A4" t="inlineStr">
        <is>
          <t>FACTION-MILITIA</t>
        </is>
      </c>
      <c r="B4" t="inlineStr">
        <is>
          <t>Milices organisées</t>
        </is>
      </c>
      <c r="C4" t="inlineStr">
        <is>
          <t>Territoire, ordre, armement</t>
        </is>
      </c>
      <c r="D4" t="inlineStr">
        <is>
          <t>Expansion territoriale, armes lourdes, alliances, fortifications</t>
        </is>
      </c>
      <c r="E4" t="inlineStr">
        <is>
          <t>Postes de contrôle, conflits territoriaux, pactes</t>
        </is>
      </c>
    </row>
    <row r="5">
      <c r="A5" t="inlineStr">
        <is>
          <t>FACTION-TRADERS</t>
        </is>
      </c>
      <c r="B5" t="inlineStr">
        <is>
          <t>Réseaux marchands</t>
        </is>
      </c>
      <c r="C5" t="inlineStr">
        <is>
          <t>Fiabilité et routes sûres</t>
        </is>
      </c>
      <c r="D5" t="inlineStr">
        <is>
          <t>Contrats honorés, sécurité des routes, pénuries, réputation</t>
        </is>
      </c>
      <c r="E5" t="inlineStr">
        <is>
          <t>Prix, rareté, contrats et accès aux marchés</t>
        </is>
      </c>
    </row>
    <row r="6">
      <c r="A6" t="inlineStr">
        <is>
          <t>FACTION-INDUSTRIAL</t>
        </is>
      </c>
      <c r="B6" t="inlineStr">
        <is>
          <t>Enclaves industrielles</t>
        </is>
      </c>
      <c r="C6" t="inlineStr">
        <is>
          <t>Pièces, carburant, machines, savoir-faire</t>
        </is>
      </c>
      <c r="D6" t="inlineStr">
        <is>
          <t>Échange de pièces, attaques d'ateliers, plans techniques</t>
        </is>
      </c>
      <c r="E6" t="inlineStr">
        <is>
          <t>Réparations, plans, composants rares et savoir technique</t>
        </is>
      </c>
    </row>
  </sheetData>
  <autoFilter ref="A1:E6"/>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5" customWidth="1" min="3" max="3"/>
    <col width="44" customWidth="1" min="4" max="4"/>
    <col width="44" customWidth="1" min="5" max="5"/>
    <col width="44" customWidth="1" min="6" max="6"/>
  </cols>
  <sheetData>
    <row r="1" ht="36" customHeight="1">
      <c r="A1" s="28" t="inlineStr">
        <is>
          <t>ID</t>
        </is>
      </c>
      <c r="B1" s="28" t="inlineStr">
        <is>
          <t>Niveau/système</t>
        </is>
      </c>
      <c r="C1" s="28" t="inlineStr">
        <is>
          <t>Délai</t>
        </is>
      </c>
      <c r="D1" s="28" t="inlineStr">
        <is>
          <t>Coût</t>
        </is>
      </c>
      <c r="E1" s="28" t="inlineStr">
        <is>
          <t>Déblocages/fonction</t>
        </is>
      </c>
      <c r="F1" s="28" t="inlineStr">
        <is>
          <t>Contraintes</t>
        </is>
      </c>
    </row>
    <row r="2">
      <c r="A2" t="inlineStr">
        <is>
          <t>BASE-SURFACE</t>
        </is>
      </c>
      <c r="B2" t="inlineStr">
        <is>
          <t>Surface</t>
        </is>
      </c>
      <c r="C2" t="inlineStr">
        <is>
          <t>Base initiale</t>
        </is>
      </c>
      <c r="D2" t="inlineStr">
        <is>
          <t>Portes gauche/droite, mur, cour véhicules, positions extérieures, entrée commerce, ateliers de surface</t>
        </is>
      </c>
      <c r="E2" t="inlineStr">
        <is>
          <t>Aucun coût d'excavation</t>
        </is>
      </c>
      <c r="F2" t="inlineStr">
        <is>
          <t>Exposition aux raids; accès direct aux véhicules</t>
        </is>
      </c>
    </row>
    <row r="3">
      <c r="A3" t="inlineStr">
        <is>
          <t>BASE-L1</t>
        </is>
      </c>
      <c r="B3" t="inlineStr">
        <is>
          <t>Sous-sol -1</t>
        </is>
      </c>
      <c r="C3" t="inlineStr">
        <is>
          <t>4 jours</t>
        </is>
      </c>
      <c r="D3" t="inlineStr">
        <is>
          <t>90 ferraille, 30 bois, 35 métal</t>
        </is>
      </c>
      <c r="E3" t="inlineStr">
        <is>
          <t>Stockage protégé, atelier léger, détention sécurisée</t>
        </is>
      </c>
      <c r="F3" t="inlineStr">
        <is>
          <t>Drainage et ventilation obligatoires pour pièces concernées</t>
        </is>
      </c>
    </row>
    <row r="4">
      <c r="A4" t="inlineStr">
        <is>
          <t>BASE-L2</t>
        </is>
      </c>
      <c r="B4" t="inlineStr">
        <is>
          <t>Niveau industriel -2</t>
        </is>
      </c>
      <c r="C4" t="inlineStr">
        <is>
          <t>7 jours</t>
        </is>
      </c>
      <c r="D4" t="inlineStr">
        <is>
          <t>140 ferraille, 20 bois, 90 métal, 8 électronique</t>
        </is>
      </c>
      <c r="E4" t="inlineStr">
        <is>
          <t>Atelier lourd, pièces, générateur principal, réserves protégées</t>
        </is>
      </c>
      <c r="F4" t="inlineStr">
        <is>
          <t>Besoin électrique et risque fumée/incendie plus élevé</t>
        </is>
      </c>
    </row>
    <row r="5">
      <c r="A5" t="inlineStr">
        <is>
          <t>BASE-L3</t>
        </is>
      </c>
      <c r="B5" t="inlineStr">
        <is>
          <t>Noyau profond -3</t>
        </is>
      </c>
      <c r="C5" t="inlineStr">
        <is>
          <t>12 jours</t>
        </is>
      </c>
      <c r="D5" t="inlineStr">
        <is>
          <t>220 ferraille, 10 bois, 150 métal, 20 électronique</t>
        </is>
      </c>
      <c r="E5" t="inlineStr">
        <is>
          <t>Centre de commandement, soins avancés, stockage stratégique</t>
        </is>
      </c>
      <c r="F5" t="inlineStr">
        <is>
          <t>Ventilation, drainage et réparation coûteux</t>
        </is>
      </c>
    </row>
    <row r="6">
      <c r="A6" t="inlineStr">
        <is>
          <t>ELEVATOR</t>
        </is>
      </c>
      <c r="B6" t="inlineStr">
        <is>
          <t>Ascenseur</t>
        </is>
      </c>
      <c r="C6" t="inlineStr">
        <is>
          <t>4 jours</t>
        </is>
      </c>
      <c r="D6" t="inlineStr">
        <is>
          <t>80 ferraille, 45 métal, 8 électronique</t>
        </is>
      </c>
      <c r="E6" t="inlineStr">
        <is>
          <t>Transport personnes, charges et véhicule selon gabarit</t>
        </is>
      </c>
      <c r="F6" t="inlineStr">
        <is>
          <t>1 énergie par trajet; capacité poids/gabarit; amélioration lourde requise pour gros véhicules</t>
        </is>
      </c>
    </row>
    <row r="7">
      <c r="A7" t="inlineStr">
        <is>
          <t>VENTILATION</t>
        </is>
      </c>
      <c r="B7" t="inlineStr">
        <is>
          <t>Ventilation</t>
        </is>
      </c>
      <c r="C7" t="inlineStr">
        <is>
          <t>2 jours</t>
        </is>
      </c>
      <c r="D7" t="inlineStr">
        <is>
          <t>25 ferraille, 15 métal, 8 électronique</t>
        </is>
      </c>
      <c r="E7" t="inlineStr">
        <is>
          <t>Ateliers, générateur, détention, soins et niveaux habités</t>
        </is>
      </c>
      <c r="F7" t="inlineStr">
        <is>
          <t>Panne réduit efficacité; incidents fumée doivent être signalés</t>
        </is>
      </c>
    </row>
    <row r="8">
      <c r="A8" t="inlineStr">
        <is>
          <t>DRAINAGE</t>
        </is>
      </c>
      <c r="B8" t="inlineStr">
        <is>
          <t>Pompe de drainage</t>
        </is>
      </c>
      <c r="C8" t="inlineStr">
        <is>
          <t>2 jours</t>
        </is>
      </c>
      <c r="D8" t="inlineStr">
        <is>
          <t>25 ferraille, 25 métal, 3 électronique</t>
        </is>
      </c>
      <c r="E8" t="inlineStr">
        <is>
          <t>Niveaux -1 et plus profonds</t>
        </is>
      </c>
      <c r="F8" t="inlineStr">
        <is>
          <t>2 énergie/jour; panne entraîne accumulation d'eau progressive</t>
        </is>
      </c>
    </row>
    <row r="9">
      <c r="A9" t="inlineStr">
        <is>
          <t>POWER</t>
        </is>
      </c>
      <c r="B9" t="inlineStr">
        <is>
          <t>Priorité énergie</t>
        </is>
      </c>
      <c r="C9" t="inlineStr">
        <is>
          <t>Continu</t>
        </is>
      </c>
      <c r="D9" t="inlineStr">
        <is>
          <t>Production d'énergie et consommation par bâtiment</t>
        </is>
      </c>
      <c r="E9" t="inlineStr">
        <is>
          <t>Pompes/ventilation, soins, défenses, ateliers, confort</t>
        </is>
      </c>
      <c r="F9" t="inlineStr">
        <is>
          <t>Délestage des priorités basses lors de pénurie</t>
        </is>
      </c>
    </row>
  </sheetData>
  <autoFilter ref="A1:F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Base maître jeu iPhone post-apocalyptique — systèmes v1.9</dc:title>
  <dc:subject xmlns:dc="http://purl.org/dc/elements/1.1/">Véhicules, captivité, fortifications, économie et règles transversales</dc:subject>
  <dcterms:created xmlns:dcterms="http://purl.org/dc/terms/" xmlns:xsi="http://www.w3.org/2001/XMLSchema-instance" xsi:type="dcterms:W3CDTF">2026-10-28T21:20:52Z</dcterms:created>
  <dcterms:modified xmlns:dcterms="http://purl.org/dc/terms/" xmlns:xsi="http://www.w3.org/2001/XMLSchema-instance" xsi:type="dcterms:W3CDTF">2026-10-29T09:42:31Z</dcterms:modified>
</cp:coreProperties>
</file>